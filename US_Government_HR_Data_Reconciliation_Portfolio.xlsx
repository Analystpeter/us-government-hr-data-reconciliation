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2b3a9cdc1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ce8cd05130014dbb"/>
    <x:sheet xmlns:r="http://schemas.openxmlformats.org/officeDocument/2006/relationships" name="Reconciliation" sheetId="2" r:id="Re8670c3bec014243"/>
    <x:sheet xmlns:r="http://schemas.openxmlformats.org/officeDocument/2006/relationships" name="Plan_Raw" sheetId="3" r:id="Re2141885596c4434"/>
    <x:sheet xmlns:r="http://schemas.openxmlformats.org/officeDocument/2006/relationships" name="Rates_Raw" sheetId="4" r:id="R4075409934b541a3"/>
    <x:sheet xmlns:r="http://schemas.openxmlformats.org/officeDocument/2006/relationships" name="Rates_QC" sheetId="5" r:id="R76956bdc77a1492d"/>
    <x:sheet xmlns:r="http://schemas.openxmlformats.org/officeDocument/2006/relationships" name="Title_History" sheetId="6" r:id="R0a38699240fc4f6a"/>
    <x:sheet xmlns:r="http://schemas.openxmlformats.org/officeDocument/2006/relationships" name="Exceptions" sheetId="7" r:id="R979c2126b5e741a5"/>
    <x:sheet xmlns:r="http://schemas.openxmlformats.org/officeDocument/2006/relationships" name="Dictionary" sheetId="8" r:id="R0738d077e74e4145"/>
    <x:sheet xmlns:r="http://schemas.openxmlformats.org/officeDocument/2006/relationships" name="Sources" sheetId="9" r:id="Rc471af3b40eb4fd7"/>
    <x:sheet xmlns:r="http://schemas.openxmlformats.org/officeDocument/2006/relationships" name="Formula_Lab" sheetId="10" r:id="R3828353a233c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"/>
    <x:numFmt numFmtId="202" formatCode="&quot;$&quot;#,##0.00"/>
    <x:numFmt numFmtId="203" formatCode="&quot;$&quot;#,##0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172F4A"/>
      <x:name val="Carlito"/>
    </x:font>
    <x:font>
      <x:b/>
      <x:sz val="10"/>
      <x:color rgb="FFFFFFFF"/>
      <x:name val="Carlito"/>
    </x:font>
    <x:font>
      <x:b/>
      <x:sz val="17"/>
      <x:color rgb="FFFFFFFF"/>
      <x:name val="Carlito"/>
    </x:font>
    <x:font>
      <x:sz val="11"/>
      <x:color rgb="FF172F4A"/>
      <x:name val="Carlito"/>
    </x:font>
    <x:font>
      <x:b/>
      <x:sz val="11"/>
      <x:color rgb="FFFFFFFF"/>
      <x:name val="Carlito"/>
    </x:font>
    <x:font>
      <x:b/>
      <x:sz val="11"/>
      <x:color rgb="FF172F4A"/>
      <x:name val="Carlito"/>
    </x:font>
    <x:font>
      <x:b/>
      <x:sz val="11"/>
      <x:color rgb="FF0F766E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2237"/>
      </x:patternFill>
    </x:fill>
    <x:fill>
      <x:patternFill patternType="solid">
        <x:fgColor rgb="FFE7F4F2"/>
      </x:patternFill>
    </x:fill>
    <x:fill>
      <x:patternFill patternType="solid">
        <x:fgColor rgb="FF0F766E"/>
      </x:patternFill>
    </x:fill>
    <x:fill>
      <x:patternFill patternType="solid">
        <x:fgColor rgb="FFF1F5F9"/>
      </x:patternFill>
    </x:fill>
    <x:fill>
      <x:patternFill patternType="solid">
        <x:fgColor rgb="FFFFF3CE"/>
      </x:patternFill>
    </x:fill>
    <x:fill>
      <x:patternFill patternType="solid">
        <x:fgColor rgb="FF172F4A"/>
      </x:patternFill>
    </x:fill>
    <x:fill>
      <x:patternFill patternType="solid">
        <x:fgColor rgb="FFFEF3C7"/>
      </x:patternFill>
    </x:fill>
    <x:fill>
      <x:patternFill patternType="solid">
        <x:fgColor rgb="FFFFFDF1"/>
      </x:patternFill>
    </x:fill>
    <x:fill>
      <x:patternFill patternType="solid">
        <x:fgColor rgb="FFEAF3FF"/>
      </x:patternFill>
    </x:fill>
    <x:fill>
      <x:patternFill patternType="solid">
        <x:fgColor rgb="FFEEF9F6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203" fontId="0" fillId="11" borderId="0" xfId="0" applyNumberFormat="1" applyFont="1" applyFill="1" applyBorder="1"/>
    <x:xf numFmtId="203" fontId="0" fillId="11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</x:cellXfs>
  <x:cellStyles count="1">
    <x:cellStyle name="Normal" xfId="0"/>
  </x:cellStyles>
  <x:dxfs count="6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  <x:dxf>
      <x:font>
        <x:color rgb="FF92400E"/>
      </x:font>
      <x:fill>
        <x:patternFill patternType="solid">
          <x:bgColor rgb="FFFFF0C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E4F6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045cad46334107" /><Relationship Type="http://schemas.openxmlformats.org/officeDocument/2006/relationships/theme" Target="/xl/theme/theme1.xml" Id="R2be5107fe232499a" /><Relationship Type="http://schemas.openxmlformats.org/officeDocument/2006/relationships/sharedStrings" Target="/xl/sharedStrings.xml" Id="R6221cc5a0d164a57" /><Relationship Type="http://schemas.openxmlformats.org/officeDocument/2006/relationships/worksheet" Target="/xl/worksheets/sheet1.xml" Id="Rce8cd05130014dbb" /><Relationship Type="http://schemas.openxmlformats.org/officeDocument/2006/relationships/worksheet" Target="/xl/worksheets/sheet2.xml" Id="Re8670c3bec014243" /><Relationship Type="http://schemas.openxmlformats.org/officeDocument/2006/relationships/worksheet" Target="/xl/worksheets/sheet3.xml" Id="Re2141885596c4434" /><Relationship Type="http://schemas.openxmlformats.org/officeDocument/2006/relationships/worksheet" Target="/xl/worksheets/sheet4.xml" Id="R4075409934b541a3" /><Relationship Type="http://schemas.openxmlformats.org/officeDocument/2006/relationships/worksheet" Target="/xl/worksheets/sheet5.xml" Id="R76956bdc77a1492d" /><Relationship Type="http://schemas.openxmlformats.org/officeDocument/2006/relationships/worksheet" Target="/xl/worksheets/sheet6.xml" Id="R0a38699240fc4f6a" /><Relationship Type="http://schemas.openxmlformats.org/officeDocument/2006/relationships/worksheet" Target="/xl/worksheets/sheet7.xml" Id="R979c2126b5e741a5" /><Relationship Type="http://schemas.openxmlformats.org/officeDocument/2006/relationships/worksheet" Target="/xl/worksheets/sheet8.xml" Id="R0738d077e74e4145" /><Relationship Type="http://schemas.openxmlformats.org/officeDocument/2006/relationships/worksheet" Target="/xl/worksheets/sheet9.xml" Id="Rc471af3b40eb4fd7" /><Relationship Type="http://schemas.openxmlformats.org/officeDocument/2006/relationships/worksheet" Target="/xl/worksheets/sheet10.xml" Id="R3828353a233c45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68" hidden="0" customWidth="1"/>
    <x:col min="3" max="3" width="3" hidden="0" customWidth="1"/>
    <x:col min="4" max="4" width="39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24" t="str">
        <x:v>GOVERNMENT HR  /  DATA INTAKE PORTFOLIO</x:v>
      </x:c>
      <x:c r="B1" s="24"/>
      <x:c r="C1" s="24"/>
      <x:c r="D1" s="24"/>
      <x:c r="E1" s="24"/>
      <x:c r="F1" s="24"/>
      <x:c r="G1" s="24"/>
      <x:c r="H1" s="24"/>
    </x:row>
    <x:row r="2" ht="30" customHeight="1">
      <x:c r="A2" s="24"/>
      <x:c r="B2" s="24"/>
      <x:c r="C2" s="24"/>
      <x:c r="D2" s="24"/>
      <x:c r="E2" s="24"/>
      <x:c r="F2" s="24"/>
      <x:c r="G2" s="24"/>
      <x:c r="H2" s="24"/>
    </x:row>
    <x:row r="3" ht="25" customHeight="1">
      <x:c r="A3" s="26" t="str">
        <x:v>Real San Francisco government data  •  Excel-first reconciliation  •  audit-ready workflow</x:v>
      </x:c>
      <x:c r="B3" s="26"/>
      <x:c r="C3" s="26"/>
      <x:c r="D3" s="26"/>
      <x:c r="E3" s="26"/>
      <x:c r="F3" s="26"/>
      <x:c r="G3" s="26"/>
      <x:c r="H3" s="26"/>
    </x:row>
    <x:row r="5" ht="23" customHeight="1">
      <x:c r="A5" s="28" t="str">
        <x:v>WORKBOOK AT A GLANCE</x:v>
      </x:c>
      <x:c r="B5" s="28"/>
      <x:c r="C5" s="28"/>
      <x:c r="D5" s="28"/>
      <x:c r="E5" s="28"/>
      <x:c r="F5" s="28"/>
      <x:c r="G5" s="28"/>
      <x:c r="H5" s="28"/>
    </x:row>
    <x:row r="7" ht="22" customHeight="1">
      <x:c r="A7" s="31" t="str">
        <x:v>Metric</x:v>
      </x:c>
      <x:c r="B7" s="31" t="str">
        <x:v>Result</x:v>
      </x:c>
      <x:c r="D7" s="31" t="str">
        <x:v>CHECK COUNTS</x:v>
      </x:c>
      <x:c r="E7" s="31"/>
      <x:c r="F7" s="31"/>
      <x:c r="G7" s="31"/>
      <x:c r="H7" s="31"/>
    </x:row>
    <x:row r="8">
      <x:c r="A8" t="str">
        <x:v>Original plan rows</x:v>
      </x:c>
      <x:c r="B8" t="n">
        <x:v>20637</x:v>
      </x:c>
      <x:c r="D8" t="str">
        <x:v>Matches: exact key</x:v>
      </x:c>
      <x:c r="E8" t="n">
        <x:f>COUNTIF(Reconciliation!I5:I550,1)</x:f>
        <x:v>454</x:v>
      </x:c>
    </x:row>
    <x:row r="9">
      <x:c r="A9" t="str">
        <x:v>Original hourly-rate rows</x:v>
      </x:c>
      <x:c r="B9" t="n">
        <x:v>34729</x:v>
      </x:c>
      <x:c r="D9" t="str">
        <x:v>Plan-only in this export</x:v>
      </x:c>
      <x:c r="E9" t="n">
        <x:f>COUNTIF(Reconciliation!I5:I550,0)</x:f>
        <x:v>92</x:v>
      </x:c>
    </x:row>
    <x:row r="10">
      <x:c r="A10" t="str">
        <x:v>Included plan extracts</x:v>
      </x:c>
      <x:c r="B10" t="n">
        <x:v>546</x:v>
      </x:c>
      <x:c r="D10" t="str">
        <x:v>Title variants</x:v>
      </x:c>
      <x:c r="E10" t="n">
        <x:f>COUNTIF(Reconciliation!N5:N550,"TITLE VARIANT")</x:f>
        <x:v>0</x:v>
      </x:c>
    </x:row>
    <x:row r="11">
      <x:c r="A11" t="str">
        <x:v>Included rate extracts</x:v>
      </x:c>
      <x:c r="B11" t="n">
        <x:v>460</x:v>
      </x:c>
      <x:c r="D11" t="str">
        <x:v>Hourly-rate differences</x:v>
      </x:c>
      <x:c r="E11" t="n">
        <x:f>COUNTIF(Reconciliation!O5:O550,"REVIEW")</x:f>
        <x:v>2</x:v>
      </x:c>
    </x:row>
    <x:row r="12">
      <x:c r="A12" t="str">
        <x:v>Verified matches</x:v>
      </x:c>
      <x:c r="B12" t="n">
        <x:f>COUNTIF(Reconciliation!R5:R550,"VERIFIED")</x:f>
        <x:v>452</x:v>
      </x:c>
      <x:c r="D12" t="str">
        <x:v>Duplicate rate keys</x:v>
      </x:c>
      <x:c r="E12" t="n">
        <x:f>COUNTIF(Rates_QC!H5:H464,"REVIEW")</x:f>
        <x:v>2</x:v>
      </x:c>
    </x:row>
    <x:row r="13">
      <x:c r="A13" t="str">
        <x:v>Needs investigation</x:v>
      </x:c>
      <x:c r="B13" t="n">
        <x:f>COUNTIF(Reconciliation!R5:R550,"REVIEW")+COUNTIF(Rates_QC!H5:H464,"REVIEW")</x:f>
        <x:v>4</x:v>
      </x:c>
      <x:c r="D13" t="str">
        <x:v>Missing pay values</x:v>
      </x:c>
      <x:c r="E13" t="n">
        <x:f>COUNTIF(Reconciliation!O5:O550,"MISSING")</x:f>
        <x:v>0</x:v>
      </x:c>
    </x:row>
    <x:row r="15">
      <x:c r="A15" s="31" t="str">
        <x:v>Annual pay periods (assumed)</x:v>
      </x:c>
      <x:c r="B15" s="35" t="n">
        <x:v>26</x:v>
      </x:c>
      <x:c r="D15" t="str">
        <x:v>Full-source case-only title differences</x:v>
      </x:c>
      <x:c r="E15" t="n">
        <x:v>1</x:v>
      </x:c>
    </x:row>
    <x:row r="16">
      <x:c r="A16" s="31" t="str">
        <x:v>Hourly comparison tolerance</x:v>
      </x:c>
      <x:c r="B16" s="35" t="n">
        <x:v>0.0001</x:v>
      </x:c>
      <x:c r="D16" s="40" t="str">
        <x:v>These are full-file checks; top QA counts use sampled rows.</x:v>
      </x:c>
    </x:row>
    <x:row r="17">
      <x:c r="A17" s="31" t="str">
        <x:v>Hours / biweekly period (illustrative)</x:v>
      </x:c>
      <x:c r="B17" s="35" t="n">
        <x:v>80</x:v>
      </x:c>
    </x:row>
    <x:row r="18">
      <x:c r="A18" s="31" t="str">
        <x:v>Dates matched as</x:v>
      </x:c>
      <x:c r="B18" t="str">
        <x:v>Job code + set ID + effective date</x:v>
      </x:c>
    </x:row>
    <x:row r="20" ht="23" customHeight="1">
      <x:c r="A20" s="28" t="str">
        <x:v>ANALYST WORKFLOW</x:v>
      </x:c>
      <x:c r="B20" s="28"/>
      <x:c r="C20" s="28"/>
      <x:c r="D20" s="28"/>
      <x:c r="E20" s="28"/>
      <x:c r="F20" s="28"/>
      <x:c r="G20" s="28"/>
      <x:c r="H20" s="28"/>
    </x:row>
    <x:row r="22" ht="34" customHeight="1">
      <x:c r="A22" s="38" t="str">
        <x:v>01  READ SOURCE DATA</x:v>
      </x:c>
      <x:c r="B22" s="40" t="str">
        <x:v>Review Plan_Raw and Rates_Raw. Source CSV fields are unchanged; source-line IDs preserve provenance.</x:v>
      </x:c>
    </x:row>
    <x:row r="23" ht="34" customHeight="1">
      <x:c r="A23" s="38" t="str">
        <x:v>02  MATCH RECORDS</x:v>
      </x:c>
      <x:c r="B23" s="40" t="str">
        <x:v>Use composite key: job code + standardized pay set + effective date.</x:v>
      </x:c>
    </x:row>
    <x:row r="24" ht="34" customHeight="1">
      <x:c r="A24" s="38" t="str">
        <x:v>03  VERIFY DETAILS</x:v>
      </x:c>
      <x:c r="B24" s="40" t="str">
        <x:v>Check job titles, first hourly pay step, union code, and rate availability.</x:v>
      </x:c>
    </x:row>
    <x:row r="25" ht="34" customHeight="1">
      <x:c r="A25" s="38" t="str">
        <x:v>04  REVIEW EXCEPTIONS</x:v>
      </x:c>
      <x:c r="B25" s="40" t="str">
        <x:v>No source match is not automatically an error: export coverage dates differ.</x:v>
      </x:c>
    </x:row>
    <x:row r="26" ht="34" customHeight="1">
      <x:c r="A26" s="38" t="str">
        <x:v>05  CHECK DUPLICATES</x:v>
      </x:c>
      <x:c r="B26" s="40" t="str">
        <x:v>Rates_QC checks duplicate composite keys, including a genuine 2018 example.</x:v>
      </x:c>
    </x:row>
    <x:row r="27" ht="34" customHeight="1">
      <x:c r="A27" s="38" t="str">
        <x:v>06  ANNUALIZE PAY</x:v>
      </x:c>
      <x:c r="B27" s="40" t="str">
        <x:v>Multiply supplied biweekly minimum by configurable 26 periods; planning estimate only.</x:v>
      </x:c>
    </x:row>
    <x:row r="28" ht="34" customHeight="1">
      <x:c r="A28" s="38" t="str">
        <x:v>07  RECORD DECISIONS</x:v>
      </x:c>
      <x:c r="B28" s="40" t="str">
        <x:v>Use reviewer status and notes on Reconciliation; never force ambiguous matches.</x:v>
      </x:c>
    </x:row>
    <x:row r="30" ht="23" customHeight="1">
      <x:c r="A30" s="43" t="str">
        <x:v>INTERPRETATION &amp; LIMITS</x:v>
      </x:c>
      <x:c r="B30" s="43"/>
      <x:c r="C30" s="43"/>
      <x:c r="D30" s="43"/>
      <x:c r="E30" s="43"/>
      <x:c r="F30" s="43"/>
      <x:c r="G30" s="43"/>
      <x:c r="H30" s="43"/>
    </x:row>
    <x:row r="32" ht="35" customHeight="1">
      <x:c r="A32" s="38" t="str">
        <x:v>Real, not synthetic</x:v>
      </x:c>
      <x:c r="B32" s="40" t="str">
        <x:v>The source-data tabs are selected unmodified rows from the two uploaded public CSV files.</x:v>
      </x:c>
    </x:row>
    <x:row r="33" ht="35" customHeight="1">
      <x:c r="A33" s="38" t="str">
        <x:v>Date scope</x:v>
      </x:c>
      <x:c r="B33" s="40" t="str">
        <x:v>The two CSVs have different date coverage; UNMATCHED means no record in this uploaded extract.</x:v>
      </x:c>
    </x:row>
    <x:row r="34" ht="35" customHeight="1">
      <x:c r="A34" s="38" t="str">
        <x:v>Union agreements</x:v>
      </x:c>
      <x:c r="B34" s="40" t="str">
        <x:v>Union codes are source fields. An MOU / bargaining-unit mapping has NOT been verified in this workbook.</x:v>
      </x:c>
    </x:row>
    <x:row r="35" ht="35" customHeight="1">
      <x:c r="A35" s="38" t="str">
        <x:v>Salary estimates</x:v>
      </x:c>
      <x:c r="B35" s="40" t="str">
        <x:v>Annualized pay uses 26 × biweekly minimum. Check actual work schedules and labor agreements before payroll use.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43" hidden="0" customWidth="1"/>
    <x:col min="6" max="6" width="17" hidden="0" customWidth="1"/>
    <x:col min="7" max="7" width="18" hidden="0" customWidth="1"/>
    <x:col min="8" max="8" width="37" hidden="0" customWidth="1"/>
    <x:col min="9" max="9" width="15" hidden="0" customWidth="1"/>
    <x:col min="10" max="10" width="41" hidden="0" customWidth="1"/>
    <x:col min="11" max="11" width="12" hidden="0" customWidth="1"/>
    <x:col min="12" max="12" width="18" hidden="0" customWidth="1"/>
    <x:col min="13" max="13" width="14" hidden="0" customWidth="1"/>
    <x:col min="14" max="14" width="18" hidden="0" customWidth="1"/>
    <x:col min="15" max="15" width="16" hidden="0" customWidth="1"/>
    <x:col min="16" max="16" width="19" hidden="0" customWidth="1"/>
    <x:col min="17" max="17" width="21" hidden="0" customWidth="1"/>
    <x:col min="18" max="18" width="21" hidden="0" customWidth="1"/>
    <x:col min="19" max="19" width="18" hidden="0" customWidth="1"/>
    <x:col min="20" max="20" width="34" hidden="0" customWidth="1"/>
  </x:cols>
  <x:sheetData>
    <x:row r="1" ht="35" customHeight="1">
      <x:c r="A1" s="4" t="str">
        <x:v>CLASSIFICATION RECONCILIATION  /  LIVE EXCEL FORMULAS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9" customHeight="1">
      <x:c r="A2" s="10" t="str">
        <x:v>Each row traces to Plan_Raw. Rate lookups use XLOOKUP on a three-part key; never match on title alone.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31" customHeight="1">
      <x:c r="A4" s="17" t="str">
        <x:v>CSV row</x:v>
      </x:c>
      <x:c r="B4" s="17" t="str">
        <x:v>Job code</x:v>
      </x:c>
      <x:c r="C4" s="17" t="str">
        <x:v>Effective date</x:v>
      </x:c>
      <x:c r="D4" s="17" t="str">
        <x:v>Pay set</x:v>
      </x:c>
      <x:c r="E4" s="17" t="str">
        <x:v>Plan classification title</x:v>
      </x:c>
      <x:c r="F4" s="17" t="str">
        <x:v>Plan grade</x:v>
      </x:c>
      <x:c r="G4" s="17" t="str">
        <x:v>Plan hourly step 1</x:v>
      </x:c>
      <x:c r="H4" s="17" t="str">
        <x:v>Composite join key</x:v>
      </x:c>
      <x:c r="I4" s="17" t="str">
        <x:v>Rate key matches</x:v>
      </x:c>
      <x:c r="J4" s="17" t="str">
        <x:v>Rate classification title</x:v>
      </x:c>
      <x:c r="K4" s="17" t="str">
        <x:v>Union code</x:v>
      </x:c>
      <x:c r="L4" s="17" t="str">
        <x:v>Rate hourly step 1</x:v>
      </x:c>
      <x:c r="M4" s="17" t="str">
        <x:v>Hourly delta</x:v>
      </x:c>
      <x:c r="N4" s="17" t="str">
        <x:v>Title check</x:v>
      </x:c>
      <x:c r="O4" s="17" t="str">
        <x:v>Pay check</x:v>
      </x:c>
      <x:c r="P4" s="17" t="str">
        <x:v>Biweekly minimum</x:v>
      </x:c>
      <x:c r="Q4" s="17" t="str">
        <x:v>Estimated annual pay</x:v>
      </x:c>
      <x:c r="R4" s="17" t="str">
        <x:v>Reconciliation status</x:v>
      </x:c>
      <x:c r="S4" s="17" t="str">
        <x:v>Reviewer status</x:v>
      </x:c>
      <x:c r="T4" s="17" t="str">
        <x:v>Reviewer notes</x:v>
      </x:c>
    </x:row>
    <x:row r="5">
      <x:c r="A5" t="n">
        <x:f>Plan_Raw!A5</x:f>
        <x:v>2</x:v>
      </x:c>
      <x:c r="B5" t="str">
        <x:f>Plan_Raw!D5</x:f>
        <x:v>0140</x:v>
      </x:c>
      <x:c r="C5" t="str">
        <x:f>LEFT(Plan_Raw!B5,10)</x:f>
        <x:v>2020-07-01</x:v>
      </x:c>
      <x:c r="D5" t="str">
        <x:f>Plan_Raw!F5</x:f>
        <x:v>COMMN</x:v>
      </x:c>
      <x:c r="E5" t="str">
        <x:f>Plan_Raw!E5</x:f>
        <x:v>Chief Of Department, (Fire Department)</x:v>
      </x:c>
      <x:c r="F5" t="str">
        <x:f>Plan_Raw!C5</x:f>
        <x:v>0140S</x:v>
      </x:c>
      <x:c r="G5" s="50" t="n">
        <x:f>IF(Plan_Raw!G5="","",IFERROR(VALUE(Plan_Raw!G5),""))</x:f>
        <x:v>161.8875</x:v>
      </x:c>
      <x:c r="H5" t="str">
        <x:f>Plan_Raw!AH5</x:f>
        <x:v>0140|COMMN|2020-07-01</x:v>
      </x:c>
      <x:c r="I5" t="n">
        <x:f>COUNTIF(Rates_Raw!$AF$5:$AF$464,H5)</x:f>
        <x:v>1</x:v>
      </x:c>
      <x:c r="J5" t="str">
        <x:f>IF(I5=1,_xlfn.XLOOKUP(H5,Rates_Raw!$AF$5:$AF$464,Rates_Raw!$E$5:$E$464,""),"")</x:f>
        <x:v>Chief Of Department, (Fire Department)</x:v>
      </x:c>
      <x:c r="K5" t="n">
        <x:f>IF(I5=1,_xlfn.XLOOKUP(H5,Rates_Raw!$AF$5:$AF$464,Rates_Raw!$F$5:$F$464,""),"")</x:f>
        <x:v>352</x:v>
      </x:c>
      <x:c r="L5" s="50" t="n">
        <x:f>IF(I5=1,IFERROR(VALUE(SUBSTITUTE(_xlfn.XLOOKUP(H5,Rates_Raw!$AF$5:$AF$464,Rates_Raw!$L$5:$L$464,""),"$","")),""),"")</x:f>
        <x:v>161.8875</x:v>
      </x:c>
      <x:c r="M5" s="50" t="n">
        <x:f>IF(OR(G5="",L5=""),"",ROUND(G5-L5,4))</x:f>
        <x:v>0</x:v>
      </x:c>
      <x:c r="N5" t="str">
        <x:f>IF(I5=0,"NO MATCH",IF(I5&gt;1,"AMBIGUOUS",IF(EXACT(TRIM(E5),TRIM(J5)),"EXACT","TITLE VARIANT")))</x:f>
        <x:v>EXACT</x:v>
      </x:c>
      <x:c r="O5" t="str">
        <x:f>IF(I5&lt;&gt;1,"NOT TESTED",IF(OR(G5="",L5=""),"MISSING",IF(ABS(M5)&lt;=Guide!$B$16,"PASS","REVIEW")))</x:f>
        <x:v>PASS</x:v>
      </x:c>
      <x:c r="P5" s="52" t="n">
        <x:f>IF(I5=1,IFERROR(VALUE(SUBSTITUTE(SUBSTITUTE(_xlfn.XLOOKUP(H5,Rates_Raw!$AF$5:$AF$464,Rates_Raw!$I$5:$I$464,""),"$",""),",","")),""),"")</x:f>
        <x:v>12951</x:v>
      </x:c>
      <x:c r="Q5" s="52" t="n">
        <x:f>IF(P5="","",P5*Guide!$B$15)</x:f>
        <x:v>336726</x:v>
      </x:c>
      <x:c r="R5" t="str">
        <x:f>IF(I5=0,"UNMATCHED",IF(I5&gt;1,"DUPLICATE KEY",IF(OR(N5="TITLE VARIANT",O5="REVIEW",O5="MISSING"),"REVIEW","VERIFIED")))</x:f>
        <x:v>VERIFIED</x:v>
      </x:c>
      <x:c r="S5" s="46" t="str">
        <x:v>Not Reviewed</x:v>
      </x:c>
      <x:c r="T5" s="48"/>
    </x:row>
    <x:row r="6">
      <x:c r="A6" t="n">
        <x:f>Plan_Raw!A6</x:f>
        <x:v>6</x:v>
      </x:c>
      <x:c r="B6" t="str">
        <x:f>Plan_Raw!D6</x:f>
        <x:v>0140</x:v>
      </x:c>
      <x:c r="C6" t="str">
        <x:f>LEFT(Plan_Raw!B6,10)</x:f>
        <x:v>2024-01-06</x:v>
      </x:c>
      <x:c r="D6" t="str">
        <x:f>Plan_Raw!F6</x:f>
        <x:v>COMMN</x:v>
      </x:c>
      <x:c r="E6" t="str">
        <x:f>Plan_Raw!E6</x:f>
        <x:v>Chief Of Department, (Fire Department)</x:v>
      </x:c>
      <x:c r="F6" t="str">
        <x:f>Plan_Raw!C6</x:f>
        <x:v>0140Y</x:v>
      </x:c>
      <x:c r="G6" s="50" t="n">
        <x:f>IF(Plan_Raw!G6="","",IFERROR(VALUE(Plan_Raw!G6),""))</x:f>
        <x:v>185.4</x:v>
      </x:c>
      <x:c r="H6" t="str">
        <x:f>Plan_Raw!AH6</x:f>
        <x:v>0140|COMMN|2024-01-06</x:v>
      </x:c>
      <x:c r="I6" t="n">
        <x:f>COUNTIF(Rates_Raw!$AF$5:$AF$464,H6)</x:f>
        <x:v>1</x:v>
      </x:c>
      <x:c r="J6" t="str">
        <x:f>IF(I6=1,_xlfn.XLOOKUP(H6,Rates_Raw!$AF$5:$AF$464,Rates_Raw!$E$5:$E$464,""),"")</x:f>
        <x:v>Chief Of Department, (Fire Department)</x:v>
      </x:c>
      <x:c r="K6" t="n">
        <x:f>IF(I6=1,_xlfn.XLOOKUP(H6,Rates_Raw!$AF$5:$AF$464,Rates_Raw!$F$5:$F$464,""),"")</x:f>
        <x:v>352</x:v>
      </x:c>
      <x:c r="L6" s="50" t="n">
        <x:f>IF(I6=1,IFERROR(VALUE(SUBSTITUTE(_xlfn.XLOOKUP(H6,Rates_Raw!$AF$5:$AF$464,Rates_Raw!$L$5:$L$464,""),"$","")),""),"")</x:f>
        <x:v>185.4</x:v>
      </x:c>
      <x:c r="M6" s="50" t="n">
        <x:f>IF(OR(G6="",L6=""),"",ROUND(G6-L6,4))</x:f>
        <x:v>0</x:v>
      </x:c>
      <x:c r="N6" t="str">
        <x:f>IF(I6=0,"NO MATCH",IF(I6&gt;1,"AMBIGUOUS",IF(EXACT(TRIM(E6),TRIM(J6)),"EXACT","TITLE VARIANT")))</x:f>
        <x:v>EXACT</x:v>
      </x:c>
      <x:c r="O6" t="str">
        <x:f>IF(I6&lt;&gt;1,"NOT TESTED",IF(OR(G6="",L6=""),"MISSING",IF(ABS(M6)&lt;=Guide!$B$16,"PASS","REVIEW")))</x:f>
        <x:v>PASS</x:v>
      </x:c>
      <x:c r="P6" s="52" t="n">
        <x:f>IF(I6=1,IFERROR(VALUE(SUBSTITUTE(SUBSTITUTE(_xlfn.XLOOKUP(H6,Rates_Raw!$AF$5:$AF$464,Rates_Raw!$I$5:$I$464,""),"$",""),",","")),""),"")</x:f>
        <x:v>14832</x:v>
      </x:c>
      <x:c r="Q6" s="52" t="n">
        <x:f>IF(P6="","",P6*Guide!$B$15)</x:f>
        <x:v>385632</x:v>
      </x:c>
      <x:c r="R6" t="str">
        <x:f>IF(I6=0,"UNMATCHED",IF(I6&gt;1,"DUPLICATE KEY",IF(OR(N6="TITLE VARIANT",O6="REVIEW",O6="MISSING"),"REVIEW","VERIFIED")))</x:f>
        <x:v>VERIFIED</x:v>
      </x:c>
      <x:c r="S6" s="46" t="str">
        <x:v>Not Reviewed</x:v>
      </x:c>
      <x:c r="T6" s="48"/>
    </x:row>
    <x:row r="7">
      <x:c r="A7" t="n">
        <x:f>Plan_Raw!A7</x:f>
        <x:v>14</x:v>
      </x:c>
      <x:c r="B7" t="str">
        <x:f>Plan_Raw!D7</x:f>
        <x:v>0140</x:v>
      </x:c>
      <x:c r="C7" t="str">
        <x:f>LEFT(Plan_Raw!B7,10)</x:f>
        <x:v>2024-01-06</x:v>
      </x:c>
      <x:c r="D7" t="str">
        <x:f>Plan_Raw!F7</x:f>
        <x:v>SUPPRESSION</x:v>
      </x:c>
      <x:c r="E7" t="str">
        <x:f>Plan_Raw!E7</x:f>
        <x:v>Chief Of Department, (Fire Department)</x:v>
      </x:c>
      <x:c r="F7" t="str">
        <x:f>Plan_Raw!C7</x:f>
        <x:v>0140Y</x:v>
      </x:c>
      <x:c r="G7" s="50" t="n">
        <x:f>IF(Plan_Raw!G7="","",IFERROR(VALUE(Plan_Raw!G7),""))</x:f>
        <x:v>152.2793</x:v>
      </x:c>
      <x:c r="H7" t="str">
        <x:f>Plan_Raw!AH7</x:f>
        <x:v>0140|SUPPRESSION|2024-01-06</x:v>
      </x:c>
      <x:c r="I7" t="n">
        <x:f>COUNTIF(Rates_Raw!$AF$5:$AF$464,H7)</x:f>
        <x:v>1</x:v>
      </x:c>
      <x:c r="J7" t="str">
        <x:f>IF(I7=1,_xlfn.XLOOKUP(H7,Rates_Raw!$AF$5:$AF$464,Rates_Raw!$E$5:$E$464,""),"")</x:f>
        <x:v>Chief Of Department, (Fire Department)</x:v>
      </x:c>
      <x:c r="K7" t="n">
        <x:f>IF(I7=1,_xlfn.XLOOKUP(H7,Rates_Raw!$AF$5:$AF$464,Rates_Raw!$F$5:$F$464,""),"")</x:f>
        <x:v>352</x:v>
      </x:c>
      <x:c r="L7" s="50" t="n">
        <x:f>IF(I7=1,IFERROR(VALUE(SUBSTITUTE(_xlfn.XLOOKUP(H7,Rates_Raw!$AF$5:$AF$464,Rates_Raw!$L$5:$L$464,""),"$","")),""),"")</x:f>
        <x:v>152.2793</x:v>
      </x:c>
      <x:c r="M7" s="50" t="n">
        <x:f>IF(OR(G7="",L7=""),"",ROUND(G7-L7,4))</x:f>
        <x:v>0</x:v>
      </x:c>
      <x:c r="N7" t="str">
        <x:f>IF(I7=0,"NO MATCH",IF(I7&gt;1,"AMBIGUOUS",IF(EXACT(TRIM(E7),TRIM(J7)),"EXACT","TITLE VARIANT")))</x:f>
        <x:v>EXACT</x:v>
      </x:c>
      <x:c r="O7" t="str">
        <x:f>IF(I7&lt;&gt;1,"NOT TESTED",IF(OR(G7="",L7=""),"MISSING",IF(ABS(M7)&lt;=Guide!$B$16,"PASS","REVIEW")))</x:f>
        <x:v>PASS</x:v>
      </x:c>
      <x:c r="P7" s="52" t="n">
        <x:f>IF(I7=1,IFERROR(VALUE(SUBSTITUTE(SUBSTITUTE(_xlfn.XLOOKUP(H7,Rates_Raw!$AF$5:$AF$464,Rates_Raw!$I$5:$I$464,""),"$",""),",","")),""),"")</x:f>
        <x:v>12182</x:v>
      </x:c>
      <x:c r="Q7" s="52" t="n">
        <x:f>IF(P7="","",P7*Guide!$B$15)</x:f>
        <x:v>316732</x:v>
      </x:c>
      <x:c r="R7" t="str">
        <x:f>IF(I7=0,"UNMATCHED",IF(I7&gt;1,"DUPLICATE KEY",IF(OR(N7="TITLE VARIANT",O7="REVIEW",O7="MISSING"),"REVIEW","VERIFIED")))</x:f>
        <x:v>VERIFIED</x:v>
      </x:c>
      <x:c r="S7" s="46" t="str">
        <x:v>Not Reviewed</x:v>
      </x:c>
      <x:c r="T7" s="48"/>
    </x:row>
    <x:row r="8">
      <x:c r="A8" t="n">
        <x:f>Plan_Raw!A8</x:f>
        <x:v>7</x:v>
      </x:c>
      <x:c r="B8" t="str">
        <x:f>Plan_Raw!D8</x:f>
        <x:v>0140</x:v>
      </x:c>
      <x:c r="C8" t="str">
        <x:f>LEFT(Plan_Raw!B8,10)</x:f>
        <x:v>2024-07-01</x:v>
      </x:c>
      <x:c r="D8" t="str">
        <x:f>Plan_Raw!F8</x:f>
        <x:v>COMMN</x:v>
      </x:c>
      <x:c r="E8" t="str">
        <x:f>Plan_Raw!E8</x:f>
        <x:v>Chief Of Department, (Fire Department)</x:v>
      </x:c>
      <x:c r="F8" t="str">
        <x:f>Plan_Raw!C8</x:f>
        <x:v>0140Z</x:v>
      </x:c>
      <x:c r="G8" s="50" t="n">
        <x:f>IF(Plan_Raw!G8="","",IFERROR(VALUE(Plan_Raw!G8),""))</x:f>
        <x:v>185.4</x:v>
      </x:c>
      <x:c r="H8" t="str">
        <x:f>Plan_Raw!AH8</x:f>
        <x:v>0140|COMMN|2024-07-01</x:v>
      </x:c>
      <x:c r="I8" t="n">
        <x:f>COUNTIF(Rates_Raw!$AF$5:$AF$464,H8)</x:f>
        <x:v>1</x:v>
      </x:c>
      <x:c r="J8" t="str">
        <x:f>IF(I8=1,_xlfn.XLOOKUP(H8,Rates_Raw!$AF$5:$AF$464,Rates_Raw!$E$5:$E$464,""),"")</x:f>
        <x:v>Chief Of Department, (Fire Department)</x:v>
      </x:c>
      <x:c r="K8" t="n">
        <x:f>IF(I8=1,_xlfn.XLOOKUP(H8,Rates_Raw!$AF$5:$AF$464,Rates_Raw!$F$5:$F$464,""),"")</x:f>
        <x:v>352</x:v>
      </x:c>
      <x:c r="L8" s="50" t="n">
        <x:f>IF(I8=1,IFERROR(VALUE(SUBSTITUTE(_xlfn.XLOOKUP(H8,Rates_Raw!$AF$5:$AF$464,Rates_Raw!$L$5:$L$464,""),"$","")),""),"")</x:f>
        <x:v>185.4</x:v>
      </x:c>
      <x:c r="M8" s="50" t="n">
        <x:f>IF(OR(G8="",L8=""),"",ROUND(G8-L8,4))</x:f>
        <x:v>0</x:v>
      </x:c>
      <x:c r="N8" t="str">
        <x:f>IF(I8=0,"NO MATCH",IF(I8&gt;1,"AMBIGUOUS",IF(EXACT(TRIM(E8),TRIM(J8)),"EXACT","TITLE VARIANT")))</x:f>
        <x:v>EXACT</x:v>
      </x:c>
      <x:c r="O8" t="str">
        <x:f>IF(I8&lt;&gt;1,"NOT TESTED",IF(OR(G8="",L8=""),"MISSING",IF(ABS(M8)&lt;=Guide!$B$16,"PASS","REVIEW")))</x:f>
        <x:v>PASS</x:v>
      </x:c>
      <x:c r="P8" s="52" t="n">
        <x:f>IF(I8=1,IFERROR(VALUE(SUBSTITUTE(SUBSTITUTE(_xlfn.XLOOKUP(H8,Rates_Raw!$AF$5:$AF$464,Rates_Raw!$I$5:$I$464,""),"$",""),",","")),""),"")</x:f>
        <x:v>14832</x:v>
      </x:c>
      <x:c r="Q8" s="52" t="n">
        <x:f>IF(P8="","",P8*Guide!$B$15)</x:f>
        <x:v>385632</x:v>
      </x:c>
      <x:c r="R8" t="str">
        <x:f>IF(I8=0,"UNMATCHED",IF(I8&gt;1,"DUPLICATE KEY",IF(OR(N8="TITLE VARIANT",O8="REVIEW",O8="MISSING"),"REVIEW","VERIFIED")))</x:f>
        <x:v>VERIFIED</x:v>
      </x:c>
      <x:c r="S8" s="46" t="str">
        <x:v>Not Reviewed</x:v>
      </x:c>
      <x:c r="T8" s="48"/>
    </x:row>
    <x:row r="9">
      <x:c r="A9" t="n">
        <x:f>Plan_Raw!A9</x:f>
        <x:v>15</x:v>
      </x:c>
      <x:c r="B9" t="str">
        <x:f>Plan_Raw!D9</x:f>
        <x:v>0140</x:v>
      </x:c>
      <x:c r="C9" t="str">
        <x:f>LEFT(Plan_Raw!B9,10)</x:f>
        <x:v>2024-07-01</x:v>
      </x:c>
      <x:c r="D9" t="str">
        <x:f>Plan_Raw!F9</x:f>
        <x:v>SUPPRESSION</x:v>
      </x:c>
      <x:c r="E9" t="str">
        <x:f>Plan_Raw!E9</x:f>
        <x:v>Chief Of Department, (Fire Department)</x:v>
      </x:c>
      <x:c r="F9" t="str">
        <x:f>Plan_Raw!C9</x:f>
        <x:v>0140Z</x:v>
      </x:c>
      <x:c r="G9" s="50" t="n">
        <x:f>IF(Plan_Raw!G9="","",IFERROR(VALUE(Plan_Raw!G9),""))</x:f>
        <x:v>152.2793</x:v>
      </x:c>
      <x:c r="H9" t="str">
        <x:f>Plan_Raw!AH9</x:f>
        <x:v>0140|SUPPRESSION|2024-07-01</x:v>
      </x:c>
      <x:c r="I9" t="n">
        <x:f>COUNTIF(Rates_Raw!$AF$5:$AF$464,H9)</x:f>
        <x:v>1</x:v>
      </x:c>
      <x:c r="J9" t="str">
        <x:f>IF(I9=1,_xlfn.XLOOKUP(H9,Rates_Raw!$AF$5:$AF$464,Rates_Raw!$E$5:$E$464,""),"")</x:f>
        <x:v>Chief Of Department, (Fire Department)</x:v>
      </x:c>
      <x:c r="K9" t="n">
        <x:f>IF(I9=1,_xlfn.XLOOKUP(H9,Rates_Raw!$AF$5:$AF$464,Rates_Raw!$F$5:$F$464,""),"")</x:f>
        <x:v>352</x:v>
      </x:c>
      <x:c r="L9" s="50" t="n">
        <x:f>IF(I9=1,IFERROR(VALUE(SUBSTITUTE(_xlfn.XLOOKUP(H9,Rates_Raw!$AF$5:$AF$464,Rates_Raw!$L$5:$L$464,""),"$","")),""),"")</x:f>
        <x:v>152.2793</x:v>
      </x:c>
      <x:c r="M9" s="50" t="n">
        <x:f>IF(OR(G9="",L9=""),"",ROUND(G9-L9,4))</x:f>
        <x:v>0</x:v>
      </x:c>
      <x:c r="N9" t="str">
        <x:f>IF(I9=0,"NO MATCH",IF(I9&gt;1,"AMBIGUOUS",IF(EXACT(TRIM(E9),TRIM(J9)),"EXACT","TITLE VARIANT")))</x:f>
        <x:v>EXACT</x:v>
      </x:c>
      <x:c r="O9" t="str">
        <x:f>IF(I9&lt;&gt;1,"NOT TESTED",IF(OR(G9="",L9=""),"MISSING",IF(ABS(M9)&lt;=Guide!$B$16,"PASS","REVIEW")))</x:f>
        <x:v>PASS</x:v>
      </x:c>
      <x:c r="P9" s="52" t="n">
        <x:f>IF(I9=1,IFERROR(VALUE(SUBSTITUTE(SUBSTITUTE(_xlfn.XLOOKUP(H9,Rates_Raw!$AF$5:$AF$464,Rates_Raw!$I$5:$I$464,""),"$",""),",","")),""),"")</x:f>
        <x:v>12182</x:v>
      </x:c>
      <x:c r="Q9" s="52" t="n">
        <x:f>IF(P9="","",P9*Guide!$B$15)</x:f>
        <x:v>316732</x:v>
      </x:c>
      <x:c r="R9" t="str">
        <x:f>IF(I9=0,"UNMATCHED",IF(I9&gt;1,"DUPLICATE KEY",IF(OR(N9="TITLE VARIANT",O9="REVIEW",O9="MISSING"),"REVIEW","VERIFIED")))</x:f>
        <x:v>VERIFIED</x:v>
      </x:c>
      <x:c r="S9" s="46" t="str">
        <x:v>Not Reviewed</x:v>
      </x:c>
      <x:c r="T9" s="48"/>
    </x:row>
    <x:row r="10">
      <x:c r="A10" t="n">
        <x:f>Plan_Raw!A10</x:f>
        <x:v>8</x:v>
      </x:c>
      <x:c r="B10" t="str">
        <x:f>Plan_Raw!D10</x:f>
        <x:v>0140</x:v>
      </x:c>
      <x:c r="C10" t="str">
        <x:f>LEFT(Plan_Raw!B10,10)</x:f>
        <x:v>2025-01-04</x:v>
      </x:c>
      <x:c r="D10" t="str">
        <x:f>Plan_Raw!F10</x:f>
        <x:v>COMMN</x:v>
      </x:c>
      <x:c r="E10" t="str">
        <x:f>Plan_Raw!E10</x:f>
        <x:v>Chief Of Department, (Fire Department)</x:v>
      </x:c>
      <x:c r="F10" t="str">
        <x:f>Plan_Raw!C10</x:f>
        <x:v>0140A</x:v>
      </x:c>
      <x:c r="G10" s="50" t="n">
        <x:f>IF(Plan_Raw!G10="","",IFERROR(VALUE(Plan_Raw!G10),""))</x:f>
        <x:v>190.9625</x:v>
      </x:c>
      <x:c r="H10" t="str">
        <x:f>Plan_Raw!AH10</x:f>
        <x:v>0140|COMMN|2025-01-04</x:v>
      </x:c>
      <x:c r="I10" t="n">
        <x:f>COUNTIF(Rates_Raw!$AF$5:$AF$464,H10)</x:f>
        <x:v>1</x:v>
      </x:c>
      <x:c r="J10" t="str">
        <x:f>IF(I10=1,_xlfn.XLOOKUP(H10,Rates_Raw!$AF$5:$AF$464,Rates_Raw!$E$5:$E$464,""),"")</x:f>
        <x:v>Chief Of Department, (Fire Department)</x:v>
      </x:c>
      <x:c r="K10" t="n">
        <x:f>IF(I10=1,_xlfn.XLOOKUP(H10,Rates_Raw!$AF$5:$AF$464,Rates_Raw!$F$5:$F$464,""),"")</x:f>
        <x:v>352</x:v>
      </x:c>
      <x:c r="L10" s="50" t="n">
        <x:f>IF(I10=1,IFERROR(VALUE(SUBSTITUTE(_xlfn.XLOOKUP(H10,Rates_Raw!$AF$5:$AF$464,Rates_Raw!$L$5:$L$464,""),"$","")),""),"")</x:f>
        <x:v>190.9625</x:v>
      </x:c>
      <x:c r="M10" s="50" t="n">
        <x:f>IF(OR(G10="",L10=""),"",ROUND(G10-L10,4))</x:f>
        <x:v>0</x:v>
      </x:c>
      <x:c r="N10" t="str">
        <x:f>IF(I10=0,"NO MATCH",IF(I10&gt;1,"AMBIGUOUS",IF(EXACT(TRIM(E10),TRIM(J10)),"EXACT","TITLE VARIANT")))</x:f>
        <x:v>EXACT</x:v>
      </x:c>
      <x:c r="O10" t="str">
        <x:f>IF(I10&lt;&gt;1,"NOT TESTED",IF(OR(G10="",L10=""),"MISSING",IF(ABS(M10)&lt;=Guide!$B$16,"PASS","REVIEW")))</x:f>
        <x:v>PASS</x:v>
      </x:c>
      <x:c r="P10" s="52" t="n">
        <x:f>IF(I10=1,IFERROR(VALUE(SUBSTITUTE(SUBSTITUTE(_xlfn.XLOOKUP(H10,Rates_Raw!$AF$5:$AF$464,Rates_Raw!$I$5:$I$464,""),"$",""),",","")),""),"")</x:f>
        <x:v>15277</x:v>
      </x:c>
      <x:c r="Q10" s="52" t="n">
        <x:f>IF(P10="","",P10*Guide!$B$15)</x:f>
        <x:v>397202</x:v>
      </x:c>
      <x:c r="R10" t="str">
        <x:f>IF(I10=0,"UNMATCHED",IF(I10&gt;1,"DUPLICATE KEY",IF(OR(N10="TITLE VARIANT",O10="REVIEW",O10="MISSING"),"REVIEW","VERIFIED")))</x:f>
        <x:v>VERIFIED</x:v>
      </x:c>
      <x:c r="S10" s="46" t="str">
        <x:v>Not Reviewed</x:v>
      </x:c>
      <x:c r="T10" s="48"/>
    </x:row>
    <x:row r="11">
      <x:c r="A11" t="n">
        <x:f>Plan_Raw!A11</x:f>
        <x:v>16</x:v>
      </x:c>
      <x:c r="B11" t="str">
        <x:f>Plan_Raw!D11</x:f>
        <x:v>0140</x:v>
      </x:c>
      <x:c r="C11" t="str">
        <x:f>LEFT(Plan_Raw!B11,10)</x:f>
        <x:v>2025-01-04</x:v>
      </x:c>
      <x:c r="D11" t="str">
        <x:f>Plan_Raw!F11</x:f>
        <x:v>SUPPRESSION</x:v>
      </x:c>
      <x:c r="E11" t="str">
        <x:f>Plan_Raw!E11</x:f>
        <x:v>Chief Of Department, (Fire Department)</x:v>
      </x:c>
      <x:c r="F11" t="str">
        <x:f>Plan_Raw!C11</x:f>
        <x:v>0140A</x:v>
      </x:c>
      <x:c r="G11" s="50" t="n">
        <x:f>IF(Plan_Raw!G11="","",IFERROR(VALUE(Plan_Raw!G11),""))</x:f>
        <x:v>156.848</x:v>
      </x:c>
      <x:c r="H11" t="str">
        <x:f>Plan_Raw!AH11</x:f>
        <x:v>0140|SUPPRESSION|2025-01-04</x:v>
      </x:c>
      <x:c r="I11" t="n">
        <x:f>COUNTIF(Rates_Raw!$AF$5:$AF$464,H11)</x:f>
        <x:v>1</x:v>
      </x:c>
      <x:c r="J11" t="str">
        <x:f>IF(I11=1,_xlfn.XLOOKUP(H11,Rates_Raw!$AF$5:$AF$464,Rates_Raw!$E$5:$E$464,""),"")</x:f>
        <x:v>Chief Of Department, (Fire Department)</x:v>
      </x:c>
      <x:c r="K11" t="n">
        <x:f>IF(I11=1,_xlfn.XLOOKUP(H11,Rates_Raw!$AF$5:$AF$464,Rates_Raw!$F$5:$F$464,""),"")</x:f>
        <x:v>352</x:v>
      </x:c>
      <x:c r="L11" s="50" t="n">
        <x:f>IF(I11=1,IFERROR(VALUE(SUBSTITUTE(_xlfn.XLOOKUP(H11,Rates_Raw!$AF$5:$AF$464,Rates_Raw!$L$5:$L$464,""),"$","")),""),"")</x:f>
        <x:v>156.848</x:v>
      </x:c>
      <x:c r="M11" s="50" t="n">
        <x:f>IF(OR(G11="",L11=""),"",ROUND(G11-L11,4))</x:f>
        <x:v>0</x:v>
      </x:c>
      <x:c r="N11" t="str">
        <x:f>IF(I11=0,"NO MATCH",IF(I11&gt;1,"AMBIGUOUS",IF(EXACT(TRIM(E11),TRIM(J11)),"EXACT","TITLE VARIANT")))</x:f>
        <x:v>EXACT</x:v>
      </x:c>
      <x:c r="O11" t="str">
        <x:f>IF(I11&lt;&gt;1,"NOT TESTED",IF(OR(G11="",L11=""),"MISSING",IF(ABS(M11)&lt;=Guide!$B$16,"PASS","REVIEW")))</x:f>
        <x:v>PASS</x:v>
      </x:c>
      <x:c r="P11" s="52" t="n">
        <x:f>IF(I11=1,IFERROR(VALUE(SUBSTITUTE(SUBSTITUTE(_xlfn.XLOOKUP(H11,Rates_Raw!$AF$5:$AF$464,Rates_Raw!$I$5:$I$464,""),"$",""),",","")),""),"")</x:f>
        <x:v>12548</x:v>
      </x:c>
      <x:c r="Q11" s="52" t="n">
        <x:f>IF(P11="","",P11*Guide!$B$15)</x:f>
        <x:v>326248</x:v>
      </x:c>
      <x:c r="R11" t="str">
        <x:f>IF(I11=0,"UNMATCHED",IF(I11&gt;1,"DUPLICATE KEY",IF(OR(N11="TITLE VARIANT",O11="REVIEW",O11="MISSING"),"REVIEW","VERIFIED")))</x:f>
        <x:v>VERIFIED</x:v>
      </x:c>
      <x:c r="S11" s="46" t="str">
        <x:v>Not Reviewed</x:v>
      </x:c>
      <x:c r="T11" s="48"/>
    </x:row>
    <x:row r="12">
      <x:c r="A12" t="n">
        <x:f>Plan_Raw!A12</x:f>
        <x:v>9</x:v>
      </x:c>
      <x:c r="B12" t="str">
        <x:f>Plan_Raw!D12</x:f>
        <x:v>0140</x:v>
      </x:c>
      <x:c r="C12" t="str">
        <x:f>LEFT(Plan_Raw!B12,10)</x:f>
        <x:v>2025-07-01</x:v>
      </x:c>
      <x:c r="D12" t="str">
        <x:f>Plan_Raw!F12</x:f>
        <x:v>COMMN</x:v>
      </x:c>
      <x:c r="E12" t="str">
        <x:f>Plan_Raw!E12</x:f>
        <x:v>Chief, Fire Department</x:v>
      </x:c>
      <x:c r="F12" t="str">
        <x:f>Plan_Raw!C12</x:f>
        <x:v>0140B</x:v>
      </x:c>
      <x:c r="G12" s="50" t="n">
        <x:f>IF(Plan_Raw!G12="","",IFERROR(VALUE(Plan_Raw!G12),""))</x:f>
        <x:v>196.6875</x:v>
      </x:c>
      <x:c r="H12" t="str">
        <x:f>Plan_Raw!AH12</x:f>
        <x:v>0140|COMMN|2025-07-01</x:v>
      </x:c>
      <x:c r="I12" t="n">
        <x:f>COUNTIF(Rates_Raw!$AF$5:$AF$464,H12)</x:f>
        <x:v>1</x:v>
      </x:c>
      <x:c r="J12" t="str">
        <x:f>IF(I12=1,_xlfn.XLOOKUP(H12,Rates_Raw!$AF$5:$AF$464,Rates_Raw!$E$5:$E$464,""),"")</x:f>
        <x:v>Chief, Fire Department</x:v>
      </x:c>
      <x:c r="K12" t="n">
        <x:f>IF(I12=1,_xlfn.XLOOKUP(H12,Rates_Raw!$AF$5:$AF$464,Rates_Raw!$F$5:$F$464,""),"")</x:f>
        <x:v>352</x:v>
      </x:c>
      <x:c r="L12" s="50" t="n">
        <x:f>IF(I12=1,IFERROR(VALUE(SUBSTITUTE(_xlfn.XLOOKUP(H12,Rates_Raw!$AF$5:$AF$464,Rates_Raw!$L$5:$L$464,""),"$","")),""),"")</x:f>
        <x:v>196.6875</x:v>
      </x:c>
      <x:c r="M12" s="50" t="n">
        <x:f>IF(OR(G12="",L12=""),"",ROUND(G12-L12,4))</x:f>
        <x:v>0</x:v>
      </x:c>
      <x:c r="N12" t="str">
        <x:f>IF(I12=0,"NO MATCH",IF(I12&gt;1,"AMBIGUOUS",IF(EXACT(TRIM(E12),TRIM(J12)),"EXACT","TITLE VARIANT")))</x:f>
        <x:v>EXACT</x:v>
      </x:c>
      <x:c r="O12" t="str">
        <x:f>IF(I12&lt;&gt;1,"NOT TESTED",IF(OR(G12="",L12=""),"MISSING",IF(ABS(M12)&lt;=Guide!$B$16,"PASS","REVIEW")))</x:f>
        <x:v>PASS</x:v>
      </x:c>
      <x:c r="P12" s="52" t="n">
        <x:f>IF(I12=1,IFERROR(VALUE(SUBSTITUTE(SUBSTITUTE(_xlfn.XLOOKUP(H12,Rates_Raw!$AF$5:$AF$464,Rates_Raw!$I$5:$I$464,""),"$",""),",","")),""),"")</x:f>
        <x:v>15735</x:v>
      </x:c>
      <x:c r="Q12" s="52" t="n">
        <x:f>IF(P12="","",P12*Guide!$B$15)</x:f>
        <x:v>409110</x:v>
      </x:c>
      <x:c r="R12" t="str">
        <x:f>IF(I12=0,"UNMATCHED",IF(I12&gt;1,"DUPLICATE KEY",IF(OR(N12="TITLE VARIANT",O12="REVIEW",O12="MISSING"),"REVIEW","VERIFIED")))</x:f>
        <x:v>VERIFIED</x:v>
      </x:c>
      <x:c r="S12" s="46" t="str">
        <x:v>Not Reviewed</x:v>
      </x:c>
      <x:c r="T12" s="48"/>
    </x:row>
    <x:row r="13">
      <x:c r="A13" t="n">
        <x:f>Plan_Raw!A13</x:f>
        <x:v>17</x:v>
      </x:c>
      <x:c r="B13" t="str">
        <x:f>Plan_Raw!D13</x:f>
        <x:v>0140</x:v>
      </x:c>
      <x:c r="C13" t="str">
        <x:f>LEFT(Plan_Raw!B13,10)</x:f>
        <x:v>2025-07-01</x:v>
      </x:c>
      <x:c r="D13" t="str">
        <x:f>Plan_Raw!F13</x:f>
        <x:v>SUPPRESSION</x:v>
      </x:c>
      <x:c r="E13" t="str">
        <x:f>Plan_Raw!E13</x:f>
        <x:v>Chief, Fire Department</x:v>
      </x:c>
      <x:c r="F13" t="str">
        <x:f>Plan_Raw!C13</x:f>
        <x:v>0140B</x:v>
      </x:c>
      <x:c r="G13" s="50" t="n">
        <x:f>IF(Plan_Raw!G13="","",IFERROR(VALUE(Plan_Raw!G13),""))</x:f>
        <x:v>161.5503</x:v>
      </x:c>
      <x:c r="H13" t="str">
        <x:f>Plan_Raw!AH13</x:f>
        <x:v>0140|SUPPRESSION|2025-07-01</x:v>
      </x:c>
      <x:c r="I13" t="n">
        <x:f>COUNTIF(Rates_Raw!$AF$5:$AF$464,H13)</x:f>
        <x:v>1</x:v>
      </x:c>
      <x:c r="J13" t="str">
        <x:f>IF(I13=1,_xlfn.XLOOKUP(H13,Rates_Raw!$AF$5:$AF$464,Rates_Raw!$E$5:$E$464,""),"")</x:f>
        <x:v>Chief, Fire Department</x:v>
      </x:c>
      <x:c r="K13" t="n">
        <x:f>IF(I13=1,_xlfn.XLOOKUP(H13,Rates_Raw!$AF$5:$AF$464,Rates_Raw!$F$5:$F$464,""),"")</x:f>
        <x:v>352</x:v>
      </x:c>
      <x:c r="L13" s="50" t="n">
        <x:f>IF(I13=1,IFERROR(VALUE(SUBSTITUTE(_xlfn.XLOOKUP(H13,Rates_Raw!$AF$5:$AF$464,Rates_Raw!$L$5:$L$464,""),"$","")),""),"")</x:f>
        <x:v>161.5503</x:v>
      </x:c>
      <x:c r="M13" s="50" t="n">
        <x:f>IF(OR(G13="",L13=""),"",ROUND(G13-L13,4))</x:f>
        <x:v>0</x:v>
      </x:c>
      <x:c r="N13" t="str">
        <x:f>IF(I13=0,"NO MATCH",IF(I13&gt;1,"AMBIGUOUS",IF(EXACT(TRIM(E13),TRIM(J13)),"EXACT","TITLE VARIANT")))</x:f>
        <x:v>EXACT</x:v>
      </x:c>
      <x:c r="O13" t="str">
        <x:f>IF(I13&lt;&gt;1,"NOT TESTED",IF(OR(G13="",L13=""),"MISSING",IF(ABS(M13)&lt;=Guide!$B$16,"PASS","REVIEW")))</x:f>
        <x:v>PASS</x:v>
      </x:c>
      <x:c r="P13" s="52" t="n">
        <x:f>IF(I13=1,IFERROR(VALUE(SUBSTITUTE(SUBSTITUTE(_xlfn.XLOOKUP(H13,Rates_Raw!$AF$5:$AF$464,Rates_Raw!$I$5:$I$464,""),"$",""),",","")),""),"")</x:f>
        <x:v>12924</x:v>
      </x:c>
      <x:c r="Q13" s="52" t="n">
        <x:f>IF(P13="","",P13*Guide!$B$15)</x:f>
        <x:v>336024</x:v>
      </x:c>
      <x:c r="R13" t="str">
        <x:f>IF(I13=0,"UNMATCHED",IF(I13&gt;1,"DUPLICATE KEY",IF(OR(N13="TITLE VARIANT",O13="REVIEW",O13="MISSING"),"REVIEW","VERIFIED")))</x:f>
        <x:v>VERIFIED</x:v>
      </x:c>
      <x:c r="S13" s="46" t="str">
        <x:v>Not Reviewed</x:v>
      </x:c>
      <x:c r="T13" s="48"/>
    </x:row>
    <x:row r="14">
      <x:c r="A14" t="n">
        <x:f>Plan_Raw!A14</x:f>
        <x:v>10</x:v>
      </x:c>
      <x:c r="B14" t="str">
        <x:f>Plan_Raw!D14</x:f>
        <x:v>0140</x:v>
      </x:c>
      <x:c r="C14" t="str">
        <x:f>LEFT(Plan_Raw!B14,10)</x:f>
        <x:v>2026-07-01</x:v>
      </x:c>
      <x:c r="D14" t="str">
        <x:f>Plan_Raw!F14</x:f>
        <x:v>COMMN</x:v>
      </x:c>
      <x:c r="E14" t="str">
        <x:f>Plan_Raw!E14</x:f>
        <x:v>Chief, Fire Department</x:v>
      </x:c>
      <x:c r="F14" t="str">
        <x:f>Plan_Raw!C14</x:f>
        <x:v>0140D</x:v>
      </x:c>
      <x:c r="G14" s="50" t="n">
        <x:f>IF(Plan_Raw!G14="","",IFERROR(VALUE(Plan_Raw!G14),""))</x:f>
        <x:v>200.625</x:v>
      </x:c>
      <x:c r="H14" t="str">
        <x:f>Plan_Raw!AH14</x:f>
        <x:v>0140|COMMN|2026-07-01</x:v>
      </x:c>
      <x:c r="I14" t="n">
        <x:f>COUNTIF(Rates_Raw!$AF$5:$AF$464,H14)</x:f>
        <x:v>0</x:v>
      </x:c>
      <x:c r="J14" t="str">
        <x:f>IF(I14=1,_xlfn.XLOOKUP(H14,Rates_Raw!$AF$5:$AF$464,Rates_Raw!$E$5:$E$464,""),"")</x:f>
      </x:c>
      <x:c r="K14" t="str">
        <x:f>IF(I14=1,_xlfn.XLOOKUP(H14,Rates_Raw!$AF$5:$AF$464,Rates_Raw!$F$5:$F$464,""),"")</x:f>
      </x:c>
      <x:c r="L14" s="50" t="str">
        <x:f>IF(I14=1,IFERROR(VALUE(SUBSTITUTE(_xlfn.XLOOKUP(H14,Rates_Raw!$AF$5:$AF$464,Rates_Raw!$L$5:$L$464,""),"$","")),""),"")</x:f>
      </x:c>
      <x:c r="M14" s="50" t="str">
        <x:f>IF(OR(G14="",L14=""),"",ROUND(G14-L14,4))</x:f>
      </x:c>
      <x:c r="N14" t="str">
        <x:f>IF(I14=0,"NO MATCH",IF(I14&gt;1,"AMBIGUOUS",IF(EXACT(TRIM(E14),TRIM(J14)),"EXACT","TITLE VARIANT")))</x:f>
        <x:v>NO MATCH</x:v>
      </x:c>
      <x:c r="O14" t="str">
        <x:f>IF(I14&lt;&gt;1,"NOT TESTED",IF(OR(G14="",L14=""),"MISSING",IF(ABS(M14)&lt;=Guide!$B$16,"PASS","REVIEW")))</x:f>
        <x:v>NOT TESTED</x:v>
      </x:c>
      <x:c r="P14" s="52" t="str">
        <x:f>IF(I14=1,IFERROR(VALUE(SUBSTITUTE(SUBSTITUTE(_xlfn.XLOOKUP(H14,Rates_Raw!$AF$5:$AF$464,Rates_Raw!$I$5:$I$464,""),"$",""),",","")),""),"")</x:f>
      </x:c>
      <x:c r="Q14" s="52" t="str">
        <x:f>IF(P14="","",P14*Guide!$B$15)</x:f>
      </x:c>
      <x:c r="R14" t="str">
        <x:f>IF(I14=0,"UNMATCHED",IF(I14&gt;1,"DUPLICATE KEY",IF(OR(N14="TITLE VARIANT",O14="REVIEW",O14="MISSING"),"REVIEW","VERIFIED")))</x:f>
        <x:v>UNMATCHED</x:v>
      </x:c>
      <x:c r="S14" s="46" t="str">
        <x:v>Not Reviewed</x:v>
      </x:c>
      <x:c r="T14" s="48"/>
    </x:row>
    <x:row r="15">
      <x:c r="A15" t="n">
        <x:f>Plan_Raw!A15</x:f>
        <x:v>18</x:v>
      </x:c>
      <x:c r="B15" t="str">
        <x:f>Plan_Raw!D15</x:f>
        <x:v>0140</x:v>
      </x:c>
      <x:c r="C15" t="str">
        <x:f>LEFT(Plan_Raw!B15,10)</x:f>
        <x:v>2026-07-01</x:v>
      </x:c>
      <x:c r="D15" t="str">
        <x:f>Plan_Raw!F15</x:f>
        <x:v>SUPPRESSION</x:v>
      </x:c>
      <x:c r="E15" t="str">
        <x:f>Plan_Raw!E15</x:f>
        <x:v>Chief, Fire Department</x:v>
      </x:c>
      <x:c r="F15" t="str">
        <x:f>Plan_Raw!C15</x:f>
        <x:v>0140D</x:v>
      </x:c>
      <x:c r="G15" s="50" t="n">
        <x:f>IF(Plan_Raw!G15="","",IFERROR(VALUE(Plan_Raw!G15),""))</x:f>
        <x:v>164.7844</x:v>
      </x:c>
      <x:c r="H15" t="str">
        <x:f>Plan_Raw!AH15</x:f>
        <x:v>0140|SUPPRESSION|2026-07-01</x:v>
      </x:c>
      <x:c r="I15" t="n">
        <x:f>COUNTIF(Rates_Raw!$AF$5:$AF$464,H15)</x:f>
        <x:v>0</x:v>
      </x:c>
      <x:c r="J15" t="str">
        <x:f>IF(I15=1,_xlfn.XLOOKUP(H15,Rates_Raw!$AF$5:$AF$464,Rates_Raw!$E$5:$E$464,""),"")</x:f>
      </x:c>
      <x:c r="K15" t="str">
        <x:f>IF(I15=1,_xlfn.XLOOKUP(H15,Rates_Raw!$AF$5:$AF$464,Rates_Raw!$F$5:$F$464,""),"")</x:f>
      </x:c>
      <x:c r="L15" s="50" t="str">
        <x:f>IF(I15=1,IFERROR(VALUE(SUBSTITUTE(_xlfn.XLOOKUP(H15,Rates_Raw!$AF$5:$AF$464,Rates_Raw!$L$5:$L$464,""),"$","")),""),"")</x:f>
      </x:c>
      <x:c r="M15" s="50" t="str">
        <x:f>IF(OR(G15="",L15=""),"",ROUND(G15-L15,4))</x:f>
      </x:c>
      <x:c r="N15" t="str">
        <x:f>IF(I15=0,"NO MATCH",IF(I15&gt;1,"AMBIGUOUS",IF(EXACT(TRIM(E15),TRIM(J15)),"EXACT","TITLE VARIANT")))</x:f>
        <x:v>NO MATCH</x:v>
      </x:c>
      <x:c r="O15" t="str">
        <x:f>IF(I15&lt;&gt;1,"NOT TESTED",IF(OR(G15="",L15=""),"MISSING",IF(ABS(M15)&lt;=Guide!$B$16,"PASS","REVIEW")))</x:f>
        <x:v>NOT TESTED</x:v>
      </x:c>
      <x:c r="P15" s="52" t="str">
        <x:f>IF(I15=1,IFERROR(VALUE(SUBSTITUTE(SUBSTITUTE(_xlfn.XLOOKUP(H15,Rates_Raw!$AF$5:$AF$464,Rates_Raw!$I$5:$I$464,""),"$",""),",","")),""),"")</x:f>
      </x:c>
      <x:c r="Q15" s="52" t="str">
        <x:f>IF(P15="","",P15*Guide!$B$15)</x:f>
      </x:c>
      <x:c r="R15" t="str">
        <x:f>IF(I15=0,"UNMATCHED",IF(I15&gt;1,"DUPLICATE KEY",IF(OR(N15="TITLE VARIANT",O15="REVIEW",O15="MISSING"),"REVIEW","VERIFIED")))</x:f>
        <x:v>UNMATCHED</x:v>
      </x:c>
      <x:c r="S15" s="46" t="str">
        <x:v>Not Reviewed</x:v>
      </x:c>
      <x:c r="T15" s="48"/>
    </x:row>
    <x:row r="16">
      <x:c r="A16" t="n">
        <x:f>Plan_Raw!A16</x:f>
        <x:v>23</x:v>
      </x:c>
      <x:c r="B16" t="str">
        <x:f>Plan_Raw!D16</x:f>
        <x:v>0145</x:v>
      </x:c>
      <x:c r="C16" t="str">
        <x:f>LEFT(Plan_Raw!B16,10)</x:f>
        <x:v>2024-01-06</x:v>
      </x:c>
      <x:c r="D16" t="str">
        <x:f>Plan_Raw!F16</x:f>
        <x:v>COMMN</x:v>
      </x:c>
      <x:c r="E16" t="str">
        <x:f>Plan_Raw!E16</x:f>
        <x:v>Chief of Department (Transitional), (Fire Department)</x:v>
      </x:c>
      <x:c r="F16" t="str">
        <x:f>Plan_Raw!C16</x:f>
        <x:v>0145Y</x:v>
      </x:c>
      <x:c r="G16" s="50" t="n">
        <x:f>IF(Plan_Raw!G16="","",IFERROR(VALUE(Plan_Raw!G16),""))</x:f>
        <x:v>185.4</x:v>
      </x:c>
      <x:c r="H16" t="str">
        <x:f>Plan_Raw!AH16</x:f>
        <x:v>0145|COMMN|2024-01-06</x:v>
      </x:c>
      <x:c r="I16" t="n">
        <x:f>COUNTIF(Rates_Raw!$AF$5:$AF$464,H16)</x:f>
        <x:v>1</x:v>
      </x:c>
      <x:c r="J16" t="str">
        <x:f>IF(I16=1,_xlfn.XLOOKUP(H16,Rates_Raw!$AF$5:$AF$464,Rates_Raw!$E$5:$E$464,""),"")</x:f>
        <x:v>Chief of Department (Transitional), (Fire Department)</x:v>
      </x:c>
      <x:c r="K16" t="n">
        <x:f>IF(I16=1,_xlfn.XLOOKUP(H16,Rates_Raw!$AF$5:$AF$464,Rates_Raw!$F$5:$F$464,""),"")</x:f>
        <x:v>352</x:v>
      </x:c>
      <x:c r="L16" s="50" t="n">
        <x:f>IF(I16=1,IFERROR(VALUE(SUBSTITUTE(_xlfn.XLOOKUP(H16,Rates_Raw!$AF$5:$AF$464,Rates_Raw!$L$5:$L$464,""),"$","")),""),"")</x:f>
        <x:v>185.4</x:v>
      </x:c>
      <x:c r="M16" s="50" t="n">
        <x:f>IF(OR(G16="",L16=""),"",ROUND(G16-L16,4))</x:f>
        <x:v>0</x:v>
      </x:c>
      <x:c r="N16" t="str">
        <x:f>IF(I16=0,"NO MATCH",IF(I16&gt;1,"AMBIGUOUS",IF(EXACT(TRIM(E16),TRIM(J16)),"EXACT","TITLE VARIANT")))</x:f>
        <x:v>EXACT</x:v>
      </x:c>
      <x:c r="O16" t="str">
        <x:f>IF(I16&lt;&gt;1,"NOT TESTED",IF(OR(G16="",L16=""),"MISSING",IF(ABS(M16)&lt;=Guide!$B$16,"PASS","REVIEW")))</x:f>
        <x:v>PASS</x:v>
      </x:c>
      <x:c r="P16" s="52" t="n">
        <x:f>IF(I16=1,IFERROR(VALUE(SUBSTITUTE(SUBSTITUTE(_xlfn.XLOOKUP(H16,Rates_Raw!$AF$5:$AF$464,Rates_Raw!$I$5:$I$464,""),"$",""),",","")),""),"")</x:f>
        <x:v>14832</x:v>
      </x:c>
      <x:c r="Q16" s="52" t="n">
        <x:f>IF(P16="","",P16*Guide!$B$15)</x:f>
        <x:v>385632</x:v>
      </x:c>
      <x:c r="R16" t="str">
        <x:f>IF(I16=0,"UNMATCHED",IF(I16&gt;1,"DUPLICATE KEY",IF(OR(N16="TITLE VARIANT",O16="REVIEW",O16="MISSING"),"REVIEW","VERIFIED")))</x:f>
        <x:v>VERIFIED</x:v>
      </x:c>
      <x:c r="S16" s="46" t="str">
        <x:v>Not Reviewed</x:v>
      </x:c>
      <x:c r="T16" s="48"/>
    </x:row>
    <x:row r="17">
      <x:c r="A17" t="n">
        <x:f>Plan_Raw!A17</x:f>
        <x:v>30</x:v>
      </x:c>
      <x:c r="B17" t="str">
        <x:f>Plan_Raw!D17</x:f>
        <x:v>0145</x:v>
      </x:c>
      <x:c r="C17" t="str">
        <x:f>LEFT(Plan_Raw!B17,10)</x:f>
        <x:v>2024-01-06</x:v>
      </x:c>
      <x:c r="D17" t="str">
        <x:f>Plan_Raw!F17</x:f>
        <x:v>SUPPRESSION</x:v>
      </x:c>
      <x:c r="E17" t="str">
        <x:f>Plan_Raw!E17</x:f>
        <x:v>Chief of Department (Transitional), (Fire Department)</x:v>
      </x:c>
      <x:c r="F17" t="str">
        <x:f>Plan_Raw!C17</x:f>
        <x:v>0145Y</x:v>
      </x:c>
      <x:c r="G17" s="50" t="n">
        <x:f>IF(Plan_Raw!G17="","",IFERROR(VALUE(Plan_Raw!G17),""))</x:f>
        <x:v>152.2793</x:v>
      </x:c>
      <x:c r="H17" t="str">
        <x:f>Plan_Raw!AH17</x:f>
        <x:v>0145|SUPPRESSION|2024-01-06</x:v>
      </x:c>
      <x:c r="I17" t="n">
        <x:f>COUNTIF(Rates_Raw!$AF$5:$AF$464,H17)</x:f>
        <x:v>1</x:v>
      </x:c>
      <x:c r="J17" t="str">
        <x:f>IF(I17=1,_xlfn.XLOOKUP(H17,Rates_Raw!$AF$5:$AF$464,Rates_Raw!$E$5:$E$464,""),"")</x:f>
        <x:v>Chief of Department (Transitional), (Fire Department)</x:v>
      </x:c>
      <x:c r="K17" t="n">
        <x:f>IF(I17=1,_xlfn.XLOOKUP(H17,Rates_Raw!$AF$5:$AF$464,Rates_Raw!$F$5:$F$464,""),"")</x:f>
        <x:v>352</x:v>
      </x:c>
      <x:c r="L17" s="50" t="n">
        <x:f>IF(I17=1,IFERROR(VALUE(SUBSTITUTE(_xlfn.XLOOKUP(H17,Rates_Raw!$AF$5:$AF$464,Rates_Raw!$L$5:$L$464,""),"$","")),""),"")</x:f>
        <x:v>152.2793</x:v>
      </x:c>
      <x:c r="M17" s="50" t="n">
        <x:f>IF(OR(G17="",L17=""),"",ROUND(G17-L17,4))</x:f>
        <x:v>0</x:v>
      </x:c>
      <x:c r="N17" t="str">
        <x:f>IF(I17=0,"NO MATCH",IF(I17&gt;1,"AMBIGUOUS",IF(EXACT(TRIM(E17),TRIM(J17)),"EXACT","TITLE VARIANT")))</x:f>
        <x:v>EXACT</x:v>
      </x:c>
      <x:c r="O17" t="str">
        <x:f>IF(I17&lt;&gt;1,"NOT TESTED",IF(OR(G17="",L17=""),"MISSING",IF(ABS(M17)&lt;=Guide!$B$16,"PASS","REVIEW")))</x:f>
        <x:v>PASS</x:v>
      </x:c>
      <x:c r="P17" s="52" t="n">
        <x:f>IF(I17=1,IFERROR(VALUE(SUBSTITUTE(SUBSTITUTE(_xlfn.XLOOKUP(H17,Rates_Raw!$AF$5:$AF$464,Rates_Raw!$I$5:$I$464,""),"$",""),",","")),""),"")</x:f>
        <x:v>12182</x:v>
      </x:c>
      <x:c r="Q17" s="52" t="n">
        <x:f>IF(P17="","",P17*Guide!$B$15)</x:f>
        <x:v>316732</x:v>
      </x:c>
      <x:c r="R17" t="str">
        <x:f>IF(I17=0,"UNMATCHED",IF(I17&gt;1,"DUPLICATE KEY",IF(OR(N17="TITLE VARIANT",O17="REVIEW",O17="MISSING"),"REVIEW","VERIFIED")))</x:f>
        <x:v>VERIFIED</x:v>
      </x:c>
      <x:c r="S17" s="46" t="str">
        <x:v>Not Reviewed</x:v>
      </x:c>
      <x:c r="T17" s="48"/>
    </x:row>
    <x:row r="18">
      <x:c r="A18" t="n">
        <x:f>Plan_Raw!A18</x:f>
        <x:v>24</x:v>
      </x:c>
      <x:c r="B18" t="str">
        <x:f>Plan_Raw!D18</x:f>
        <x:v>0145</x:v>
      </x:c>
      <x:c r="C18" t="str">
        <x:f>LEFT(Plan_Raw!B18,10)</x:f>
        <x:v>2024-07-01</x:v>
      </x:c>
      <x:c r="D18" t="str">
        <x:f>Plan_Raw!F18</x:f>
        <x:v>COMMN</x:v>
      </x:c>
      <x:c r="E18" t="str">
        <x:f>Plan_Raw!E18</x:f>
        <x:v>Chief of Department (Transitional), (Fire Department)</x:v>
      </x:c>
      <x:c r="F18" t="str">
        <x:f>Plan_Raw!C18</x:f>
        <x:v>0145Z</x:v>
      </x:c>
      <x:c r="G18" s="50" t="n">
        <x:f>IF(Plan_Raw!G18="","",IFERROR(VALUE(Plan_Raw!G18),""))</x:f>
        <x:v>185.4</x:v>
      </x:c>
      <x:c r="H18" t="str">
        <x:f>Plan_Raw!AH18</x:f>
        <x:v>0145|COMMN|2024-07-01</x:v>
      </x:c>
      <x:c r="I18" t="n">
        <x:f>COUNTIF(Rates_Raw!$AF$5:$AF$464,H18)</x:f>
        <x:v>1</x:v>
      </x:c>
      <x:c r="J18" t="str">
        <x:f>IF(I18=1,_xlfn.XLOOKUP(H18,Rates_Raw!$AF$5:$AF$464,Rates_Raw!$E$5:$E$464,""),"")</x:f>
        <x:v>Chief of Department (Transitional), (Fire Department)</x:v>
      </x:c>
      <x:c r="K18" t="n">
        <x:f>IF(I18=1,_xlfn.XLOOKUP(H18,Rates_Raw!$AF$5:$AF$464,Rates_Raw!$F$5:$F$464,""),"")</x:f>
        <x:v>352</x:v>
      </x:c>
      <x:c r="L18" s="50" t="n">
        <x:f>IF(I18=1,IFERROR(VALUE(SUBSTITUTE(_xlfn.XLOOKUP(H18,Rates_Raw!$AF$5:$AF$464,Rates_Raw!$L$5:$L$464,""),"$","")),""),"")</x:f>
        <x:v>185.4</x:v>
      </x:c>
      <x:c r="M18" s="50" t="n">
        <x:f>IF(OR(G18="",L18=""),"",ROUND(G18-L18,4))</x:f>
        <x:v>0</x:v>
      </x:c>
      <x:c r="N18" t="str">
        <x:f>IF(I18=0,"NO MATCH",IF(I18&gt;1,"AMBIGUOUS",IF(EXACT(TRIM(E18),TRIM(J18)),"EXACT","TITLE VARIANT")))</x:f>
        <x:v>EXACT</x:v>
      </x:c>
      <x:c r="O18" t="str">
        <x:f>IF(I18&lt;&gt;1,"NOT TESTED",IF(OR(G18="",L18=""),"MISSING",IF(ABS(M18)&lt;=Guide!$B$16,"PASS","REVIEW")))</x:f>
        <x:v>PASS</x:v>
      </x:c>
      <x:c r="P18" s="52" t="n">
        <x:f>IF(I18=1,IFERROR(VALUE(SUBSTITUTE(SUBSTITUTE(_xlfn.XLOOKUP(H18,Rates_Raw!$AF$5:$AF$464,Rates_Raw!$I$5:$I$464,""),"$",""),",","")),""),"")</x:f>
        <x:v>14832</x:v>
      </x:c>
      <x:c r="Q18" s="52" t="n">
        <x:f>IF(P18="","",P18*Guide!$B$15)</x:f>
        <x:v>385632</x:v>
      </x:c>
      <x:c r="R18" t="str">
        <x:f>IF(I18=0,"UNMATCHED",IF(I18&gt;1,"DUPLICATE KEY",IF(OR(N18="TITLE VARIANT",O18="REVIEW",O18="MISSING"),"REVIEW","VERIFIED")))</x:f>
        <x:v>VERIFIED</x:v>
      </x:c>
      <x:c r="S18" s="46" t="str">
        <x:v>Not Reviewed</x:v>
      </x:c>
      <x:c r="T18" s="48"/>
    </x:row>
    <x:row r="19">
      <x:c r="A19" t="n">
        <x:f>Plan_Raw!A19</x:f>
        <x:v>31</x:v>
      </x:c>
      <x:c r="B19" t="str">
        <x:f>Plan_Raw!D19</x:f>
        <x:v>0145</x:v>
      </x:c>
      <x:c r="C19" t="str">
        <x:f>LEFT(Plan_Raw!B19,10)</x:f>
        <x:v>2024-07-01</x:v>
      </x:c>
      <x:c r="D19" t="str">
        <x:f>Plan_Raw!F19</x:f>
        <x:v>SUPPRESSION</x:v>
      </x:c>
      <x:c r="E19" t="str">
        <x:f>Plan_Raw!E19</x:f>
        <x:v>Chief of Department (Transitional), (Fire Department)</x:v>
      </x:c>
      <x:c r="F19" t="str">
        <x:f>Plan_Raw!C19</x:f>
        <x:v>0145Z</x:v>
      </x:c>
      <x:c r="G19" s="50" t="n">
        <x:f>IF(Plan_Raw!G19="","",IFERROR(VALUE(Plan_Raw!G19),""))</x:f>
        <x:v>152.2793</x:v>
      </x:c>
      <x:c r="H19" t="str">
        <x:f>Plan_Raw!AH19</x:f>
        <x:v>0145|SUPPRESSION|2024-07-01</x:v>
      </x:c>
      <x:c r="I19" t="n">
        <x:f>COUNTIF(Rates_Raw!$AF$5:$AF$464,H19)</x:f>
        <x:v>1</x:v>
      </x:c>
      <x:c r="J19" t="str">
        <x:f>IF(I19=1,_xlfn.XLOOKUP(H19,Rates_Raw!$AF$5:$AF$464,Rates_Raw!$E$5:$E$464,""),"")</x:f>
        <x:v>Chief of Department (Transitional), (Fire Department)</x:v>
      </x:c>
      <x:c r="K19" t="n">
        <x:f>IF(I19=1,_xlfn.XLOOKUP(H19,Rates_Raw!$AF$5:$AF$464,Rates_Raw!$F$5:$F$464,""),"")</x:f>
        <x:v>352</x:v>
      </x:c>
      <x:c r="L19" s="50" t="n">
        <x:f>IF(I19=1,IFERROR(VALUE(SUBSTITUTE(_xlfn.XLOOKUP(H19,Rates_Raw!$AF$5:$AF$464,Rates_Raw!$L$5:$L$464,""),"$","")),""),"")</x:f>
        <x:v>152.2793</x:v>
      </x:c>
      <x:c r="M19" s="50" t="n">
        <x:f>IF(OR(G19="",L19=""),"",ROUND(G19-L19,4))</x:f>
        <x:v>0</x:v>
      </x:c>
      <x:c r="N19" t="str">
        <x:f>IF(I19=0,"NO MATCH",IF(I19&gt;1,"AMBIGUOUS",IF(EXACT(TRIM(E19),TRIM(J19)),"EXACT","TITLE VARIANT")))</x:f>
        <x:v>EXACT</x:v>
      </x:c>
      <x:c r="O19" t="str">
        <x:f>IF(I19&lt;&gt;1,"NOT TESTED",IF(OR(G19="",L19=""),"MISSING",IF(ABS(M19)&lt;=Guide!$B$16,"PASS","REVIEW")))</x:f>
        <x:v>PASS</x:v>
      </x:c>
      <x:c r="P19" s="52" t="n">
        <x:f>IF(I19=1,IFERROR(VALUE(SUBSTITUTE(SUBSTITUTE(_xlfn.XLOOKUP(H19,Rates_Raw!$AF$5:$AF$464,Rates_Raw!$I$5:$I$464,""),"$",""),",","")),""),"")</x:f>
        <x:v>12182</x:v>
      </x:c>
      <x:c r="Q19" s="52" t="n">
        <x:f>IF(P19="","",P19*Guide!$B$15)</x:f>
        <x:v>316732</x:v>
      </x:c>
      <x:c r="R19" t="str">
        <x:f>IF(I19=0,"UNMATCHED",IF(I19&gt;1,"DUPLICATE KEY",IF(OR(N19="TITLE VARIANT",O19="REVIEW",O19="MISSING"),"REVIEW","VERIFIED")))</x:f>
        <x:v>VERIFIED</x:v>
      </x:c>
      <x:c r="S19" s="46" t="str">
        <x:v>Not Reviewed</x:v>
      </x:c>
      <x:c r="T19" s="48"/>
    </x:row>
    <x:row r="20">
      <x:c r="A20" t="n">
        <x:f>Plan_Raw!A20</x:f>
        <x:v>25</x:v>
      </x:c>
      <x:c r="B20" t="str">
        <x:f>Plan_Raw!D20</x:f>
        <x:v>0145</x:v>
      </x:c>
      <x:c r="C20" t="str">
        <x:f>LEFT(Plan_Raw!B20,10)</x:f>
        <x:v>2025-01-04</x:v>
      </x:c>
      <x:c r="D20" t="str">
        <x:f>Plan_Raw!F20</x:f>
        <x:v>COMMN</x:v>
      </x:c>
      <x:c r="E20" t="str">
        <x:f>Plan_Raw!E20</x:f>
        <x:v>Chief of Department (Transitional), (Fire Department)</x:v>
      </x:c>
      <x:c r="F20" t="str">
        <x:f>Plan_Raw!C20</x:f>
        <x:v>0145A</x:v>
      </x:c>
      <x:c r="G20" s="50" t="n">
        <x:f>IF(Plan_Raw!G20="","",IFERROR(VALUE(Plan_Raw!G20),""))</x:f>
        <x:v>190.9625</x:v>
      </x:c>
      <x:c r="H20" t="str">
        <x:f>Plan_Raw!AH20</x:f>
        <x:v>0145|COMMN|2025-01-04</x:v>
      </x:c>
      <x:c r="I20" t="n">
        <x:f>COUNTIF(Rates_Raw!$AF$5:$AF$464,H20)</x:f>
        <x:v>1</x:v>
      </x:c>
      <x:c r="J20" t="str">
        <x:f>IF(I20=1,_xlfn.XLOOKUP(H20,Rates_Raw!$AF$5:$AF$464,Rates_Raw!$E$5:$E$464,""),"")</x:f>
        <x:v>Chief of Department (Transitional), (Fire Department)</x:v>
      </x:c>
      <x:c r="K20" t="n">
        <x:f>IF(I20=1,_xlfn.XLOOKUP(H20,Rates_Raw!$AF$5:$AF$464,Rates_Raw!$F$5:$F$464,""),"")</x:f>
        <x:v>352</x:v>
      </x:c>
      <x:c r="L20" s="50" t="n">
        <x:f>IF(I20=1,IFERROR(VALUE(SUBSTITUTE(_xlfn.XLOOKUP(H20,Rates_Raw!$AF$5:$AF$464,Rates_Raw!$L$5:$L$464,""),"$","")),""),"")</x:f>
        <x:v>190.9625</x:v>
      </x:c>
      <x:c r="M20" s="50" t="n">
        <x:f>IF(OR(G20="",L20=""),"",ROUND(G20-L20,4))</x:f>
        <x:v>0</x:v>
      </x:c>
      <x:c r="N20" t="str">
        <x:f>IF(I20=0,"NO MATCH",IF(I20&gt;1,"AMBIGUOUS",IF(EXACT(TRIM(E20),TRIM(J20)),"EXACT","TITLE VARIANT")))</x:f>
        <x:v>EXACT</x:v>
      </x:c>
      <x:c r="O20" t="str">
        <x:f>IF(I20&lt;&gt;1,"NOT TESTED",IF(OR(G20="",L20=""),"MISSING",IF(ABS(M20)&lt;=Guide!$B$16,"PASS","REVIEW")))</x:f>
        <x:v>PASS</x:v>
      </x:c>
      <x:c r="P20" s="52" t="n">
        <x:f>IF(I20=1,IFERROR(VALUE(SUBSTITUTE(SUBSTITUTE(_xlfn.XLOOKUP(H20,Rates_Raw!$AF$5:$AF$464,Rates_Raw!$I$5:$I$464,""),"$",""),",","")),""),"")</x:f>
        <x:v>15277</x:v>
      </x:c>
      <x:c r="Q20" s="52" t="n">
        <x:f>IF(P20="","",P20*Guide!$B$15)</x:f>
        <x:v>397202</x:v>
      </x:c>
      <x:c r="R20" t="str">
        <x:f>IF(I20=0,"UNMATCHED",IF(I20&gt;1,"DUPLICATE KEY",IF(OR(N20="TITLE VARIANT",O20="REVIEW",O20="MISSING"),"REVIEW","VERIFIED")))</x:f>
        <x:v>VERIFIED</x:v>
      </x:c>
      <x:c r="S20" s="46" t="str">
        <x:v>Not Reviewed</x:v>
      </x:c>
      <x:c r="T20" s="48"/>
    </x:row>
    <x:row r="21">
      <x:c r="A21" t="n">
        <x:f>Plan_Raw!A21</x:f>
        <x:v>32</x:v>
      </x:c>
      <x:c r="B21" t="str">
        <x:f>Plan_Raw!D21</x:f>
        <x:v>0145</x:v>
      </x:c>
      <x:c r="C21" t="str">
        <x:f>LEFT(Plan_Raw!B21,10)</x:f>
        <x:v>2025-01-04</x:v>
      </x:c>
      <x:c r="D21" t="str">
        <x:f>Plan_Raw!F21</x:f>
        <x:v>SUPPRESSION</x:v>
      </x:c>
      <x:c r="E21" t="str">
        <x:f>Plan_Raw!E21</x:f>
        <x:v>Chief of Department (Transitional), (Fire Department)</x:v>
      </x:c>
      <x:c r="F21" t="str">
        <x:f>Plan_Raw!C21</x:f>
        <x:v>0145A</x:v>
      </x:c>
      <x:c r="G21" s="50" t="n">
        <x:f>IF(Plan_Raw!G21="","",IFERROR(VALUE(Plan_Raw!G21),""))</x:f>
        <x:v>156.848</x:v>
      </x:c>
      <x:c r="H21" t="str">
        <x:f>Plan_Raw!AH21</x:f>
        <x:v>0145|SUPPRESSION|2025-01-04</x:v>
      </x:c>
      <x:c r="I21" t="n">
        <x:f>COUNTIF(Rates_Raw!$AF$5:$AF$464,H21)</x:f>
        <x:v>1</x:v>
      </x:c>
      <x:c r="J21" t="str">
        <x:f>IF(I21=1,_xlfn.XLOOKUP(H21,Rates_Raw!$AF$5:$AF$464,Rates_Raw!$E$5:$E$464,""),"")</x:f>
        <x:v>Chief of Department (Transitional), (Fire Department)</x:v>
      </x:c>
      <x:c r="K21" t="n">
        <x:f>IF(I21=1,_xlfn.XLOOKUP(H21,Rates_Raw!$AF$5:$AF$464,Rates_Raw!$F$5:$F$464,""),"")</x:f>
        <x:v>352</x:v>
      </x:c>
      <x:c r="L21" s="50" t="n">
        <x:f>IF(I21=1,IFERROR(VALUE(SUBSTITUTE(_xlfn.XLOOKUP(H21,Rates_Raw!$AF$5:$AF$464,Rates_Raw!$L$5:$L$464,""),"$","")),""),"")</x:f>
        <x:v>156.848</x:v>
      </x:c>
      <x:c r="M21" s="50" t="n">
        <x:f>IF(OR(G21="",L21=""),"",ROUND(G21-L21,4))</x:f>
        <x:v>0</x:v>
      </x:c>
      <x:c r="N21" t="str">
        <x:f>IF(I21=0,"NO MATCH",IF(I21&gt;1,"AMBIGUOUS",IF(EXACT(TRIM(E21),TRIM(J21)),"EXACT","TITLE VARIANT")))</x:f>
        <x:v>EXACT</x:v>
      </x:c>
      <x:c r="O21" t="str">
        <x:f>IF(I21&lt;&gt;1,"NOT TESTED",IF(OR(G21="",L21=""),"MISSING",IF(ABS(M21)&lt;=Guide!$B$16,"PASS","REVIEW")))</x:f>
        <x:v>PASS</x:v>
      </x:c>
      <x:c r="P21" s="52" t="n">
        <x:f>IF(I21=1,IFERROR(VALUE(SUBSTITUTE(SUBSTITUTE(_xlfn.XLOOKUP(H21,Rates_Raw!$AF$5:$AF$464,Rates_Raw!$I$5:$I$464,""),"$",""),",","")),""),"")</x:f>
        <x:v>12548</x:v>
      </x:c>
      <x:c r="Q21" s="52" t="n">
        <x:f>IF(P21="","",P21*Guide!$B$15)</x:f>
        <x:v>326248</x:v>
      </x:c>
      <x:c r="R21" t="str">
        <x:f>IF(I21=0,"UNMATCHED",IF(I21&gt;1,"DUPLICATE KEY",IF(OR(N21="TITLE VARIANT",O21="REVIEW",O21="MISSING"),"REVIEW","VERIFIED")))</x:f>
        <x:v>VERIFIED</x:v>
      </x:c>
      <x:c r="S21" s="46" t="str">
        <x:v>Not Reviewed</x:v>
      </x:c>
      <x:c r="T21" s="48"/>
    </x:row>
    <x:row r="22">
      <x:c r="A22" t="n">
        <x:f>Plan_Raw!A22</x:f>
        <x:v>26</x:v>
      </x:c>
      <x:c r="B22" t="str">
        <x:f>Plan_Raw!D22</x:f>
        <x:v>0145</x:v>
      </x:c>
      <x:c r="C22" t="str">
        <x:f>LEFT(Plan_Raw!B22,10)</x:f>
        <x:v>2025-07-01</x:v>
      </x:c>
      <x:c r="D22" t="str">
        <x:f>Plan_Raw!F22</x:f>
        <x:v>COMMN</x:v>
      </x:c>
      <x:c r="E22" t="str">
        <x:f>Plan_Raw!E22</x:f>
        <x:v>Chief (Transitional), FIR Dept</x:v>
      </x:c>
      <x:c r="F22" t="str">
        <x:f>Plan_Raw!C22</x:f>
        <x:v>0145B</x:v>
      </x:c>
      <x:c r="G22" s="50" t="n">
        <x:f>IF(Plan_Raw!G22="","",IFERROR(VALUE(Plan_Raw!G22),""))</x:f>
        <x:v>196.6875</x:v>
      </x:c>
      <x:c r="H22" t="str">
        <x:f>Plan_Raw!AH22</x:f>
        <x:v>0145|COMMN|2025-07-01</x:v>
      </x:c>
      <x:c r="I22" t="n">
        <x:f>COUNTIF(Rates_Raw!$AF$5:$AF$464,H22)</x:f>
        <x:v>1</x:v>
      </x:c>
      <x:c r="J22" t="str">
        <x:f>IF(I22=1,_xlfn.XLOOKUP(H22,Rates_Raw!$AF$5:$AF$464,Rates_Raw!$E$5:$E$464,""),"")</x:f>
        <x:v>Chief (Transitional), FIR Dept</x:v>
      </x:c>
      <x:c r="K22" t="n">
        <x:f>IF(I22=1,_xlfn.XLOOKUP(H22,Rates_Raw!$AF$5:$AF$464,Rates_Raw!$F$5:$F$464,""),"")</x:f>
        <x:v>352</x:v>
      </x:c>
      <x:c r="L22" s="50" t="n">
        <x:f>IF(I22=1,IFERROR(VALUE(SUBSTITUTE(_xlfn.XLOOKUP(H22,Rates_Raw!$AF$5:$AF$464,Rates_Raw!$L$5:$L$464,""),"$","")),""),"")</x:f>
        <x:v>196.6875</x:v>
      </x:c>
      <x:c r="M22" s="50" t="n">
        <x:f>IF(OR(G22="",L22=""),"",ROUND(G22-L22,4))</x:f>
        <x:v>0</x:v>
      </x:c>
      <x:c r="N22" t="str">
        <x:f>IF(I22=0,"NO MATCH",IF(I22&gt;1,"AMBIGUOUS",IF(EXACT(TRIM(E22),TRIM(J22)),"EXACT","TITLE VARIANT")))</x:f>
        <x:v>EXACT</x:v>
      </x:c>
      <x:c r="O22" t="str">
        <x:f>IF(I22&lt;&gt;1,"NOT TESTED",IF(OR(G22="",L22=""),"MISSING",IF(ABS(M22)&lt;=Guide!$B$16,"PASS","REVIEW")))</x:f>
        <x:v>PASS</x:v>
      </x:c>
      <x:c r="P22" s="52" t="n">
        <x:f>IF(I22=1,IFERROR(VALUE(SUBSTITUTE(SUBSTITUTE(_xlfn.XLOOKUP(H22,Rates_Raw!$AF$5:$AF$464,Rates_Raw!$I$5:$I$464,""),"$",""),",","")),""),"")</x:f>
        <x:v>15735</x:v>
      </x:c>
      <x:c r="Q22" s="52" t="n">
        <x:f>IF(P22="","",P22*Guide!$B$15)</x:f>
        <x:v>409110</x:v>
      </x:c>
      <x:c r="R22" t="str">
        <x:f>IF(I22=0,"UNMATCHED",IF(I22&gt;1,"DUPLICATE KEY",IF(OR(N22="TITLE VARIANT",O22="REVIEW",O22="MISSING"),"REVIEW","VERIFIED")))</x:f>
        <x:v>VERIFIED</x:v>
      </x:c>
      <x:c r="S22" s="46" t="str">
        <x:v>Not Reviewed</x:v>
      </x:c>
      <x:c r="T22" s="48"/>
    </x:row>
    <x:row r="23">
      <x:c r="A23" t="n">
        <x:f>Plan_Raw!A23</x:f>
        <x:v>33</x:v>
      </x:c>
      <x:c r="B23" t="str">
        <x:f>Plan_Raw!D23</x:f>
        <x:v>0145</x:v>
      </x:c>
      <x:c r="C23" t="str">
        <x:f>LEFT(Plan_Raw!B23,10)</x:f>
        <x:v>2025-07-01</x:v>
      </x:c>
      <x:c r="D23" t="str">
        <x:f>Plan_Raw!F23</x:f>
        <x:v>SUPPRESSION</x:v>
      </x:c>
      <x:c r="E23" t="str">
        <x:f>Plan_Raw!E23</x:f>
        <x:v>Chief (Transitional), FIR Dept</x:v>
      </x:c>
      <x:c r="F23" t="str">
        <x:f>Plan_Raw!C23</x:f>
        <x:v>0145B</x:v>
      </x:c>
      <x:c r="G23" s="50" t="n">
        <x:f>IF(Plan_Raw!G23="","",IFERROR(VALUE(Plan_Raw!G23),""))</x:f>
        <x:v>161.5503</x:v>
      </x:c>
      <x:c r="H23" t="str">
        <x:f>Plan_Raw!AH23</x:f>
        <x:v>0145|SUPPRESSION|2025-07-01</x:v>
      </x:c>
      <x:c r="I23" t="n">
        <x:f>COUNTIF(Rates_Raw!$AF$5:$AF$464,H23)</x:f>
        <x:v>1</x:v>
      </x:c>
      <x:c r="J23" t="str">
        <x:f>IF(I23=1,_xlfn.XLOOKUP(H23,Rates_Raw!$AF$5:$AF$464,Rates_Raw!$E$5:$E$464,""),"")</x:f>
        <x:v>Chief (Transitional), FIR Dept</x:v>
      </x:c>
      <x:c r="K23" t="n">
        <x:f>IF(I23=1,_xlfn.XLOOKUP(H23,Rates_Raw!$AF$5:$AF$464,Rates_Raw!$F$5:$F$464,""),"")</x:f>
        <x:v>352</x:v>
      </x:c>
      <x:c r="L23" s="50" t="n">
        <x:f>IF(I23=1,IFERROR(VALUE(SUBSTITUTE(_xlfn.XLOOKUP(H23,Rates_Raw!$AF$5:$AF$464,Rates_Raw!$L$5:$L$464,""),"$","")),""),"")</x:f>
        <x:v>161.5503</x:v>
      </x:c>
      <x:c r="M23" s="50" t="n">
        <x:f>IF(OR(G23="",L23=""),"",ROUND(G23-L23,4))</x:f>
        <x:v>0</x:v>
      </x:c>
      <x:c r="N23" t="str">
        <x:f>IF(I23=0,"NO MATCH",IF(I23&gt;1,"AMBIGUOUS",IF(EXACT(TRIM(E23),TRIM(J23)),"EXACT","TITLE VARIANT")))</x:f>
        <x:v>EXACT</x:v>
      </x:c>
      <x:c r="O23" t="str">
        <x:f>IF(I23&lt;&gt;1,"NOT TESTED",IF(OR(G23="",L23=""),"MISSING",IF(ABS(M23)&lt;=Guide!$B$16,"PASS","REVIEW")))</x:f>
        <x:v>PASS</x:v>
      </x:c>
      <x:c r="P23" s="52" t="n">
        <x:f>IF(I23=1,IFERROR(VALUE(SUBSTITUTE(SUBSTITUTE(_xlfn.XLOOKUP(H23,Rates_Raw!$AF$5:$AF$464,Rates_Raw!$I$5:$I$464,""),"$",""),",","")),""),"")</x:f>
        <x:v>12924</x:v>
      </x:c>
      <x:c r="Q23" s="52" t="n">
        <x:f>IF(P23="","",P23*Guide!$B$15)</x:f>
        <x:v>336024</x:v>
      </x:c>
      <x:c r="R23" t="str">
        <x:f>IF(I23=0,"UNMATCHED",IF(I23&gt;1,"DUPLICATE KEY",IF(OR(N23="TITLE VARIANT",O23="REVIEW",O23="MISSING"),"REVIEW","VERIFIED")))</x:f>
        <x:v>VERIFIED</x:v>
      </x:c>
      <x:c r="S23" s="46" t="str">
        <x:v>Not Reviewed</x:v>
      </x:c>
      <x:c r="T23" s="48"/>
    </x:row>
    <x:row r="24">
      <x:c r="A24" t="n">
        <x:f>Plan_Raw!A24</x:f>
        <x:v>27</x:v>
      </x:c>
      <x:c r="B24" t="str">
        <x:f>Plan_Raw!D24</x:f>
        <x:v>0145</x:v>
      </x:c>
      <x:c r="C24" t="str">
        <x:f>LEFT(Plan_Raw!B24,10)</x:f>
        <x:v>2026-07-01</x:v>
      </x:c>
      <x:c r="D24" t="str">
        <x:f>Plan_Raw!F24</x:f>
        <x:v>COMMN</x:v>
      </x:c>
      <x:c r="E24" t="str">
        <x:f>Plan_Raw!E24</x:f>
        <x:v>Chief (Transitional), FIR Dept</x:v>
      </x:c>
      <x:c r="F24" t="str">
        <x:f>Plan_Raw!C24</x:f>
        <x:v>0145D</x:v>
      </x:c>
      <x:c r="G24" s="50" t="n">
        <x:f>IF(Plan_Raw!G24="","",IFERROR(VALUE(Plan_Raw!G24),""))</x:f>
        <x:v>200.625</x:v>
      </x:c>
      <x:c r="H24" t="str">
        <x:f>Plan_Raw!AH24</x:f>
        <x:v>0145|COMMN|2026-07-01</x:v>
      </x:c>
      <x:c r="I24" t="n">
        <x:f>COUNTIF(Rates_Raw!$AF$5:$AF$464,H24)</x:f>
        <x:v>0</x:v>
      </x:c>
      <x:c r="J24" t="str">
        <x:f>IF(I24=1,_xlfn.XLOOKUP(H24,Rates_Raw!$AF$5:$AF$464,Rates_Raw!$E$5:$E$464,""),"")</x:f>
      </x:c>
      <x:c r="K24" t="str">
        <x:f>IF(I24=1,_xlfn.XLOOKUP(H24,Rates_Raw!$AF$5:$AF$464,Rates_Raw!$F$5:$F$464,""),"")</x:f>
      </x:c>
      <x:c r="L24" s="50" t="str">
        <x:f>IF(I24=1,IFERROR(VALUE(SUBSTITUTE(_xlfn.XLOOKUP(H24,Rates_Raw!$AF$5:$AF$464,Rates_Raw!$L$5:$L$464,""),"$","")),""),"")</x:f>
      </x:c>
      <x:c r="M24" s="50" t="str">
        <x:f>IF(OR(G24="",L24=""),"",ROUND(G24-L24,4))</x:f>
      </x:c>
      <x:c r="N24" t="str">
        <x:f>IF(I24=0,"NO MATCH",IF(I24&gt;1,"AMBIGUOUS",IF(EXACT(TRIM(E24),TRIM(J24)),"EXACT","TITLE VARIANT")))</x:f>
        <x:v>NO MATCH</x:v>
      </x:c>
      <x:c r="O24" t="str">
        <x:f>IF(I24&lt;&gt;1,"NOT TESTED",IF(OR(G24="",L24=""),"MISSING",IF(ABS(M24)&lt;=Guide!$B$16,"PASS","REVIEW")))</x:f>
        <x:v>NOT TESTED</x:v>
      </x:c>
      <x:c r="P24" s="52" t="str">
        <x:f>IF(I24=1,IFERROR(VALUE(SUBSTITUTE(SUBSTITUTE(_xlfn.XLOOKUP(H24,Rates_Raw!$AF$5:$AF$464,Rates_Raw!$I$5:$I$464,""),"$",""),",","")),""),"")</x:f>
      </x:c>
      <x:c r="Q24" s="52" t="str">
        <x:f>IF(P24="","",P24*Guide!$B$15)</x:f>
      </x:c>
      <x:c r="R24" t="str">
        <x:f>IF(I24=0,"UNMATCHED",IF(I24&gt;1,"DUPLICATE KEY",IF(OR(N24="TITLE VARIANT",O24="REVIEW",O24="MISSING"),"REVIEW","VERIFIED")))</x:f>
        <x:v>UNMATCHED</x:v>
      </x:c>
      <x:c r="S24" s="46" t="str">
        <x:v>Not Reviewed</x:v>
      </x:c>
      <x:c r="T24" s="48"/>
    </x:row>
    <x:row r="25">
      <x:c r="A25" t="n">
        <x:f>Plan_Raw!A25</x:f>
        <x:v>34</x:v>
      </x:c>
      <x:c r="B25" t="str">
        <x:f>Plan_Raw!D25</x:f>
        <x:v>0145</x:v>
      </x:c>
      <x:c r="C25" t="str">
        <x:f>LEFT(Plan_Raw!B25,10)</x:f>
        <x:v>2026-07-01</x:v>
      </x:c>
      <x:c r="D25" t="str">
        <x:f>Plan_Raw!F25</x:f>
        <x:v>SUPPRESSION</x:v>
      </x:c>
      <x:c r="E25" t="str">
        <x:f>Plan_Raw!E25</x:f>
        <x:v>Chief (Transitional), FIR Dept</x:v>
      </x:c>
      <x:c r="F25" t="str">
        <x:f>Plan_Raw!C25</x:f>
        <x:v>0145D</x:v>
      </x:c>
      <x:c r="G25" s="50" t="n">
        <x:f>IF(Plan_Raw!G25="","",IFERROR(VALUE(Plan_Raw!G25),""))</x:f>
        <x:v>164.7844</x:v>
      </x:c>
      <x:c r="H25" t="str">
        <x:f>Plan_Raw!AH25</x:f>
        <x:v>0145|SUPPRESSION|2026-07-01</x:v>
      </x:c>
      <x:c r="I25" t="n">
        <x:f>COUNTIF(Rates_Raw!$AF$5:$AF$464,H25)</x:f>
        <x:v>0</x:v>
      </x:c>
      <x:c r="J25" t="str">
        <x:f>IF(I25=1,_xlfn.XLOOKUP(H25,Rates_Raw!$AF$5:$AF$464,Rates_Raw!$E$5:$E$464,""),"")</x:f>
      </x:c>
      <x:c r="K25" t="str">
        <x:f>IF(I25=1,_xlfn.XLOOKUP(H25,Rates_Raw!$AF$5:$AF$464,Rates_Raw!$F$5:$F$464,""),"")</x:f>
      </x:c>
      <x:c r="L25" s="50" t="str">
        <x:f>IF(I25=1,IFERROR(VALUE(SUBSTITUTE(_xlfn.XLOOKUP(H25,Rates_Raw!$AF$5:$AF$464,Rates_Raw!$L$5:$L$464,""),"$","")),""),"")</x:f>
      </x:c>
      <x:c r="M25" s="50" t="str">
        <x:f>IF(OR(G25="",L25=""),"",ROUND(G25-L25,4))</x:f>
      </x:c>
      <x:c r="N25" t="str">
        <x:f>IF(I25=0,"NO MATCH",IF(I25&gt;1,"AMBIGUOUS",IF(EXACT(TRIM(E25),TRIM(J25)),"EXACT","TITLE VARIANT")))</x:f>
        <x:v>NO MATCH</x:v>
      </x:c>
      <x:c r="O25" t="str">
        <x:f>IF(I25&lt;&gt;1,"NOT TESTED",IF(OR(G25="",L25=""),"MISSING",IF(ABS(M25)&lt;=Guide!$B$16,"PASS","REVIEW")))</x:f>
        <x:v>NOT TESTED</x:v>
      </x:c>
      <x:c r="P25" s="52" t="str">
        <x:f>IF(I25=1,IFERROR(VALUE(SUBSTITUTE(SUBSTITUTE(_xlfn.XLOOKUP(H25,Rates_Raw!$AF$5:$AF$464,Rates_Raw!$I$5:$I$464,""),"$",""),",","")),""),"")</x:f>
      </x:c>
      <x:c r="Q25" s="52" t="str">
        <x:f>IF(P25="","",P25*Guide!$B$15)</x:f>
      </x:c>
      <x:c r="R25" t="str">
        <x:f>IF(I25=0,"UNMATCHED",IF(I25&gt;1,"DUPLICATE KEY",IF(OR(N25="TITLE VARIANT",O25="REVIEW",O25="MISSING"),"REVIEW","VERIFIED")))</x:f>
        <x:v>UNMATCHED</x:v>
      </x:c>
      <x:c r="S25" s="46" t="str">
        <x:v>Not Reviewed</x:v>
      </x:c>
      <x:c r="T25" s="48"/>
    </x:row>
    <x:row r="26">
      <x:c r="A26" t="n">
        <x:f>Plan_Raw!A26</x:f>
        <x:v>35</x:v>
      </x:c>
      <x:c r="B26" t="str">
        <x:f>Plan_Raw!D26</x:f>
        <x:v>0150</x:v>
      </x:c>
      <x:c r="C26" t="str">
        <x:f>LEFT(Plan_Raw!B26,10)</x:f>
        <x:v>2020-07-01</x:v>
      </x:c>
      <x:c r="D26" t="str">
        <x:f>Plan_Raw!F26</x:f>
        <x:v>COMMN</x:v>
      </x:c>
      <x:c r="E26" t="str">
        <x:f>Plan_Raw!E26</x:f>
        <x:v>Deputy Chief Of Department, (Fire Department)</x:v>
      </x:c>
      <x:c r="F26" t="str">
        <x:f>Plan_Raw!C26</x:f>
        <x:v>0150S</x:v>
      </x:c>
      <x:c r="G26" s="50" t="n">
        <x:f>IF(Plan_Raw!G26="","",IFERROR(VALUE(Plan_Raw!G26),""))</x:f>
        <x:v>139.75</x:v>
      </x:c>
      <x:c r="H26" t="str">
        <x:f>Plan_Raw!AH26</x:f>
        <x:v>0150|COMMN|2020-07-01</x:v>
      </x:c>
      <x:c r="I26" t="n">
        <x:f>COUNTIF(Rates_Raw!$AF$5:$AF$464,H26)</x:f>
        <x:v>1</x:v>
      </x:c>
      <x:c r="J26" t="str">
        <x:f>IF(I26=1,_xlfn.XLOOKUP(H26,Rates_Raw!$AF$5:$AF$464,Rates_Raw!$E$5:$E$464,""),"")</x:f>
        <x:v>Deputy Chief Of Department, (Fire Department)</x:v>
      </x:c>
      <x:c r="K26" t="n">
        <x:f>IF(I26=1,_xlfn.XLOOKUP(H26,Rates_Raw!$AF$5:$AF$464,Rates_Raw!$F$5:$F$464,""),"")</x:f>
        <x:v>352</x:v>
      </x:c>
      <x:c r="L26" s="50" t="n">
        <x:f>IF(I26=1,IFERROR(VALUE(SUBSTITUTE(_xlfn.XLOOKUP(H26,Rates_Raw!$AF$5:$AF$464,Rates_Raw!$L$5:$L$464,""),"$","")),""),"")</x:f>
        <x:v>139.75</x:v>
      </x:c>
      <x:c r="M26" s="50" t="n">
        <x:f>IF(OR(G26="",L26=""),"",ROUND(G26-L26,4))</x:f>
        <x:v>0</x:v>
      </x:c>
      <x:c r="N26" t="str">
        <x:f>IF(I26=0,"NO MATCH",IF(I26&gt;1,"AMBIGUOUS",IF(EXACT(TRIM(E26),TRIM(J26)),"EXACT","TITLE VARIANT")))</x:f>
        <x:v>EXACT</x:v>
      </x:c>
      <x:c r="O26" t="str">
        <x:f>IF(I26&lt;&gt;1,"NOT TESTED",IF(OR(G26="",L26=""),"MISSING",IF(ABS(M26)&lt;=Guide!$B$16,"PASS","REVIEW")))</x:f>
        <x:v>PASS</x:v>
      </x:c>
      <x:c r="P26" s="52" t="n">
        <x:f>IF(I26=1,IFERROR(VALUE(SUBSTITUTE(SUBSTITUTE(_xlfn.XLOOKUP(H26,Rates_Raw!$AF$5:$AF$464,Rates_Raw!$I$5:$I$464,""),"$",""),",","")),""),"")</x:f>
        <x:v>11180</x:v>
      </x:c>
      <x:c r="Q26" s="52" t="n">
        <x:f>IF(P26="","",P26*Guide!$B$15)</x:f>
        <x:v>290680</x:v>
      </x:c>
      <x:c r="R26" t="str">
        <x:f>IF(I26=0,"UNMATCHED",IF(I26&gt;1,"DUPLICATE KEY",IF(OR(N26="TITLE VARIANT",O26="REVIEW",O26="MISSING"),"REVIEW","VERIFIED")))</x:f>
        <x:v>VERIFIED</x:v>
      </x:c>
      <x:c r="S26" s="46" t="str">
        <x:v>Not Reviewed</x:v>
      </x:c>
      <x:c r="T26" s="48"/>
    </x:row>
    <x:row r="27">
      <x:c r="A27" t="n">
        <x:f>Plan_Raw!A27</x:f>
        <x:v>39</x:v>
      </x:c>
      <x:c r="B27" t="str">
        <x:f>Plan_Raw!D27</x:f>
        <x:v>0150</x:v>
      </x:c>
      <x:c r="C27" t="str">
        <x:f>LEFT(Plan_Raw!B27,10)</x:f>
        <x:v>2024-01-06</x:v>
      </x:c>
      <x:c r="D27" t="str">
        <x:f>Plan_Raw!F27</x:f>
        <x:v>COMMN</x:v>
      </x:c>
      <x:c r="E27" t="str">
        <x:f>Plan_Raw!E27</x:f>
        <x:v>Deputy Chief Of Department, (Fire Department)</x:v>
      </x:c>
      <x:c r="F27" t="str">
        <x:f>Plan_Raw!C27</x:f>
        <x:v>0150Y</x:v>
      </x:c>
      <x:c r="G27" s="50" t="n">
        <x:f>IF(Plan_Raw!G27="","",IFERROR(VALUE(Plan_Raw!G27),""))</x:f>
        <x:v>160.0375</x:v>
      </x:c>
      <x:c r="H27" t="str">
        <x:f>Plan_Raw!AH27</x:f>
        <x:v>0150|COMMN|2024-01-06</x:v>
      </x:c>
      <x:c r="I27" t="n">
        <x:f>COUNTIF(Rates_Raw!$AF$5:$AF$464,H27)</x:f>
        <x:v>1</x:v>
      </x:c>
      <x:c r="J27" t="str">
        <x:f>IF(I27=1,_xlfn.XLOOKUP(H27,Rates_Raw!$AF$5:$AF$464,Rates_Raw!$E$5:$E$464,""),"")</x:f>
        <x:v>Deputy Chief Of Department, (Fire Department)</x:v>
      </x:c>
      <x:c r="K27" t="n">
        <x:f>IF(I27=1,_xlfn.XLOOKUP(H27,Rates_Raw!$AF$5:$AF$464,Rates_Raw!$F$5:$F$464,""),"")</x:f>
        <x:v>352</x:v>
      </x:c>
      <x:c r="L27" s="50" t="n">
        <x:f>IF(I27=1,IFERROR(VALUE(SUBSTITUTE(_xlfn.XLOOKUP(H27,Rates_Raw!$AF$5:$AF$464,Rates_Raw!$L$5:$L$464,""),"$","")),""),"")</x:f>
        <x:v>160.0375</x:v>
      </x:c>
      <x:c r="M27" s="50" t="n">
        <x:f>IF(OR(G27="",L27=""),"",ROUND(G27-L27,4))</x:f>
        <x:v>0</x:v>
      </x:c>
      <x:c r="N27" t="str">
        <x:f>IF(I27=0,"NO MATCH",IF(I27&gt;1,"AMBIGUOUS",IF(EXACT(TRIM(E27),TRIM(J27)),"EXACT","TITLE VARIANT")))</x:f>
        <x:v>EXACT</x:v>
      </x:c>
      <x:c r="O27" t="str">
        <x:f>IF(I27&lt;&gt;1,"NOT TESTED",IF(OR(G27="",L27=""),"MISSING",IF(ABS(M27)&lt;=Guide!$B$16,"PASS","REVIEW")))</x:f>
        <x:v>PASS</x:v>
      </x:c>
      <x:c r="P27" s="52" t="n">
        <x:f>IF(I27=1,IFERROR(VALUE(SUBSTITUTE(SUBSTITUTE(_xlfn.XLOOKUP(H27,Rates_Raw!$AF$5:$AF$464,Rates_Raw!$I$5:$I$464,""),"$",""),",","")),""),"")</x:f>
        <x:v>12803</x:v>
      </x:c>
      <x:c r="Q27" s="52" t="n">
        <x:f>IF(P27="","",P27*Guide!$B$15)</x:f>
        <x:v>332878</x:v>
      </x:c>
      <x:c r="R27" t="str">
        <x:f>IF(I27=0,"UNMATCHED",IF(I27&gt;1,"DUPLICATE KEY",IF(OR(N27="TITLE VARIANT",O27="REVIEW",O27="MISSING"),"REVIEW","VERIFIED")))</x:f>
        <x:v>VERIFIED</x:v>
      </x:c>
      <x:c r="S27" s="46" t="str">
        <x:v>Not Reviewed</x:v>
      </x:c>
      <x:c r="T27" s="48"/>
    </x:row>
    <x:row r="28">
      <x:c r="A28" t="n">
        <x:f>Plan_Raw!A28</x:f>
        <x:v>47</x:v>
      </x:c>
      <x:c r="B28" t="str">
        <x:f>Plan_Raw!D28</x:f>
        <x:v>0150</x:v>
      </x:c>
      <x:c r="C28" t="str">
        <x:f>LEFT(Plan_Raw!B28,10)</x:f>
        <x:v>2024-01-06</x:v>
      </x:c>
      <x:c r="D28" t="str">
        <x:f>Plan_Raw!F28</x:f>
        <x:v>SUPPRESSION</x:v>
      </x:c>
      <x:c r="E28" t="str">
        <x:f>Plan_Raw!E28</x:f>
        <x:v>Deputy Chief Of Department, (Fire Department)</x:v>
      </x:c>
      <x:c r="F28" t="str">
        <x:f>Plan_Raw!C28</x:f>
        <x:v>0150Y</x:v>
      </x:c>
      <x:c r="G28" s="50" t="n">
        <x:f>IF(Plan_Raw!G28="","",IFERROR(VALUE(Plan_Raw!G28),""))</x:f>
        <x:v>131.4476</x:v>
      </x:c>
      <x:c r="H28" t="str">
        <x:f>Plan_Raw!AH28</x:f>
        <x:v>0150|SUPPRESSION|2024-01-06</x:v>
      </x:c>
      <x:c r="I28" t="n">
        <x:f>COUNTIF(Rates_Raw!$AF$5:$AF$464,H28)</x:f>
        <x:v>1</x:v>
      </x:c>
      <x:c r="J28" t="str">
        <x:f>IF(I28=1,_xlfn.XLOOKUP(H28,Rates_Raw!$AF$5:$AF$464,Rates_Raw!$E$5:$E$464,""),"")</x:f>
        <x:v>Deputy Chief Of Department, (Fire Department)</x:v>
      </x:c>
      <x:c r="K28" t="n">
        <x:f>IF(I28=1,_xlfn.XLOOKUP(H28,Rates_Raw!$AF$5:$AF$464,Rates_Raw!$F$5:$F$464,""),"")</x:f>
        <x:v>352</x:v>
      </x:c>
      <x:c r="L28" s="50" t="n">
        <x:f>IF(I28=1,IFERROR(VALUE(SUBSTITUTE(_xlfn.XLOOKUP(H28,Rates_Raw!$AF$5:$AF$464,Rates_Raw!$L$5:$L$464,""),"$","")),""),"")</x:f>
        <x:v>131.4476</x:v>
      </x:c>
      <x:c r="M28" s="50" t="n">
        <x:f>IF(OR(G28="",L28=""),"",ROUND(G28-L28,4))</x:f>
        <x:v>0</x:v>
      </x:c>
      <x:c r="N28" t="str">
        <x:f>IF(I28=0,"NO MATCH",IF(I28&gt;1,"AMBIGUOUS",IF(EXACT(TRIM(E28),TRIM(J28)),"EXACT","TITLE VARIANT")))</x:f>
        <x:v>EXACT</x:v>
      </x:c>
      <x:c r="O28" t="str">
        <x:f>IF(I28&lt;&gt;1,"NOT TESTED",IF(OR(G28="",L28=""),"MISSING",IF(ABS(M28)&lt;=Guide!$B$16,"PASS","REVIEW")))</x:f>
        <x:v>PASS</x:v>
      </x:c>
      <x:c r="P28" s="52" t="n">
        <x:f>IF(I28=1,IFERROR(VALUE(SUBSTITUTE(SUBSTITUTE(_xlfn.XLOOKUP(H28,Rates_Raw!$AF$5:$AF$464,Rates_Raw!$I$5:$I$464,""),"$",""),",","")),""),"")</x:f>
        <x:v>10516</x:v>
      </x:c>
      <x:c r="Q28" s="52" t="n">
        <x:f>IF(P28="","",P28*Guide!$B$15)</x:f>
        <x:v>273416</x:v>
      </x:c>
      <x:c r="R28" t="str">
        <x:f>IF(I28=0,"UNMATCHED",IF(I28&gt;1,"DUPLICATE KEY",IF(OR(N28="TITLE VARIANT",O28="REVIEW",O28="MISSING"),"REVIEW","VERIFIED")))</x:f>
        <x:v>VERIFIED</x:v>
      </x:c>
      <x:c r="S28" s="46" t="str">
        <x:v>Not Reviewed</x:v>
      </x:c>
      <x:c r="T28" s="48"/>
    </x:row>
    <x:row r="29">
      <x:c r="A29" t="n">
        <x:f>Plan_Raw!A29</x:f>
        <x:v>40</x:v>
      </x:c>
      <x:c r="B29" t="str">
        <x:f>Plan_Raw!D29</x:f>
        <x:v>0150</x:v>
      </x:c>
      <x:c r="C29" t="str">
        <x:f>LEFT(Plan_Raw!B29,10)</x:f>
        <x:v>2024-07-01</x:v>
      </x:c>
      <x:c r="D29" t="str">
        <x:f>Plan_Raw!F29</x:f>
        <x:v>COMMN</x:v>
      </x:c>
      <x:c r="E29" t="str">
        <x:f>Plan_Raw!E29</x:f>
        <x:v>Deputy Chief Of Department, (Fire Department)</x:v>
      </x:c>
      <x:c r="F29" t="str">
        <x:f>Plan_Raw!C29</x:f>
        <x:v>0150Z</x:v>
      </x:c>
      <x:c r="G29" s="50" t="n">
        <x:f>IF(Plan_Raw!G29="","",IFERROR(VALUE(Plan_Raw!G29),""))</x:f>
        <x:v>160.0375</x:v>
      </x:c>
      <x:c r="H29" t="str">
        <x:f>Plan_Raw!AH29</x:f>
        <x:v>0150|COMMN|2024-07-01</x:v>
      </x:c>
      <x:c r="I29" t="n">
        <x:f>COUNTIF(Rates_Raw!$AF$5:$AF$464,H29)</x:f>
        <x:v>1</x:v>
      </x:c>
      <x:c r="J29" t="str">
        <x:f>IF(I29=1,_xlfn.XLOOKUP(H29,Rates_Raw!$AF$5:$AF$464,Rates_Raw!$E$5:$E$464,""),"")</x:f>
        <x:v>Deputy Chief Of Department, (Fire Department)</x:v>
      </x:c>
      <x:c r="K29" t="n">
        <x:f>IF(I29=1,_xlfn.XLOOKUP(H29,Rates_Raw!$AF$5:$AF$464,Rates_Raw!$F$5:$F$464,""),"")</x:f>
        <x:v>352</x:v>
      </x:c>
      <x:c r="L29" s="50" t="n">
        <x:f>IF(I29=1,IFERROR(VALUE(SUBSTITUTE(_xlfn.XLOOKUP(H29,Rates_Raw!$AF$5:$AF$464,Rates_Raw!$L$5:$L$464,""),"$","")),""),"")</x:f>
        <x:v>160.0375</x:v>
      </x:c>
      <x:c r="M29" s="50" t="n">
        <x:f>IF(OR(G29="",L29=""),"",ROUND(G29-L29,4))</x:f>
        <x:v>0</x:v>
      </x:c>
      <x:c r="N29" t="str">
        <x:f>IF(I29=0,"NO MATCH",IF(I29&gt;1,"AMBIGUOUS",IF(EXACT(TRIM(E29),TRIM(J29)),"EXACT","TITLE VARIANT")))</x:f>
        <x:v>EXACT</x:v>
      </x:c>
      <x:c r="O29" t="str">
        <x:f>IF(I29&lt;&gt;1,"NOT TESTED",IF(OR(G29="",L29=""),"MISSING",IF(ABS(M29)&lt;=Guide!$B$16,"PASS","REVIEW")))</x:f>
        <x:v>PASS</x:v>
      </x:c>
      <x:c r="P29" s="52" t="n">
        <x:f>IF(I29=1,IFERROR(VALUE(SUBSTITUTE(SUBSTITUTE(_xlfn.XLOOKUP(H29,Rates_Raw!$AF$5:$AF$464,Rates_Raw!$I$5:$I$464,""),"$",""),",","")),""),"")</x:f>
        <x:v>12803</x:v>
      </x:c>
      <x:c r="Q29" s="52" t="n">
        <x:f>IF(P29="","",P29*Guide!$B$15)</x:f>
        <x:v>332878</x:v>
      </x:c>
      <x:c r="R29" t="str">
        <x:f>IF(I29=0,"UNMATCHED",IF(I29&gt;1,"DUPLICATE KEY",IF(OR(N29="TITLE VARIANT",O29="REVIEW",O29="MISSING"),"REVIEW","VERIFIED")))</x:f>
        <x:v>VERIFIED</x:v>
      </x:c>
      <x:c r="S29" s="46" t="str">
        <x:v>Not Reviewed</x:v>
      </x:c>
      <x:c r="T29" s="48"/>
    </x:row>
    <x:row r="30">
      <x:c r="A30" t="n">
        <x:f>Plan_Raw!A30</x:f>
        <x:v>48</x:v>
      </x:c>
      <x:c r="B30" t="str">
        <x:f>Plan_Raw!D30</x:f>
        <x:v>0150</x:v>
      </x:c>
      <x:c r="C30" t="str">
        <x:f>LEFT(Plan_Raw!B30,10)</x:f>
        <x:v>2024-07-01</x:v>
      </x:c>
      <x:c r="D30" t="str">
        <x:f>Plan_Raw!F30</x:f>
        <x:v>SUPPRESSION</x:v>
      </x:c>
      <x:c r="E30" t="str">
        <x:f>Plan_Raw!E30</x:f>
        <x:v>Deputy Chief Of Department, (Fire Department)</x:v>
      </x:c>
      <x:c r="F30" t="str">
        <x:f>Plan_Raw!C30</x:f>
        <x:v>0150Z</x:v>
      </x:c>
      <x:c r="G30" s="50" t="n">
        <x:f>IF(Plan_Raw!G30="","",IFERROR(VALUE(Plan_Raw!G30),""))</x:f>
        <x:v>131.4476</x:v>
      </x:c>
      <x:c r="H30" t="str">
        <x:f>Plan_Raw!AH30</x:f>
        <x:v>0150|SUPPRESSION|2024-07-01</x:v>
      </x:c>
      <x:c r="I30" t="n">
        <x:f>COUNTIF(Rates_Raw!$AF$5:$AF$464,H30)</x:f>
        <x:v>1</x:v>
      </x:c>
      <x:c r="J30" t="str">
        <x:f>IF(I30=1,_xlfn.XLOOKUP(H30,Rates_Raw!$AF$5:$AF$464,Rates_Raw!$E$5:$E$464,""),"")</x:f>
        <x:v>Deputy Chief Of Department, (Fire Department)</x:v>
      </x:c>
      <x:c r="K30" t="n">
        <x:f>IF(I30=1,_xlfn.XLOOKUP(H30,Rates_Raw!$AF$5:$AF$464,Rates_Raw!$F$5:$F$464,""),"")</x:f>
        <x:v>352</x:v>
      </x:c>
      <x:c r="L30" s="50" t="n">
        <x:f>IF(I30=1,IFERROR(VALUE(SUBSTITUTE(_xlfn.XLOOKUP(H30,Rates_Raw!$AF$5:$AF$464,Rates_Raw!$L$5:$L$464,""),"$","")),""),"")</x:f>
        <x:v>131.4476</x:v>
      </x:c>
      <x:c r="M30" s="50" t="n">
        <x:f>IF(OR(G30="",L30=""),"",ROUND(G30-L30,4))</x:f>
        <x:v>0</x:v>
      </x:c>
      <x:c r="N30" t="str">
        <x:f>IF(I30=0,"NO MATCH",IF(I30&gt;1,"AMBIGUOUS",IF(EXACT(TRIM(E30),TRIM(J30)),"EXACT","TITLE VARIANT")))</x:f>
        <x:v>EXACT</x:v>
      </x:c>
      <x:c r="O30" t="str">
        <x:f>IF(I30&lt;&gt;1,"NOT TESTED",IF(OR(G30="",L30=""),"MISSING",IF(ABS(M30)&lt;=Guide!$B$16,"PASS","REVIEW")))</x:f>
        <x:v>PASS</x:v>
      </x:c>
      <x:c r="P30" s="52" t="n">
        <x:f>IF(I30=1,IFERROR(VALUE(SUBSTITUTE(SUBSTITUTE(_xlfn.XLOOKUP(H30,Rates_Raw!$AF$5:$AF$464,Rates_Raw!$I$5:$I$464,""),"$",""),",","")),""),"")</x:f>
        <x:v>10516</x:v>
      </x:c>
      <x:c r="Q30" s="52" t="n">
        <x:f>IF(P30="","",P30*Guide!$B$15)</x:f>
        <x:v>273416</x:v>
      </x:c>
      <x:c r="R30" t="str">
        <x:f>IF(I30=0,"UNMATCHED",IF(I30&gt;1,"DUPLICATE KEY",IF(OR(N30="TITLE VARIANT",O30="REVIEW",O30="MISSING"),"REVIEW","VERIFIED")))</x:f>
        <x:v>VERIFIED</x:v>
      </x:c>
      <x:c r="S30" s="46" t="str">
        <x:v>Not Reviewed</x:v>
      </x:c>
      <x:c r="T30" s="48"/>
    </x:row>
    <x:row r="31">
      <x:c r="A31" t="n">
        <x:f>Plan_Raw!A31</x:f>
        <x:v>41</x:v>
      </x:c>
      <x:c r="B31" t="str">
        <x:f>Plan_Raw!D31</x:f>
        <x:v>0150</x:v>
      </x:c>
      <x:c r="C31" t="str">
        <x:f>LEFT(Plan_Raw!B31,10)</x:f>
        <x:v>2025-01-04</x:v>
      </x:c>
      <x:c r="D31" t="str">
        <x:f>Plan_Raw!F31</x:f>
        <x:v>COMMN</x:v>
      </x:c>
      <x:c r="E31" t="str">
        <x:f>Plan_Raw!E31</x:f>
        <x:v>Deputy Chief Of Department, (Fire Department)</x:v>
      </x:c>
      <x:c r="F31" t="str">
        <x:f>Plan_Raw!C31</x:f>
        <x:v>0150A</x:v>
      </x:c>
      <x:c r="G31" s="50" t="n">
        <x:f>IF(Plan_Raw!G31="","",IFERROR(VALUE(Plan_Raw!G31),""))</x:f>
        <x:v>164.8375</x:v>
      </x:c>
      <x:c r="H31" t="str">
        <x:f>Plan_Raw!AH31</x:f>
        <x:v>0150|COMMN|2025-01-04</x:v>
      </x:c>
      <x:c r="I31" t="n">
        <x:f>COUNTIF(Rates_Raw!$AF$5:$AF$464,H31)</x:f>
        <x:v>1</x:v>
      </x:c>
      <x:c r="J31" t="str">
        <x:f>IF(I31=1,_xlfn.XLOOKUP(H31,Rates_Raw!$AF$5:$AF$464,Rates_Raw!$E$5:$E$464,""),"")</x:f>
        <x:v>Deputy Chief Of Department, (Fire Department)</x:v>
      </x:c>
      <x:c r="K31" t="n">
        <x:f>IF(I31=1,_xlfn.XLOOKUP(H31,Rates_Raw!$AF$5:$AF$464,Rates_Raw!$F$5:$F$464,""),"")</x:f>
        <x:v>352</x:v>
      </x:c>
      <x:c r="L31" s="50" t="n">
        <x:f>IF(I31=1,IFERROR(VALUE(SUBSTITUTE(_xlfn.XLOOKUP(H31,Rates_Raw!$AF$5:$AF$464,Rates_Raw!$L$5:$L$464,""),"$","")),""),"")</x:f>
        <x:v>164.8375</x:v>
      </x:c>
      <x:c r="M31" s="50" t="n">
        <x:f>IF(OR(G31="",L31=""),"",ROUND(G31-L31,4))</x:f>
        <x:v>0</x:v>
      </x:c>
      <x:c r="N31" t="str">
        <x:f>IF(I31=0,"NO MATCH",IF(I31&gt;1,"AMBIGUOUS",IF(EXACT(TRIM(E31),TRIM(J31)),"EXACT","TITLE VARIANT")))</x:f>
        <x:v>EXACT</x:v>
      </x:c>
      <x:c r="O31" t="str">
        <x:f>IF(I31&lt;&gt;1,"NOT TESTED",IF(OR(G31="",L31=""),"MISSING",IF(ABS(M31)&lt;=Guide!$B$16,"PASS","REVIEW")))</x:f>
        <x:v>PASS</x:v>
      </x:c>
      <x:c r="P31" s="52" t="n">
        <x:f>IF(I31=1,IFERROR(VALUE(SUBSTITUTE(SUBSTITUTE(_xlfn.XLOOKUP(H31,Rates_Raw!$AF$5:$AF$464,Rates_Raw!$I$5:$I$464,""),"$",""),",","")),""),"")</x:f>
        <x:v>13187</x:v>
      </x:c>
      <x:c r="Q31" s="52" t="n">
        <x:f>IF(P31="","",P31*Guide!$B$15)</x:f>
        <x:v>342862</x:v>
      </x:c>
      <x:c r="R31" t="str">
        <x:f>IF(I31=0,"UNMATCHED",IF(I31&gt;1,"DUPLICATE KEY",IF(OR(N31="TITLE VARIANT",O31="REVIEW",O31="MISSING"),"REVIEW","VERIFIED")))</x:f>
        <x:v>VERIFIED</x:v>
      </x:c>
      <x:c r="S31" s="46" t="str">
        <x:v>Not Reviewed</x:v>
      </x:c>
      <x:c r="T31" s="48"/>
    </x:row>
    <x:row r="32">
      <x:c r="A32" t="n">
        <x:f>Plan_Raw!A32</x:f>
        <x:v>49</x:v>
      </x:c>
      <x:c r="B32" t="str">
        <x:f>Plan_Raw!D32</x:f>
        <x:v>0150</x:v>
      </x:c>
      <x:c r="C32" t="str">
        <x:f>LEFT(Plan_Raw!B32,10)</x:f>
        <x:v>2025-01-04</x:v>
      </x:c>
      <x:c r="D32" t="str">
        <x:f>Plan_Raw!F32</x:f>
        <x:v>SUPPRESSION</x:v>
      </x:c>
      <x:c r="E32" t="str">
        <x:f>Plan_Raw!E32</x:f>
        <x:v>Deputy Chief Of Department, (Fire Department)</x:v>
      </x:c>
      <x:c r="F32" t="str">
        <x:f>Plan_Raw!C32</x:f>
        <x:v>0150A</x:v>
      </x:c>
      <x:c r="G32" s="50" t="n">
        <x:f>IF(Plan_Raw!G32="","",IFERROR(VALUE(Plan_Raw!G32),""))</x:f>
        <x:v>135.3901</x:v>
      </x:c>
      <x:c r="H32" t="str">
        <x:f>Plan_Raw!AH32</x:f>
        <x:v>0150|SUPPRESSION|2025-01-04</x:v>
      </x:c>
      <x:c r="I32" t="n">
        <x:f>COUNTIF(Rates_Raw!$AF$5:$AF$464,H32)</x:f>
        <x:v>1</x:v>
      </x:c>
      <x:c r="J32" t="str">
        <x:f>IF(I32=1,_xlfn.XLOOKUP(H32,Rates_Raw!$AF$5:$AF$464,Rates_Raw!$E$5:$E$464,""),"")</x:f>
        <x:v>Deputy Chief Of Department, (Fire Department)</x:v>
      </x:c>
      <x:c r="K32" t="n">
        <x:f>IF(I32=1,_xlfn.XLOOKUP(H32,Rates_Raw!$AF$5:$AF$464,Rates_Raw!$F$5:$F$464,""),"")</x:f>
        <x:v>352</x:v>
      </x:c>
      <x:c r="L32" s="50" t="n">
        <x:f>IF(I32=1,IFERROR(VALUE(SUBSTITUTE(_xlfn.XLOOKUP(H32,Rates_Raw!$AF$5:$AF$464,Rates_Raw!$L$5:$L$464,""),"$","")),""),"")</x:f>
        <x:v>135.3901</x:v>
      </x:c>
      <x:c r="M32" s="50" t="n">
        <x:f>IF(OR(G32="",L32=""),"",ROUND(G32-L32,4))</x:f>
        <x:v>0</x:v>
      </x:c>
      <x:c r="N32" t="str">
        <x:f>IF(I32=0,"NO MATCH",IF(I32&gt;1,"AMBIGUOUS",IF(EXACT(TRIM(E32),TRIM(J32)),"EXACT","TITLE VARIANT")))</x:f>
        <x:v>EXACT</x:v>
      </x:c>
      <x:c r="O32" t="str">
        <x:f>IF(I32&lt;&gt;1,"NOT TESTED",IF(OR(G32="",L32=""),"MISSING",IF(ABS(M32)&lt;=Guide!$B$16,"PASS","REVIEW")))</x:f>
        <x:v>PASS</x:v>
      </x:c>
      <x:c r="P32" s="52" t="n">
        <x:f>IF(I32=1,IFERROR(VALUE(SUBSTITUTE(SUBSTITUTE(_xlfn.XLOOKUP(H32,Rates_Raw!$AF$5:$AF$464,Rates_Raw!$I$5:$I$464,""),"$",""),",","")),""),"")</x:f>
        <x:v>10831</x:v>
      </x:c>
      <x:c r="Q32" s="52" t="n">
        <x:f>IF(P32="","",P32*Guide!$B$15)</x:f>
        <x:v>281606</x:v>
      </x:c>
      <x:c r="R32" t="str">
        <x:f>IF(I32=0,"UNMATCHED",IF(I32&gt;1,"DUPLICATE KEY",IF(OR(N32="TITLE VARIANT",O32="REVIEW",O32="MISSING"),"REVIEW","VERIFIED")))</x:f>
        <x:v>VERIFIED</x:v>
      </x:c>
      <x:c r="S32" s="46" t="str">
        <x:v>Not Reviewed</x:v>
      </x:c>
      <x:c r="T32" s="48"/>
    </x:row>
    <x:row r="33">
      <x:c r="A33" t="n">
        <x:f>Plan_Raw!A33</x:f>
        <x:v>42</x:v>
      </x:c>
      <x:c r="B33" t="str">
        <x:f>Plan_Raw!D33</x:f>
        <x:v>0150</x:v>
      </x:c>
      <x:c r="C33" t="str">
        <x:f>LEFT(Plan_Raw!B33,10)</x:f>
        <x:v>2025-07-01</x:v>
      </x:c>
      <x:c r="D33" t="str">
        <x:f>Plan_Raw!F33</x:f>
        <x:v>COMMN</x:v>
      </x:c>
      <x:c r="E33" t="str">
        <x:f>Plan_Raw!E33</x:f>
        <x:v>Dep Chf of Dept (Fire Dept)</x:v>
      </x:c>
      <x:c r="F33" t="str">
        <x:f>Plan_Raw!C33</x:f>
        <x:v>0150B</x:v>
      </x:c>
      <x:c r="G33" s="50" t="n">
        <x:f>IF(Plan_Raw!G33="","",IFERROR(VALUE(Plan_Raw!G33),""))</x:f>
        <x:v>169.7875</x:v>
      </x:c>
      <x:c r="H33" t="str">
        <x:f>Plan_Raw!AH33</x:f>
        <x:v>0150|COMMN|2025-07-01</x:v>
      </x:c>
      <x:c r="I33" t="n">
        <x:f>COUNTIF(Rates_Raw!$AF$5:$AF$464,H33)</x:f>
        <x:v>1</x:v>
      </x:c>
      <x:c r="J33" t="str">
        <x:f>IF(I33=1,_xlfn.XLOOKUP(H33,Rates_Raw!$AF$5:$AF$464,Rates_Raw!$E$5:$E$464,""),"")</x:f>
        <x:v>Dep Chf of Dept (Fire Dept)</x:v>
      </x:c>
      <x:c r="K33" t="n">
        <x:f>IF(I33=1,_xlfn.XLOOKUP(H33,Rates_Raw!$AF$5:$AF$464,Rates_Raw!$F$5:$F$464,""),"")</x:f>
        <x:v>352</x:v>
      </x:c>
      <x:c r="L33" s="50" t="n">
        <x:f>IF(I33=1,IFERROR(VALUE(SUBSTITUTE(_xlfn.XLOOKUP(H33,Rates_Raw!$AF$5:$AF$464,Rates_Raw!$L$5:$L$464,""),"$","")),""),"")</x:f>
        <x:v>169.7875</x:v>
      </x:c>
      <x:c r="M33" s="50" t="n">
        <x:f>IF(OR(G33="",L33=""),"",ROUND(G33-L33,4))</x:f>
        <x:v>0</x:v>
      </x:c>
      <x:c r="N33" t="str">
        <x:f>IF(I33=0,"NO MATCH",IF(I33&gt;1,"AMBIGUOUS",IF(EXACT(TRIM(E33),TRIM(J33)),"EXACT","TITLE VARIANT")))</x:f>
        <x:v>EXACT</x:v>
      </x:c>
      <x:c r="O33" t="str">
        <x:f>IF(I33&lt;&gt;1,"NOT TESTED",IF(OR(G33="",L33=""),"MISSING",IF(ABS(M33)&lt;=Guide!$B$16,"PASS","REVIEW")))</x:f>
        <x:v>PASS</x:v>
      </x:c>
      <x:c r="P33" s="52" t="n">
        <x:f>IF(I33=1,IFERROR(VALUE(SUBSTITUTE(SUBSTITUTE(_xlfn.XLOOKUP(H33,Rates_Raw!$AF$5:$AF$464,Rates_Raw!$I$5:$I$464,""),"$",""),",","")),""),"")</x:f>
        <x:v>13583</x:v>
      </x:c>
      <x:c r="Q33" s="52" t="n">
        <x:f>IF(P33="","",P33*Guide!$B$15)</x:f>
        <x:v>353158</x:v>
      </x:c>
      <x:c r="R33" t="str">
        <x:f>IF(I33=0,"UNMATCHED",IF(I33&gt;1,"DUPLICATE KEY",IF(OR(N33="TITLE VARIANT",O33="REVIEW",O33="MISSING"),"REVIEW","VERIFIED")))</x:f>
        <x:v>VERIFIED</x:v>
      </x:c>
      <x:c r="S33" s="46" t="str">
        <x:v>Not Reviewed</x:v>
      </x:c>
      <x:c r="T33" s="48"/>
    </x:row>
    <x:row r="34">
      <x:c r="A34" t="n">
        <x:f>Plan_Raw!A34</x:f>
        <x:v>50</x:v>
      </x:c>
      <x:c r="B34" t="str">
        <x:f>Plan_Raw!D34</x:f>
        <x:v>0150</x:v>
      </x:c>
      <x:c r="C34" t="str">
        <x:f>LEFT(Plan_Raw!B34,10)</x:f>
        <x:v>2025-07-01</x:v>
      </x:c>
      <x:c r="D34" t="str">
        <x:f>Plan_Raw!F34</x:f>
        <x:v>SUPPRESSION</x:v>
      </x:c>
      <x:c r="E34" t="str">
        <x:f>Plan_Raw!E34</x:f>
        <x:v>Dep Chf of Dept (Fire Dept)</x:v>
      </x:c>
      <x:c r="F34" t="str">
        <x:f>Plan_Raw!C34</x:f>
        <x:v>0150B</x:v>
      </x:c>
      <x:c r="G34" s="50" t="n">
        <x:f>IF(Plan_Raw!G34="","",IFERROR(VALUE(Plan_Raw!G34),""))</x:f>
        <x:v>139.4559</x:v>
      </x:c>
      <x:c r="H34" t="str">
        <x:f>Plan_Raw!AH34</x:f>
        <x:v>0150|SUPPRESSION|2025-07-01</x:v>
      </x:c>
      <x:c r="I34" t="n">
        <x:f>COUNTIF(Rates_Raw!$AF$5:$AF$464,H34)</x:f>
        <x:v>1</x:v>
      </x:c>
      <x:c r="J34" t="str">
        <x:f>IF(I34=1,_xlfn.XLOOKUP(H34,Rates_Raw!$AF$5:$AF$464,Rates_Raw!$E$5:$E$464,""),"")</x:f>
        <x:v>Dep Chf of Dept (Fire Dept)</x:v>
      </x:c>
      <x:c r="K34" t="n">
        <x:f>IF(I34=1,_xlfn.XLOOKUP(H34,Rates_Raw!$AF$5:$AF$464,Rates_Raw!$F$5:$F$464,""),"")</x:f>
        <x:v>352</x:v>
      </x:c>
      <x:c r="L34" s="50" t="n">
        <x:f>IF(I34=1,IFERROR(VALUE(SUBSTITUTE(_xlfn.XLOOKUP(H34,Rates_Raw!$AF$5:$AF$464,Rates_Raw!$L$5:$L$464,""),"$","")),""),"")</x:f>
        <x:v>139.4559</x:v>
      </x:c>
      <x:c r="M34" s="50" t="n">
        <x:f>IF(OR(G34="",L34=""),"",ROUND(G34-L34,4))</x:f>
        <x:v>0</x:v>
      </x:c>
      <x:c r="N34" t="str">
        <x:f>IF(I34=0,"NO MATCH",IF(I34&gt;1,"AMBIGUOUS",IF(EXACT(TRIM(E34),TRIM(J34)),"EXACT","TITLE VARIANT")))</x:f>
        <x:v>EXACT</x:v>
      </x:c>
      <x:c r="O34" t="str">
        <x:f>IF(I34&lt;&gt;1,"NOT TESTED",IF(OR(G34="",L34=""),"MISSING",IF(ABS(M34)&lt;=Guide!$B$16,"PASS","REVIEW")))</x:f>
        <x:v>PASS</x:v>
      </x:c>
      <x:c r="P34" s="52" t="n">
        <x:f>IF(I34=1,IFERROR(VALUE(SUBSTITUTE(SUBSTITUTE(_xlfn.XLOOKUP(H34,Rates_Raw!$AF$5:$AF$464,Rates_Raw!$I$5:$I$464,""),"$",""),",","")),""),"")</x:f>
        <x:v>11156</x:v>
      </x:c>
      <x:c r="Q34" s="52" t="n">
        <x:f>IF(P34="","",P34*Guide!$B$15)</x:f>
        <x:v>290056</x:v>
      </x:c>
      <x:c r="R34" t="str">
        <x:f>IF(I34=0,"UNMATCHED",IF(I34&gt;1,"DUPLICATE KEY",IF(OR(N34="TITLE VARIANT",O34="REVIEW",O34="MISSING"),"REVIEW","VERIFIED")))</x:f>
        <x:v>VERIFIED</x:v>
      </x:c>
      <x:c r="S34" s="46" t="str">
        <x:v>Not Reviewed</x:v>
      </x:c>
      <x:c r="T34" s="48"/>
    </x:row>
    <x:row r="35">
      <x:c r="A35" t="n">
        <x:f>Plan_Raw!A35</x:f>
        <x:v>43</x:v>
      </x:c>
      <x:c r="B35" t="str">
        <x:f>Plan_Raw!D35</x:f>
        <x:v>0150</x:v>
      </x:c>
      <x:c r="C35" t="str">
        <x:f>LEFT(Plan_Raw!B35,10)</x:f>
        <x:v>2026-07-01</x:v>
      </x:c>
      <x:c r="D35" t="str">
        <x:f>Plan_Raw!F35</x:f>
        <x:v>COMMN</x:v>
      </x:c>
      <x:c r="E35" t="str">
        <x:f>Plan_Raw!E35</x:f>
        <x:v>Dep Chf of Dept (Fire Dept)</x:v>
      </x:c>
      <x:c r="F35" t="str">
        <x:f>Plan_Raw!C35</x:f>
        <x:v>0150D</x:v>
      </x:c>
      <x:c r="G35" s="50" t="n">
        <x:f>IF(Plan_Raw!G35="","",IFERROR(VALUE(Plan_Raw!G35),""))</x:f>
        <x:v>173.1875</x:v>
      </x:c>
      <x:c r="H35" t="str">
        <x:f>Plan_Raw!AH35</x:f>
        <x:v>0150|COMMN|2026-07-01</x:v>
      </x:c>
      <x:c r="I35" t="n">
        <x:f>COUNTIF(Rates_Raw!$AF$5:$AF$464,H35)</x:f>
        <x:v>0</x:v>
      </x:c>
      <x:c r="J35" t="str">
        <x:f>IF(I35=1,_xlfn.XLOOKUP(H35,Rates_Raw!$AF$5:$AF$464,Rates_Raw!$E$5:$E$464,""),"")</x:f>
      </x:c>
      <x:c r="K35" t="str">
        <x:f>IF(I35=1,_xlfn.XLOOKUP(H35,Rates_Raw!$AF$5:$AF$464,Rates_Raw!$F$5:$F$464,""),"")</x:f>
      </x:c>
      <x:c r="L35" s="50" t="str">
        <x:f>IF(I35=1,IFERROR(VALUE(SUBSTITUTE(_xlfn.XLOOKUP(H35,Rates_Raw!$AF$5:$AF$464,Rates_Raw!$L$5:$L$464,""),"$","")),""),"")</x:f>
      </x:c>
      <x:c r="M35" s="50" t="str">
        <x:f>IF(OR(G35="",L35=""),"",ROUND(G35-L35,4))</x:f>
      </x:c>
      <x:c r="N35" t="str">
        <x:f>IF(I35=0,"NO MATCH",IF(I35&gt;1,"AMBIGUOUS",IF(EXACT(TRIM(E35),TRIM(J35)),"EXACT","TITLE VARIANT")))</x:f>
        <x:v>NO MATCH</x:v>
      </x:c>
      <x:c r="O35" t="str">
        <x:f>IF(I35&lt;&gt;1,"NOT TESTED",IF(OR(G35="",L35=""),"MISSING",IF(ABS(M35)&lt;=Guide!$B$16,"PASS","REVIEW")))</x:f>
        <x:v>NOT TESTED</x:v>
      </x:c>
      <x:c r="P35" s="52" t="str">
        <x:f>IF(I35=1,IFERROR(VALUE(SUBSTITUTE(SUBSTITUTE(_xlfn.XLOOKUP(H35,Rates_Raw!$AF$5:$AF$464,Rates_Raw!$I$5:$I$464,""),"$",""),",","")),""),"")</x:f>
      </x:c>
      <x:c r="Q35" s="52" t="str">
        <x:f>IF(P35="","",P35*Guide!$B$15)</x:f>
      </x:c>
      <x:c r="R35" t="str">
        <x:f>IF(I35=0,"UNMATCHED",IF(I35&gt;1,"DUPLICATE KEY",IF(OR(N35="TITLE VARIANT",O35="REVIEW",O35="MISSING"),"REVIEW","VERIFIED")))</x:f>
        <x:v>UNMATCHED</x:v>
      </x:c>
      <x:c r="S35" s="46" t="str">
        <x:v>Not Reviewed</x:v>
      </x:c>
      <x:c r="T35" s="48"/>
    </x:row>
    <x:row r="36">
      <x:c r="A36" t="n">
        <x:f>Plan_Raw!A36</x:f>
        <x:v>51</x:v>
      </x:c>
      <x:c r="B36" t="str">
        <x:f>Plan_Raw!D36</x:f>
        <x:v>0150</x:v>
      </x:c>
      <x:c r="C36" t="str">
        <x:f>LEFT(Plan_Raw!B36,10)</x:f>
        <x:v>2026-07-01</x:v>
      </x:c>
      <x:c r="D36" t="str">
        <x:f>Plan_Raw!F36</x:f>
        <x:v>SUPPRESSION</x:v>
      </x:c>
      <x:c r="E36" t="str">
        <x:f>Plan_Raw!E36</x:f>
        <x:v>Dep Chf of Dept (Fire Dept)</x:v>
      </x:c>
      <x:c r="F36" t="str">
        <x:f>Plan_Raw!C36</x:f>
        <x:v>0150D</x:v>
      </x:c>
      <x:c r="G36" s="50" t="n">
        <x:f>IF(Plan_Raw!G36="","",IFERROR(VALUE(Plan_Raw!G36),""))</x:f>
        <x:v>142.2485</x:v>
      </x:c>
      <x:c r="H36" t="str">
        <x:f>Plan_Raw!AH36</x:f>
        <x:v>0150|SUPPRESSION|2026-07-01</x:v>
      </x:c>
      <x:c r="I36" t="n">
        <x:f>COUNTIF(Rates_Raw!$AF$5:$AF$464,H36)</x:f>
        <x:v>0</x:v>
      </x:c>
      <x:c r="J36" t="str">
        <x:f>IF(I36=1,_xlfn.XLOOKUP(H36,Rates_Raw!$AF$5:$AF$464,Rates_Raw!$E$5:$E$464,""),"")</x:f>
      </x:c>
      <x:c r="K36" t="str">
        <x:f>IF(I36=1,_xlfn.XLOOKUP(H36,Rates_Raw!$AF$5:$AF$464,Rates_Raw!$F$5:$F$464,""),"")</x:f>
      </x:c>
      <x:c r="L36" s="50" t="str">
        <x:f>IF(I36=1,IFERROR(VALUE(SUBSTITUTE(_xlfn.XLOOKUP(H36,Rates_Raw!$AF$5:$AF$464,Rates_Raw!$L$5:$L$464,""),"$","")),""),"")</x:f>
      </x:c>
      <x:c r="M36" s="50" t="str">
        <x:f>IF(OR(G36="",L36=""),"",ROUND(G36-L36,4))</x:f>
      </x:c>
      <x:c r="N36" t="str">
        <x:f>IF(I36=0,"NO MATCH",IF(I36&gt;1,"AMBIGUOUS",IF(EXACT(TRIM(E36),TRIM(J36)),"EXACT","TITLE VARIANT")))</x:f>
        <x:v>NO MATCH</x:v>
      </x:c>
      <x:c r="O36" t="str">
        <x:f>IF(I36&lt;&gt;1,"NOT TESTED",IF(OR(G36="",L36=""),"MISSING",IF(ABS(M36)&lt;=Guide!$B$16,"PASS","REVIEW")))</x:f>
        <x:v>NOT TESTED</x:v>
      </x:c>
      <x:c r="P36" s="52" t="str">
        <x:f>IF(I36=1,IFERROR(VALUE(SUBSTITUTE(SUBSTITUTE(_xlfn.XLOOKUP(H36,Rates_Raw!$AF$5:$AF$464,Rates_Raw!$I$5:$I$464,""),"$",""),",","")),""),"")</x:f>
      </x:c>
      <x:c r="Q36" s="52" t="str">
        <x:f>IF(P36="","",P36*Guide!$B$15)</x:f>
      </x:c>
      <x:c r="R36" t="str">
        <x:f>IF(I36=0,"UNMATCHED",IF(I36&gt;1,"DUPLICATE KEY",IF(OR(N36="TITLE VARIANT",O36="REVIEW",O36="MISSING"),"REVIEW","VERIFIED")))</x:f>
        <x:v>UNMATCHED</x:v>
      </x:c>
      <x:c r="S36" s="46" t="str">
        <x:v>Not Reviewed</x:v>
      </x:c>
      <x:c r="T36" s="48"/>
    </x:row>
    <x:row r="37">
      <x:c r="A37" t="n">
        <x:f>Plan_Raw!A37</x:f>
        <x:v>56</x:v>
      </x:c>
      <x:c r="B37" t="str">
        <x:f>Plan_Raw!D37</x:f>
        <x:v>0380</x:v>
      </x:c>
      <x:c r="C37" t="str">
        <x:f>LEFT(Plan_Raw!B37,10)</x:f>
        <x:v>2024-01-06</x:v>
      </x:c>
      <x:c r="D37" t="str">
        <x:f>Plan_Raw!F37</x:f>
        <x:v>COMMN</x:v>
      </x:c>
      <x:c r="E37" t="str">
        <x:f>Plan_Raw!E37</x:f>
        <x:v>Inspector, (Police Department)</x:v>
      </x:c>
      <x:c r="F37" t="str">
        <x:f>Plan_Raw!C37</x:f>
        <x:v>0380Y</x:v>
      </x:c>
      <x:c r="G37" s="50" t="n">
        <x:f>IF(Plan_Raw!G37="","",IFERROR(VALUE(Plan_Raw!G37),""))</x:f>
        <x:v>79.9625</x:v>
      </x:c>
      <x:c r="H37" t="str">
        <x:f>Plan_Raw!AH37</x:f>
        <x:v>0380|COMMN|2024-01-06</x:v>
      </x:c>
      <x:c r="I37" t="n">
        <x:f>COUNTIF(Rates_Raw!$AF$5:$AF$464,H37)</x:f>
        <x:v>1</x:v>
      </x:c>
      <x:c r="J37" t="str">
        <x:f>IF(I37=1,_xlfn.XLOOKUP(H37,Rates_Raw!$AF$5:$AF$464,Rates_Raw!$E$5:$E$464,""),"")</x:f>
        <x:v>Inspector, (Police Department)</x:v>
      </x:c>
      <x:c r="K37" t="n">
        <x:f>IF(I37=1,_xlfn.XLOOKUP(H37,Rates_Raw!$AF$5:$AF$464,Rates_Raw!$F$5:$F$464,""),"")</x:f>
        <x:v>911</x:v>
      </x:c>
      <x:c r="L37" s="50" t="n">
        <x:f>IF(I37=1,IFERROR(VALUE(SUBSTITUTE(_xlfn.XLOOKUP(H37,Rates_Raw!$AF$5:$AF$464,Rates_Raw!$L$5:$L$464,""),"$","")),""),"")</x:f>
        <x:v>79.9625</x:v>
      </x:c>
      <x:c r="M37" s="50" t="n">
        <x:f>IF(OR(G37="",L37=""),"",ROUND(G37-L37,4))</x:f>
        <x:v>0</x:v>
      </x:c>
      <x:c r="N37" t="str">
        <x:f>IF(I37=0,"NO MATCH",IF(I37&gt;1,"AMBIGUOUS",IF(EXACT(TRIM(E37),TRIM(J37)),"EXACT","TITLE VARIANT")))</x:f>
        <x:v>EXACT</x:v>
      </x:c>
      <x:c r="O37" t="str">
        <x:f>IF(I37&lt;&gt;1,"NOT TESTED",IF(OR(G37="",L37=""),"MISSING",IF(ABS(M37)&lt;=Guide!$B$16,"PASS","REVIEW")))</x:f>
        <x:v>PASS</x:v>
      </x:c>
      <x:c r="P37" s="52" t="n">
        <x:f>IF(I37=1,IFERROR(VALUE(SUBSTITUTE(SUBSTITUTE(_xlfn.XLOOKUP(H37,Rates_Raw!$AF$5:$AF$464,Rates_Raw!$I$5:$I$464,""),"$",""),",","")),""),"")</x:f>
        <x:v>6397</x:v>
      </x:c>
      <x:c r="Q37" s="52" t="n">
        <x:f>IF(P37="","",P37*Guide!$B$15)</x:f>
        <x:v>166322</x:v>
      </x:c>
      <x:c r="R37" t="str">
        <x:f>IF(I37=0,"UNMATCHED",IF(I37&gt;1,"DUPLICATE KEY",IF(OR(N37="TITLE VARIANT",O37="REVIEW",O37="MISSING"),"REVIEW","VERIFIED")))</x:f>
        <x:v>VERIFIED</x:v>
      </x:c>
      <x:c r="S37" s="46" t="str">
        <x:v>Not Reviewed</x:v>
      </x:c>
      <x:c r="T37" s="48"/>
    </x:row>
    <x:row r="38">
      <x:c r="A38" t="n">
        <x:f>Plan_Raw!A38</x:f>
        <x:v>57</x:v>
      </x:c>
      <x:c r="B38" t="str">
        <x:f>Plan_Raw!D38</x:f>
        <x:v>0380</x:v>
      </x:c>
      <x:c r="C38" t="str">
        <x:f>LEFT(Plan_Raw!B38,10)</x:f>
        <x:v>2024-07-01</x:v>
      </x:c>
      <x:c r="D38" t="str">
        <x:f>Plan_Raw!F38</x:f>
        <x:v>COMMN</x:v>
      </x:c>
      <x:c r="E38" t="str">
        <x:f>Plan_Raw!E38</x:f>
        <x:v>Inspector, (Police Department)</x:v>
      </x:c>
      <x:c r="F38" t="str">
        <x:f>Plan_Raw!C38</x:f>
        <x:v>0380Z</x:v>
      </x:c>
      <x:c r="G38" s="50" t="n">
        <x:f>IF(Plan_Raw!G38="","",IFERROR(VALUE(Plan_Raw!G38),""))</x:f>
        <x:v>79.9625</x:v>
      </x:c>
      <x:c r="H38" t="str">
        <x:f>Plan_Raw!AH38</x:f>
        <x:v>0380|COMMN|2024-07-01</x:v>
      </x:c>
      <x:c r="I38" t="n">
        <x:f>COUNTIF(Rates_Raw!$AF$5:$AF$464,H38)</x:f>
        <x:v>1</x:v>
      </x:c>
      <x:c r="J38" t="str">
        <x:f>IF(I38=1,_xlfn.XLOOKUP(H38,Rates_Raw!$AF$5:$AF$464,Rates_Raw!$E$5:$E$464,""),"")</x:f>
        <x:v>Inspector, (Police Department)</x:v>
      </x:c>
      <x:c r="K38" t="n">
        <x:f>IF(I38=1,_xlfn.XLOOKUP(H38,Rates_Raw!$AF$5:$AF$464,Rates_Raw!$F$5:$F$464,""),"")</x:f>
        <x:v>911</x:v>
      </x:c>
      <x:c r="L38" s="50" t="n">
        <x:f>IF(I38=1,IFERROR(VALUE(SUBSTITUTE(_xlfn.XLOOKUP(H38,Rates_Raw!$AF$5:$AF$464,Rates_Raw!$L$5:$L$464,""),"$","")),""),"")</x:f>
        <x:v>79.9625</x:v>
      </x:c>
      <x:c r="M38" s="50" t="n">
        <x:f>IF(OR(G38="",L38=""),"",ROUND(G38-L38,4))</x:f>
        <x:v>0</x:v>
      </x:c>
      <x:c r="N38" t="str">
        <x:f>IF(I38=0,"NO MATCH",IF(I38&gt;1,"AMBIGUOUS",IF(EXACT(TRIM(E38),TRIM(J38)),"EXACT","TITLE VARIANT")))</x:f>
        <x:v>EXACT</x:v>
      </x:c>
      <x:c r="O38" t="str">
        <x:f>IF(I38&lt;&gt;1,"NOT TESTED",IF(OR(G38="",L38=""),"MISSING",IF(ABS(M38)&lt;=Guide!$B$16,"PASS","REVIEW")))</x:f>
        <x:v>PASS</x:v>
      </x:c>
      <x:c r="P38" s="52" t="n">
        <x:f>IF(I38=1,IFERROR(VALUE(SUBSTITUTE(SUBSTITUTE(_xlfn.XLOOKUP(H38,Rates_Raw!$AF$5:$AF$464,Rates_Raw!$I$5:$I$464,""),"$",""),",","")),""),"")</x:f>
        <x:v>6397</x:v>
      </x:c>
      <x:c r="Q38" s="52" t="n">
        <x:f>IF(P38="","",P38*Guide!$B$15)</x:f>
        <x:v>166322</x:v>
      </x:c>
      <x:c r="R38" t="str">
        <x:f>IF(I38=0,"UNMATCHED",IF(I38&gt;1,"DUPLICATE KEY",IF(OR(N38="TITLE VARIANT",O38="REVIEW",O38="MISSING"),"REVIEW","VERIFIED")))</x:f>
        <x:v>VERIFIED</x:v>
      </x:c>
      <x:c r="S38" s="46" t="str">
        <x:v>Not Reviewed</x:v>
      </x:c>
      <x:c r="T38" s="48"/>
    </x:row>
    <x:row r="39">
      <x:c r="A39" t="n">
        <x:f>Plan_Raw!A39</x:f>
        <x:v>58</x:v>
      </x:c>
      <x:c r="B39" t="str">
        <x:f>Plan_Raw!D39</x:f>
        <x:v>0380</x:v>
      </x:c>
      <x:c r="C39" t="str">
        <x:f>LEFT(Plan_Raw!B39,10)</x:f>
        <x:v>2025-01-04</x:v>
      </x:c>
      <x:c r="D39" t="str">
        <x:f>Plan_Raw!F39</x:f>
        <x:v>COMMN</x:v>
      </x:c>
      <x:c r="E39" t="str">
        <x:f>Plan_Raw!E39</x:f>
        <x:v>Inspector, (Police Department)</x:v>
      </x:c>
      <x:c r="F39" t="str">
        <x:f>Plan_Raw!C39</x:f>
        <x:v>0380A</x:v>
      </x:c>
      <x:c r="G39" s="50" t="n">
        <x:f>IF(Plan_Raw!G39="","",IFERROR(VALUE(Plan_Raw!G39),""))</x:f>
        <x:v>82.3625</x:v>
      </x:c>
      <x:c r="H39" t="str">
        <x:f>Plan_Raw!AH39</x:f>
        <x:v>0380|COMMN|2025-01-04</x:v>
      </x:c>
      <x:c r="I39" t="n">
        <x:f>COUNTIF(Rates_Raw!$AF$5:$AF$464,H39)</x:f>
        <x:v>1</x:v>
      </x:c>
      <x:c r="J39" t="str">
        <x:f>IF(I39=1,_xlfn.XLOOKUP(H39,Rates_Raw!$AF$5:$AF$464,Rates_Raw!$E$5:$E$464,""),"")</x:f>
        <x:v>Inspector, (Police Department)</x:v>
      </x:c>
      <x:c r="K39" t="n">
        <x:f>IF(I39=1,_xlfn.XLOOKUP(H39,Rates_Raw!$AF$5:$AF$464,Rates_Raw!$F$5:$F$464,""),"")</x:f>
        <x:v>911</x:v>
      </x:c>
      <x:c r="L39" s="50" t="n">
        <x:f>IF(I39=1,IFERROR(VALUE(SUBSTITUTE(_xlfn.XLOOKUP(H39,Rates_Raw!$AF$5:$AF$464,Rates_Raw!$L$5:$L$464,""),"$","")),""),"")</x:f>
        <x:v>82.3625</x:v>
      </x:c>
      <x:c r="M39" s="50" t="n">
        <x:f>IF(OR(G39="",L39=""),"",ROUND(G39-L39,4))</x:f>
        <x:v>0</x:v>
      </x:c>
      <x:c r="N39" t="str">
        <x:f>IF(I39=0,"NO MATCH",IF(I39&gt;1,"AMBIGUOUS",IF(EXACT(TRIM(E39),TRIM(J39)),"EXACT","TITLE VARIANT")))</x:f>
        <x:v>EXACT</x:v>
      </x:c>
      <x:c r="O39" t="str">
        <x:f>IF(I39&lt;&gt;1,"NOT TESTED",IF(OR(G39="",L39=""),"MISSING",IF(ABS(M39)&lt;=Guide!$B$16,"PASS","REVIEW")))</x:f>
        <x:v>PASS</x:v>
      </x:c>
      <x:c r="P39" s="52" t="n">
        <x:f>IF(I39=1,IFERROR(VALUE(SUBSTITUTE(SUBSTITUTE(_xlfn.XLOOKUP(H39,Rates_Raw!$AF$5:$AF$464,Rates_Raw!$I$5:$I$464,""),"$",""),",","")),""),"")</x:f>
        <x:v>6589</x:v>
      </x:c>
      <x:c r="Q39" s="52" t="n">
        <x:f>IF(P39="","",P39*Guide!$B$15)</x:f>
        <x:v>171314</x:v>
      </x:c>
      <x:c r="R39" t="str">
        <x:f>IF(I39=0,"UNMATCHED",IF(I39&gt;1,"DUPLICATE KEY",IF(OR(N39="TITLE VARIANT",O39="REVIEW",O39="MISSING"),"REVIEW","VERIFIED")))</x:f>
        <x:v>VERIFIED</x:v>
      </x:c>
      <x:c r="S39" s="46" t="str">
        <x:v>Not Reviewed</x:v>
      </x:c>
      <x:c r="T39" s="48"/>
    </x:row>
    <x:row r="40">
      <x:c r="A40" t="n">
        <x:f>Plan_Raw!A40</x:f>
        <x:v>59</x:v>
      </x:c>
      <x:c r="B40" t="str">
        <x:f>Plan_Raw!D40</x:f>
        <x:v>0380</x:v>
      </x:c>
      <x:c r="C40" t="str">
        <x:f>LEFT(Plan_Raw!B40,10)</x:f>
        <x:v>2025-07-01</x:v>
      </x:c>
      <x:c r="D40" t="str">
        <x:f>Plan_Raw!F40</x:f>
        <x:v>COMMN</x:v>
      </x:c>
      <x:c r="E40" t="str">
        <x:f>Plan_Raw!E40</x:f>
        <x:v>Inspector, (Police Department)</x:v>
      </x:c>
      <x:c r="F40" t="str">
        <x:f>Plan_Raw!C40</x:f>
        <x:v>0380B</x:v>
      </x:c>
      <x:c r="G40" s="50" t="n">
        <x:f>IF(Plan_Raw!G40="","",IFERROR(VALUE(Plan_Raw!G40),""))</x:f>
        <x:v>84.8375</x:v>
      </x:c>
      <x:c r="H40" t="str">
        <x:f>Plan_Raw!AH40</x:f>
        <x:v>0380|COMMN|2025-07-01</x:v>
      </x:c>
      <x:c r="I40" t="n">
        <x:f>COUNTIF(Rates_Raw!$AF$5:$AF$464,H40)</x:f>
        <x:v>1</x:v>
      </x:c>
      <x:c r="J40" t="str">
        <x:f>IF(I40=1,_xlfn.XLOOKUP(H40,Rates_Raw!$AF$5:$AF$464,Rates_Raw!$E$5:$E$464,""),"")</x:f>
        <x:v>Inspector, (Police Department)</x:v>
      </x:c>
      <x:c r="K40" t="n">
        <x:f>IF(I40=1,_xlfn.XLOOKUP(H40,Rates_Raw!$AF$5:$AF$464,Rates_Raw!$F$5:$F$464,""),"")</x:f>
        <x:v>911</x:v>
      </x:c>
      <x:c r="L40" s="50" t="n">
        <x:f>IF(I40=1,IFERROR(VALUE(SUBSTITUTE(_xlfn.XLOOKUP(H40,Rates_Raw!$AF$5:$AF$464,Rates_Raw!$L$5:$L$464,""),"$","")),""),"")</x:f>
        <x:v>84.8375</x:v>
      </x:c>
      <x:c r="M40" s="50" t="n">
        <x:f>IF(OR(G40="",L40=""),"",ROUND(G40-L40,4))</x:f>
        <x:v>0</x:v>
      </x:c>
      <x:c r="N40" t="str">
        <x:f>IF(I40=0,"NO MATCH",IF(I40&gt;1,"AMBIGUOUS",IF(EXACT(TRIM(E40),TRIM(J40)),"EXACT","TITLE VARIANT")))</x:f>
        <x:v>EXACT</x:v>
      </x:c>
      <x:c r="O40" t="str">
        <x:f>IF(I40&lt;&gt;1,"NOT TESTED",IF(OR(G40="",L40=""),"MISSING",IF(ABS(M40)&lt;=Guide!$B$16,"PASS","REVIEW")))</x:f>
        <x:v>PASS</x:v>
      </x:c>
      <x:c r="P40" s="52" t="n">
        <x:f>IF(I40=1,IFERROR(VALUE(SUBSTITUTE(SUBSTITUTE(_xlfn.XLOOKUP(H40,Rates_Raw!$AF$5:$AF$464,Rates_Raw!$I$5:$I$464,""),"$",""),",","")),""),"")</x:f>
        <x:v>6787</x:v>
      </x:c>
      <x:c r="Q40" s="52" t="n">
        <x:f>IF(P40="","",P40*Guide!$B$15)</x:f>
        <x:v>176462</x:v>
      </x:c>
      <x:c r="R40" t="str">
        <x:f>IF(I40=0,"UNMATCHED",IF(I40&gt;1,"DUPLICATE KEY",IF(OR(N40="TITLE VARIANT",O40="REVIEW",O40="MISSING"),"REVIEW","VERIFIED")))</x:f>
        <x:v>VERIFIED</x:v>
      </x:c>
      <x:c r="S40" s="46" t="str">
        <x:v>Not Reviewed</x:v>
      </x:c>
      <x:c r="T40" s="48"/>
    </x:row>
    <x:row r="41">
      <x:c r="A41" t="n">
        <x:f>Plan_Raw!A41</x:f>
        <x:v>60</x:v>
      </x:c>
      <x:c r="B41" t="str">
        <x:f>Plan_Raw!D41</x:f>
        <x:v>0380</x:v>
      </x:c>
      <x:c r="C41" t="str">
        <x:f>LEFT(Plan_Raw!B41,10)</x:f>
        <x:v>2026-07-01</x:v>
      </x:c>
      <x:c r="D41" t="str">
        <x:f>Plan_Raw!F41</x:f>
        <x:v>COMMN</x:v>
      </x:c>
      <x:c r="E41" t="str">
        <x:f>Plan_Raw!E41</x:f>
        <x:v>Inspector, (Police Department)</x:v>
      </x:c>
      <x:c r="F41" t="str">
        <x:f>Plan_Raw!C41</x:f>
        <x:v>0380D</x:v>
      </x:c>
      <x:c r="G41" s="50" t="n">
        <x:f>IF(Plan_Raw!G41="","",IFERROR(VALUE(Plan_Raw!G41),""))</x:f>
        <x:v>86.5375</x:v>
      </x:c>
      <x:c r="H41" t="str">
        <x:f>Plan_Raw!AH41</x:f>
        <x:v>0380|COMMN|2026-07-01</x:v>
      </x:c>
      <x:c r="I41" t="n">
        <x:f>COUNTIF(Rates_Raw!$AF$5:$AF$464,H41)</x:f>
        <x:v>0</x:v>
      </x:c>
      <x:c r="J41" t="str">
        <x:f>IF(I41=1,_xlfn.XLOOKUP(H41,Rates_Raw!$AF$5:$AF$464,Rates_Raw!$E$5:$E$464,""),"")</x:f>
      </x:c>
      <x:c r="K41" t="str">
        <x:f>IF(I41=1,_xlfn.XLOOKUP(H41,Rates_Raw!$AF$5:$AF$464,Rates_Raw!$F$5:$F$464,""),"")</x:f>
      </x:c>
      <x:c r="L41" s="50" t="str">
        <x:f>IF(I41=1,IFERROR(VALUE(SUBSTITUTE(_xlfn.XLOOKUP(H41,Rates_Raw!$AF$5:$AF$464,Rates_Raw!$L$5:$L$464,""),"$","")),""),"")</x:f>
      </x:c>
      <x:c r="M41" s="50" t="str">
        <x:f>IF(OR(G41="",L41=""),"",ROUND(G41-L41,4))</x:f>
      </x:c>
      <x:c r="N41" t="str">
        <x:f>IF(I41=0,"NO MATCH",IF(I41&gt;1,"AMBIGUOUS",IF(EXACT(TRIM(E41),TRIM(J41)),"EXACT","TITLE VARIANT")))</x:f>
        <x:v>NO MATCH</x:v>
      </x:c>
      <x:c r="O41" t="str">
        <x:f>IF(I41&lt;&gt;1,"NOT TESTED",IF(OR(G41="",L41=""),"MISSING",IF(ABS(M41)&lt;=Guide!$B$16,"PASS","REVIEW")))</x:f>
        <x:v>NOT TESTED</x:v>
      </x:c>
      <x:c r="P41" s="52" t="str">
        <x:f>IF(I41=1,IFERROR(VALUE(SUBSTITUTE(SUBSTITUTE(_xlfn.XLOOKUP(H41,Rates_Raw!$AF$5:$AF$464,Rates_Raw!$I$5:$I$464,""),"$",""),",","")),""),"")</x:f>
      </x:c>
      <x:c r="Q41" s="52" t="str">
        <x:f>IF(P41="","",P41*Guide!$B$15)</x:f>
      </x:c>
      <x:c r="R41" t="str">
        <x:f>IF(I41=0,"UNMATCHED",IF(I41&gt;1,"DUPLICATE KEY",IF(OR(N41="TITLE VARIANT",O41="REVIEW",O41="MISSING"),"REVIEW","VERIFIED")))</x:f>
        <x:v>UNMATCHED</x:v>
      </x:c>
      <x:c r="S41" s="46" t="str">
        <x:v>Not Reviewed</x:v>
      </x:c>
      <x:c r="T41" s="48"/>
    </x:row>
    <x:row r="42">
      <x:c r="A42" t="n">
        <x:f>Plan_Raw!A42</x:f>
        <x:v>61</x:v>
      </x:c>
      <x:c r="B42" t="str">
        <x:f>Plan_Raw!D42</x:f>
        <x:v>0381</x:v>
      </x:c>
      <x:c r="C42" t="str">
        <x:f>LEFT(Plan_Raw!B42,10)</x:f>
        <x:v>2020-07-01</x:v>
      </x:c>
      <x:c r="D42" t="str">
        <x:f>Plan_Raw!F42</x:f>
        <x:v>COMMN</x:v>
      </x:c>
      <x:c r="E42" t="str">
        <x:f>Plan_Raw!E42</x:f>
        <x:v>Inspector II</x:v>
      </x:c>
      <x:c r="F42" t="str">
        <x:f>Plan_Raw!C42</x:f>
        <x:v>0381S</x:v>
      </x:c>
      <x:c r="G42" s="50" t="n">
        <x:f>IF(Plan_Raw!G42="","",IFERROR(VALUE(Plan_Raw!G42),""))</x:f>
        <x:v>74.0125</x:v>
      </x:c>
      <x:c r="H42" t="str">
        <x:f>Plan_Raw!AH42</x:f>
        <x:v>0381|COMMN|2020-07-01</x:v>
      </x:c>
      <x:c r="I42" t="n">
        <x:f>COUNTIF(Rates_Raw!$AF$5:$AF$464,H42)</x:f>
        <x:v>1</x:v>
      </x:c>
      <x:c r="J42" t="str">
        <x:f>IF(I42=1,_xlfn.XLOOKUP(H42,Rates_Raw!$AF$5:$AF$464,Rates_Raw!$E$5:$E$464,""),"")</x:f>
        <x:v>Inspector II</x:v>
      </x:c>
      <x:c r="K42" t="n">
        <x:f>IF(I42=1,_xlfn.XLOOKUP(H42,Rates_Raw!$AF$5:$AF$464,Rates_Raw!$F$5:$F$464,""),"")</x:f>
        <x:v>911</x:v>
      </x:c>
      <x:c r="L42" s="50" t="n">
        <x:f>IF(I42=1,IFERROR(VALUE(SUBSTITUTE(_xlfn.XLOOKUP(H42,Rates_Raw!$AF$5:$AF$464,Rates_Raw!$L$5:$L$464,""),"$","")),""),"")</x:f>
        <x:v>74.0125</x:v>
      </x:c>
      <x:c r="M42" s="50" t="n">
        <x:f>IF(OR(G42="",L42=""),"",ROUND(G42-L42,4))</x:f>
        <x:v>0</x:v>
      </x:c>
      <x:c r="N42" t="str">
        <x:f>IF(I42=0,"NO MATCH",IF(I42&gt;1,"AMBIGUOUS",IF(EXACT(TRIM(E42),TRIM(J42)),"EXACT","TITLE VARIANT")))</x:f>
        <x:v>EXACT</x:v>
      </x:c>
      <x:c r="O42" t="str">
        <x:f>IF(I42&lt;&gt;1,"NOT TESTED",IF(OR(G42="",L42=""),"MISSING",IF(ABS(M42)&lt;=Guide!$B$16,"PASS","REVIEW")))</x:f>
        <x:v>PASS</x:v>
      </x:c>
      <x:c r="P42" s="52" t="n">
        <x:f>IF(I42=1,IFERROR(VALUE(SUBSTITUTE(SUBSTITUTE(_xlfn.XLOOKUP(H42,Rates_Raw!$AF$5:$AF$464,Rates_Raw!$I$5:$I$464,""),"$",""),",","")),""),"")</x:f>
        <x:v>5921</x:v>
      </x:c>
      <x:c r="Q42" s="52" t="n">
        <x:f>IF(P42="","",P42*Guide!$B$15)</x:f>
        <x:v>153946</x:v>
      </x:c>
      <x:c r="R42" t="str">
        <x:f>IF(I42=0,"UNMATCHED",IF(I42&gt;1,"DUPLICATE KEY",IF(OR(N42="TITLE VARIANT",O42="REVIEW",O42="MISSING"),"REVIEW","VERIFIED")))</x:f>
        <x:v>VERIFIED</x:v>
      </x:c>
      <x:c r="S42" s="46" t="str">
        <x:v>Not Reviewed</x:v>
      </x:c>
      <x:c r="T42" s="48"/>
    </x:row>
    <x:row r="43">
      <x:c r="A43" t="n">
        <x:f>Plan_Raw!A43</x:f>
        <x:v>65</x:v>
      </x:c>
      <x:c r="B43" t="str">
        <x:f>Plan_Raw!D43</x:f>
        <x:v>0381</x:v>
      </x:c>
      <x:c r="C43" t="str">
        <x:f>LEFT(Plan_Raw!B43,10)</x:f>
        <x:v>2024-01-06</x:v>
      </x:c>
      <x:c r="D43" t="str">
        <x:f>Plan_Raw!F43</x:f>
        <x:v>COMMN</x:v>
      </x:c>
      <x:c r="E43" t="str">
        <x:f>Plan_Raw!E43</x:f>
        <x:v>Inspector II</x:v>
      </x:c>
      <x:c r="F43" t="str">
        <x:f>Plan_Raw!C43</x:f>
        <x:v>0381Y</x:v>
      </x:c>
      <x:c r="G43" s="50" t="n">
        <x:f>IF(Plan_Raw!G43="","",IFERROR(VALUE(Plan_Raw!G43),""))</x:f>
        <x:v>84.7625</x:v>
      </x:c>
      <x:c r="H43" t="str">
        <x:f>Plan_Raw!AH43</x:f>
        <x:v>0381|COMMN|2024-01-06</x:v>
      </x:c>
      <x:c r="I43" t="n">
        <x:f>COUNTIF(Rates_Raw!$AF$5:$AF$464,H43)</x:f>
        <x:v>1</x:v>
      </x:c>
      <x:c r="J43" t="str">
        <x:f>IF(I43=1,_xlfn.XLOOKUP(H43,Rates_Raw!$AF$5:$AF$464,Rates_Raw!$E$5:$E$464,""),"")</x:f>
        <x:v>Inspector II</x:v>
      </x:c>
      <x:c r="K43" t="n">
        <x:f>IF(I43=1,_xlfn.XLOOKUP(H43,Rates_Raw!$AF$5:$AF$464,Rates_Raw!$F$5:$F$464,""),"")</x:f>
        <x:v>911</x:v>
      </x:c>
      <x:c r="L43" s="50" t="n">
        <x:f>IF(I43=1,IFERROR(VALUE(SUBSTITUTE(_xlfn.XLOOKUP(H43,Rates_Raw!$AF$5:$AF$464,Rates_Raw!$L$5:$L$464,""),"$","")),""),"")</x:f>
        <x:v>84.7625</x:v>
      </x:c>
      <x:c r="M43" s="50" t="n">
        <x:f>IF(OR(G43="",L43=""),"",ROUND(G43-L43,4))</x:f>
        <x:v>0</x:v>
      </x:c>
      <x:c r="N43" t="str">
        <x:f>IF(I43=0,"NO MATCH",IF(I43&gt;1,"AMBIGUOUS",IF(EXACT(TRIM(E43),TRIM(J43)),"EXACT","TITLE VARIANT")))</x:f>
        <x:v>EXACT</x:v>
      </x:c>
      <x:c r="O43" t="str">
        <x:f>IF(I43&lt;&gt;1,"NOT TESTED",IF(OR(G43="",L43=""),"MISSING",IF(ABS(M43)&lt;=Guide!$B$16,"PASS","REVIEW")))</x:f>
        <x:v>PASS</x:v>
      </x:c>
      <x:c r="P43" s="52" t="n">
        <x:f>IF(I43=1,IFERROR(VALUE(SUBSTITUTE(SUBSTITUTE(_xlfn.XLOOKUP(H43,Rates_Raw!$AF$5:$AF$464,Rates_Raw!$I$5:$I$464,""),"$",""),",","")),""),"")</x:f>
        <x:v>6781</x:v>
      </x:c>
      <x:c r="Q43" s="52" t="n">
        <x:f>IF(P43="","",P43*Guide!$B$15)</x:f>
        <x:v>176306</x:v>
      </x:c>
      <x:c r="R43" t="str">
        <x:f>IF(I43=0,"UNMATCHED",IF(I43&gt;1,"DUPLICATE KEY",IF(OR(N43="TITLE VARIANT",O43="REVIEW",O43="MISSING"),"REVIEW","VERIFIED")))</x:f>
        <x:v>VERIFIED</x:v>
      </x:c>
      <x:c r="S43" s="46" t="str">
        <x:v>Not Reviewed</x:v>
      </x:c>
      <x:c r="T43" s="48"/>
    </x:row>
    <x:row r="44">
      <x:c r="A44" t="n">
        <x:f>Plan_Raw!A44</x:f>
        <x:v>66</x:v>
      </x:c>
      <x:c r="B44" t="str">
        <x:f>Plan_Raw!D44</x:f>
        <x:v>0381</x:v>
      </x:c>
      <x:c r="C44" t="str">
        <x:f>LEFT(Plan_Raw!B44,10)</x:f>
        <x:v>2024-07-01</x:v>
      </x:c>
      <x:c r="D44" t="str">
        <x:f>Plan_Raw!F44</x:f>
        <x:v>COMMN</x:v>
      </x:c>
      <x:c r="E44" t="str">
        <x:f>Plan_Raw!E44</x:f>
        <x:v>Inspector II</x:v>
      </x:c>
      <x:c r="F44" t="str">
        <x:f>Plan_Raw!C44</x:f>
        <x:v>0381Z</x:v>
      </x:c>
      <x:c r="G44" s="50" t="n">
        <x:f>IF(Plan_Raw!G44="","",IFERROR(VALUE(Plan_Raw!G44),""))</x:f>
        <x:v>84.7625</x:v>
      </x:c>
      <x:c r="H44" t="str">
        <x:f>Plan_Raw!AH44</x:f>
        <x:v>0381|COMMN|2024-07-01</x:v>
      </x:c>
      <x:c r="I44" t="n">
        <x:f>COUNTIF(Rates_Raw!$AF$5:$AF$464,H44)</x:f>
        <x:v>1</x:v>
      </x:c>
      <x:c r="J44" t="str">
        <x:f>IF(I44=1,_xlfn.XLOOKUP(H44,Rates_Raw!$AF$5:$AF$464,Rates_Raw!$E$5:$E$464,""),"")</x:f>
        <x:v>Inspector II</x:v>
      </x:c>
      <x:c r="K44" t="n">
        <x:f>IF(I44=1,_xlfn.XLOOKUP(H44,Rates_Raw!$AF$5:$AF$464,Rates_Raw!$F$5:$F$464,""),"")</x:f>
        <x:v>911</x:v>
      </x:c>
      <x:c r="L44" s="50" t="n">
        <x:f>IF(I44=1,IFERROR(VALUE(SUBSTITUTE(_xlfn.XLOOKUP(H44,Rates_Raw!$AF$5:$AF$464,Rates_Raw!$L$5:$L$464,""),"$","")),""),"")</x:f>
        <x:v>84.7625</x:v>
      </x:c>
      <x:c r="M44" s="50" t="n">
        <x:f>IF(OR(G44="",L44=""),"",ROUND(G44-L44,4))</x:f>
        <x:v>0</x:v>
      </x:c>
      <x:c r="N44" t="str">
        <x:f>IF(I44=0,"NO MATCH",IF(I44&gt;1,"AMBIGUOUS",IF(EXACT(TRIM(E44),TRIM(J44)),"EXACT","TITLE VARIANT")))</x:f>
        <x:v>EXACT</x:v>
      </x:c>
      <x:c r="O44" t="str">
        <x:f>IF(I44&lt;&gt;1,"NOT TESTED",IF(OR(G44="",L44=""),"MISSING",IF(ABS(M44)&lt;=Guide!$B$16,"PASS","REVIEW")))</x:f>
        <x:v>PASS</x:v>
      </x:c>
      <x:c r="P44" s="52" t="n">
        <x:f>IF(I44=1,IFERROR(VALUE(SUBSTITUTE(SUBSTITUTE(_xlfn.XLOOKUP(H44,Rates_Raw!$AF$5:$AF$464,Rates_Raw!$I$5:$I$464,""),"$",""),",","")),""),"")</x:f>
        <x:v>6781</x:v>
      </x:c>
      <x:c r="Q44" s="52" t="n">
        <x:f>IF(P44="","",P44*Guide!$B$15)</x:f>
        <x:v>176306</x:v>
      </x:c>
      <x:c r="R44" t="str">
        <x:f>IF(I44=0,"UNMATCHED",IF(I44&gt;1,"DUPLICATE KEY",IF(OR(N44="TITLE VARIANT",O44="REVIEW",O44="MISSING"),"REVIEW","VERIFIED")))</x:f>
        <x:v>VERIFIED</x:v>
      </x:c>
      <x:c r="S44" s="46" t="str">
        <x:v>Not Reviewed</x:v>
      </x:c>
      <x:c r="T44" s="48"/>
    </x:row>
    <x:row r="45">
      <x:c r="A45" t="n">
        <x:f>Plan_Raw!A45</x:f>
        <x:v>67</x:v>
      </x:c>
      <x:c r="B45" t="str">
        <x:f>Plan_Raw!D45</x:f>
        <x:v>0381</x:v>
      </x:c>
      <x:c r="C45" t="str">
        <x:f>LEFT(Plan_Raw!B45,10)</x:f>
        <x:v>2025-01-04</x:v>
      </x:c>
      <x:c r="D45" t="str">
        <x:f>Plan_Raw!F45</x:f>
        <x:v>COMMN</x:v>
      </x:c>
      <x:c r="E45" t="str">
        <x:f>Plan_Raw!E45</x:f>
        <x:v>Inspector II</x:v>
      </x:c>
      <x:c r="F45" t="str">
        <x:f>Plan_Raw!C45</x:f>
        <x:v>0381A</x:v>
      </x:c>
      <x:c r="G45" s="50" t="n">
        <x:f>IF(Plan_Raw!G45="","",IFERROR(VALUE(Plan_Raw!G45),""))</x:f>
        <x:v>87.3</x:v>
      </x:c>
      <x:c r="H45" t="str">
        <x:f>Plan_Raw!AH45</x:f>
        <x:v>0381|COMMN|2025-01-04</x:v>
      </x:c>
      <x:c r="I45" t="n">
        <x:f>COUNTIF(Rates_Raw!$AF$5:$AF$464,H45)</x:f>
        <x:v>1</x:v>
      </x:c>
      <x:c r="J45" t="str">
        <x:f>IF(I45=1,_xlfn.XLOOKUP(H45,Rates_Raw!$AF$5:$AF$464,Rates_Raw!$E$5:$E$464,""),"")</x:f>
        <x:v>Inspector II</x:v>
      </x:c>
      <x:c r="K45" t="n">
        <x:f>IF(I45=1,_xlfn.XLOOKUP(H45,Rates_Raw!$AF$5:$AF$464,Rates_Raw!$F$5:$F$464,""),"")</x:f>
        <x:v>911</x:v>
      </x:c>
      <x:c r="L45" s="50" t="n">
        <x:f>IF(I45=1,IFERROR(VALUE(SUBSTITUTE(_xlfn.XLOOKUP(H45,Rates_Raw!$AF$5:$AF$464,Rates_Raw!$L$5:$L$464,""),"$","")),""),"")</x:f>
        <x:v>87.3</x:v>
      </x:c>
      <x:c r="M45" s="50" t="n">
        <x:f>IF(OR(G45="",L45=""),"",ROUND(G45-L45,4))</x:f>
        <x:v>0</x:v>
      </x:c>
      <x:c r="N45" t="str">
        <x:f>IF(I45=0,"NO MATCH",IF(I45&gt;1,"AMBIGUOUS",IF(EXACT(TRIM(E45),TRIM(J45)),"EXACT","TITLE VARIANT")))</x:f>
        <x:v>EXACT</x:v>
      </x:c>
      <x:c r="O45" t="str">
        <x:f>IF(I45&lt;&gt;1,"NOT TESTED",IF(OR(G45="",L45=""),"MISSING",IF(ABS(M45)&lt;=Guide!$B$16,"PASS","REVIEW")))</x:f>
        <x:v>PASS</x:v>
      </x:c>
      <x:c r="P45" s="52" t="n">
        <x:f>IF(I45=1,IFERROR(VALUE(SUBSTITUTE(SUBSTITUTE(_xlfn.XLOOKUP(H45,Rates_Raw!$AF$5:$AF$464,Rates_Raw!$I$5:$I$464,""),"$",""),",","")),""),"")</x:f>
        <x:v>6984</x:v>
      </x:c>
      <x:c r="Q45" s="52" t="n">
        <x:f>IF(P45="","",P45*Guide!$B$15)</x:f>
        <x:v>181584</x:v>
      </x:c>
      <x:c r="R45" t="str">
        <x:f>IF(I45=0,"UNMATCHED",IF(I45&gt;1,"DUPLICATE KEY",IF(OR(N45="TITLE VARIANT",O45="REVIEW",O45="MISSING"),"REVIEW","VERIFIED")))</x:f>
        <x:v>VERIFIED</x:v>
      </x:c>
      <x:c r="S45" s="46" t="str">
        <x:v>Not Reviewed</x:v>
      </x:c>
      <x:c r="T45" s="48"/>
    </x:row>
    <x:row r="46">
      <x:c r="A46" t="n">
        <x:f>Plan_Raw!A46</x:f>
        <x:v>68</x:v>
      </x:c>
      <x:c r="B46" t="str">
        <x:f>Plan_Raw!D46</x:f>
        <x:v>0381</x:v>
      </x:c>
      <x:c r="C46" t="str">
        <x:f>LEFT(Plan_Raw!B46,10)</x:f>
        <x:v>2025-07-01</x:v>
      </x:c>
      <x:c r="D46" t="str">
        <x:f>Plan_Raw!F46</x:f>
        <x:v>COMMN</x:v>
      </x:c>
      <x:c r="E46" t="str">
        <x:f>Plan_Raw!E46</x:f>
        <x:v>Inspector 2</x:v>
      </x:c>
      <x:c r="F46" t="str">
        <x:f>Plan_Raw!C46</x:f>
        <x:v>0381B</x:v>
      </x:c>
      <x:c r="G46" s="50" t="n">
        <x:f>IF(Plan_Raw!G46="","",IFERROR(VALUE(Plan_Raw!G46),""))</x:f>
        <x:v>89.925</x:v>
      </x:c>
      <x:c r="H46" t="str">
        <x:f>Plan_Raw!AH46</x:f>
        <x:v>0381|COMMN|2025-07-01</x:v>
      </x:c>
      <x:c r="I46" t="n">
        <x:f>COUNTIF(Rates_Raw!$AF$5:$AF$464,H46)</x:f>
        <x:v>1</x:v>
      </x:c>
      <x:c r="J46" t="str">
        <x:f>IF(I46=1,_xlfn.XLOOKUP(H46,Rates_Raw!$AF$5:$AF$464,Rates_Raw!$E$5:$E$464,""),"")</x:f>
        <x:v>Inspector 2</x:v>
      </x:c>
      <x:c r="K46" t="n">
        <x:f>IF(I46=1,_xlfn.XLOOKUP(H46,Rates_Raw!$AF$5:$AF$464,Rates_Raw!$F$5:$F$464,""),"")</x:f>
        <x:v>911</x:v>
      </x:c>
      <x:c r="L46" s="50" t="n">
        <x:f>IF(I46=1,IFERROR(VALUE(SUBSTITUTE(_xlfn.XLOOKUP(H46,Rates_Raw!$AF$5:$AF$464,Rates_Raw!$L$5:$L$464,""),"$","")),""),"")</x:f>
        <x:v>89.925</x:v>
      </x:c>
      <x:c r="M46" s="50" t="n">
        <x:f>IF(OR(G46="",L46=""),"",ROUND(G46-L46,4))</x:f>
        <x:v>0</x:v>
      </x:c>
      <x:c r="N46" t="str">
        <x:f>IF(I46=0,"NO MATCH",IF(I46&gt;1,"AMBIGUOUS",IF(EXACT(TRIM(E46),TRIM(J46)),"EXACT","TITLE VARIANT")))</x:f>
        <x:v>EXACT</x:v>
      </x:c>
      <x:c r="O46" t="str">
        <x:f>IF(I46&lt;&gt;1,"NOT TESTED",IF(OR(G46="",L46=""),"MISSING",IF(ABS(M46)&lt;=Guide!$B$16,"PASS","REVIEW")))</x:f>
        <x:v>PASS</x:v>
      </x:c>
      <x:c r="P46" s="52" t="n">
        <x:f>IF(I46=1,IFERROR(VALUE(SUBSTITUTE(SUBSTITUTE(_xlfn.XLOOKUP(H46,Rates_Raw!$AF$5:$AF$464,Rates_Raw!$I$5:$I$464,""),"$",""),",","")),""),"")</x:f>
        <x:v>7194</x:v>
      </x:c>
      <x:c r="Q46" s="52" t="n">
        <x:f>IF(P46="","",P46*Guide!$B$15)</x:f>
        <x:v>187044</x:v>
      </x:c>
      <x:c r="R46" t="str">
        <x:f>IF(I46=0,"UNMATCHED",IF(I46&gt;1,"DUPLICATE KEY",IF(OR(N46="TITLE VARIANT",O46="REVIEW",O46="MISSING"),"REVIEW","VERIFIED")))</x:f>
        <x:v>VERIFIED</x:v>
      </x:c>
      <x:c r="S46" s="46" t="str">
        <x:v>Not Reviewed</x:v>
      </x:c>
      <x:c r="T46" s="48"/>
    </x:row>
    <x:row r="47">
      <x:c r="A47" t="n">
        <x:f>Plan_Raw!A47</x:f>
        <x:v>69</x:v>
      </x:c>
      <x:c r="B47" t="str">
        <x:f>Plan_Raw!D47</x:f>
        <x:v>0381</x:v>
      </x:c>
      <x:c r="C47" t="str">
        <x:f>LEFT(Plan_Raw!B47,10)</x:f>
        <x:v>2026-07-01</x:v>
      </x:c>
      <x:c r="D47" t="str">
        <x:f>Plan_Raw!F47</x:f>
        <x:v>COMMN</x:v>
      </x:c>
      <x:c r="E47" t="str">
        <x:f>Plan_Raw!E47</x:f>
        <x:v>Inspector 2</x:v>
      </x:c>
      <x:c r="F47" t="str">
        <x:f>Plan_Raw!C47</x:f>
        <x:v>0381D</x:v>
      </x:c>
      <x:c r="G47" s="50" t="n">
        <x:f>IF(Plan_Raw!G47="","",IFERROR(VALUE(Plan_Raw!G47),""))</x:f>
        <x:v>91.725</x:v>
      </x:c>
      <x:c r="H47" t="str">
        <x:f>Plan_Raw!AH47</x:f>
        <x:v>0381|COMMN|2026-07-01</x:v>
      </x:c>
      <x:c r="I47" t="n">
        <x:f>COUNTIF(Rates_Raw!$AF$5:$AF$464,H47)</x:f>
        <x:v>0</x:v>
      </x:c>
      <x:c r="J47" t="str">
        <x:f>IF(I47=1,_xlfn.XLOOKUP(H47,Rates_Raw!$AF$5:$AF$464,Rates_Raw!$E$5:$E$464,""),"")</x:f>
      </x:c>
      <x:c r="K47" t="str">
        <x:f>IF(I47=1,_xlfn.XLOOKUP(H47,Rates_Raw!$AF$5:$AF$464,Rates_Raw!$F$5:$F$464,""),"")</x:f>
      </x:c>
      <x:c r="L47" s="50" t="str">
        <x:f>IF(I47=1,IFERROR(VALUE(SUBSTITUTE(_xlfn.XLOOKUP(H47,Rates_Raw!$AF$5:$AF$464,Rates_Raw!$L$5:$L$464,""),"$","")),""),"")</x:f>
      </x:c>
      <x:c r="M47" s="50" t="str">
        <x:f>IF(OR(G47="",L47=""),"",ROUND(G47-L47,4))</x:f>
      </x:c>
      <x:c r="N47" t="str">
        <x:f>IF(I47=0,"NO MATCH",IF(I47&gt;1,"AMBIGUOUS",IF(EXACT(TRIM(E47),TRIM(J47)),"EXACT","TITLE VARIANT")))</x:f>
        <x:v>NO MATCH</x:v>
      </x:c>
      <x:c r="O47" t="str">
        <x:f>IF(I47&lt;&gt;1,"NOT TESTED",IF(OR(G47="",L47=""),"MISSING",IF(ABS(M47)&lt;=Guide!$B$16,"PASS","REVIEW")))</x:f>
        <x:v>NOT TESTED</x:v>
      </x:c>
      <x:c r="P47" s="52" t="str">
        <x:f>IF(I47=1,IFERROR(VALUE(SUBSTITUTE(SUBSTITUTE(_xlfn.XLOOKUP(H47,Rates_Raw!$AF$5:$AF$464,Rates_Raw!$I$5:$I$464,""),"$",""),",","")),""),"")</x:f>
      </x:c>
      <x:c r="Q47" s="52" t="str">
        <x:f>IF(P47="","",P47*Guide!$B$15)</x:f>
      </x:c>
      <x:c r="R47" t="str">
        <x:f>IF(I47=0,"UNMATCHED",IF(I47&gt;1,"DUPLICATE KEY",IF(OR(N47="TITLE VARIANT",O47="REVIEW",O47="MISSING"),"REVIEW","VERIFIED")))</x:f>
        <x:v>UNMATCHED</x:v>
      </x:c>
      <x:c r="S47" s="46" t="str">
        <x:v>Not Reviewed</x:v>
      </x:c>
      <x:c r="T47" s="48"/>
    </x:row>
    <x:row r="48">
      <x:c r="A48" t="n">
        <x:f>Plan_Raw!A48</x:f>
        <x:v>70</x:v>
      </x:c>
      <x:c r="B48" t="str">
        <x:f>Plan_Raw!D48</x:f>
        <x:v>0382</x:v>
      </x:c>
      <x:c r="C48" t="str">
        <x:f>LEFT(Plan_Raw!B48,10)</x:f>
        <x:v>2020-07-01</x:v>
      </x:c>
      <x:c r="D48" t="str">
        <x:f>Plan_Raw!F48</x:f>
        <x:v>COMMN</x:v>
      </x:c>
      <x:c r="E48" t="str">
        <x:f>Plan_Raw!E48</x:f>
        <x:v>Inspector III</x:v>
      </x:c>
      <x:c r="F48" t="str">
        <x:f>Plan_Raw!C48</x:f>
        <x:v>0382S</x:v>
      </x:c>
      <x:c r="G48" s="50" t="n">
        <x:f>IF(Plan_Raw!G48="","",IFERROR(VALUE(Plan_Raw!G48),""))</x:f>
        <x:v>75.425</x:v>
      </x:c>
      <x:c r="H48" t="str">
        <x:f>Plan_Raw!AH48</x:f>
        <x:v>0382|COMMN|2020-07-01</x:v>
      </x:c>
      <x:c r="I48" t="n">
        <x:f>COUNTIF(Rates_Raw!$AF$5:$AF$464,H48)</x:f>
        <x:v>1</x:v>
      </x:c>
      <x:c r="J48" t="str">
        <x:f>IF(I48=1,_xlfn.XLOOKUP(H48,Rates_Raw!$AF$5:$AF$464,Rates_Raw!$E$5:$E$464,""),"")</x:f>
        <x:v>Inspector III</x:v>
      </x:c>
      <x:c r="K48" t="n">
        <x:f>IF(I48=1,_xlfn.XLOOKUP(H48,Rates_Raw!$AF$5:$AF$464,Rates_Raw!$F$5:$F$464,""),"")</x:f>
        <x:v>911</x:v>
      </x:c>
      <x:c r="L48" s="50" t="n">
        <x:f>IF(I48=1,IFERROR(VALUE(SUBSTITUTE(_xlfn.XLOOKUP(H48,Rates_Raw!$AF$5:$AF$464,Rates_Raw!$L$5:$L$464,""),"$","")),""),"")</x:f>
        <x:v>75.425</x:v>
      </x:c>
      <x:c r="M48" s="50" t="n">
        <x:f>IF(OR(G48="",L48=""),"",ROUND(G48-L48,4))</x:f>
        <x:v>0</x:v>
      </x:c>
      <x:c r="N48" t="str">
        <x:f>IF(I48=0,"NO MATCH",IF(I48&gt;1,"AMBIGUOUS",IF(EXACT(TRIM(E48),TRIM(J48)),"EXACT","TITLE VARIANT")))</x:f>
        <x:v>EXACT</x:v>
      </x:c>
      <x:c r="O48" t="str">
        <x:f>IF(I48&lt;&gt;1,"NOT TESTED",IF(OR(G48="",L48=""),"MISSING",IF(ABS(M48)&lt;=Guide!$B$16,"PASS","REVIEW")))</x:f>
        <x:v>PASS</x:v>
      </x:c>
      <x:c r="P48" s="52" t="n">
        <x:f>IF(I48=1,IFERROR(VALUE(SUBSTITUTE(SUBSTITUTE(_xlfn.XLOOKUP(H48,Rates_Raw!$AF$5:$AF$464,Rates_Raw!$I$5:$I$464,""),"$",""),",","")),""),"")</x:f>
        <x:v>6034</x:v>
      </x:c>
      <x:c r="Q48" s="52" t="n">
        <x:f>IF(P48="","",P48*Guide!$B$15)</x:f>
        <x:v>156884</x:v>
      </x:c>
      <x:c r="R48" t="str">
        <x:f>IF(I48=0,"UNMATCHED",IF(I48&gt;1,"DUPLICATE KEY",IF(OR(N48="TITLE VARIANT",O48="REVIEW",O48="MISSING"),"REVIEW","VERIFIED")))</x:f>
        <x:v>VERIFIED</x:v>
      </x:c>
      <x:c r="S48" s="46" t="str">
        <x:v>Not Reviewed</x:v>
      </x:c>
      <x:c r="T48" s="48"/>
    </x:row>
    <x:row r="49">
      <x:c r="A49" t="n">
        <x:f>Plan_Raw!A49</x:f>
        <x:v>74</x:v>
      </x:c>
      <x:c r="B49" t="str">
        <x:f>Plan_Raw!D49</x:f>
        <x:v>0382</x:v>
      </x:c>
      <x:c r="C49" t="str">
        <x:f>LEFT(Plan_Raw!B49,10)</x:f>
        <x:v>2024-01-06</x:v>
      </x:c>
      <x:c r="D49" t="str">
        <x:f>Plan_Raw!F49</x:f>
        <x:v>COMMN</x:v>
      </x:c>
      <x:c r="E49" t="str">
        <x:f>Plan_Raw!E49</x:f>
        <x:v>Inspector III</x:v>
      </x:c>
      <x:c r="F49" t="str">
        <x:f>Plan_Raw!C49</x:f>
        <x:v>0382Y</x:v>
      </x:c>
      <x:c r="G49" s="50" t="n">
        <x:f>IF(Plan_Raw!G49="","",IFERROR(VALUE(Plan_Raw!G49),""))</x:f>
        <x:v>86.375</x:v>
      </x:c>
      <x:c r="H49" t="str">
        <x:f>Plan_Raw!AH49</x:f>
        <x:v>0382|COMMN|2024-01-06</x:v>
      </x:c>
      <x:c r="I49" t="n">
        <x:f>COUNTIF(Rates_Raw!$AF$5:$AF$464,H49)</x:f>
        <x:v>1</x:v>
      </x:c>
      <x:c r="J49" t="str">
        <x:f>IF(I49=1,_xlfn.XLOOKUP(H49,Rates_Raw!$AF$5:$AF$464,Rates_Raw!$E$5:$E$464,""),"")</x:f>
        <x:v>Inspector III</x:v>
      </x:c>
      <x:c r="K49" t="n">
        <x:f>IF(I49=1,_xlfn.XLOOKUP(H49,Rates_Raw!$AF$5:$AF$464,Rates_Raw!$F$5:$F$464,""),"")</x:f>
        <x:v>911</x:v>
      </x:c>
      <x:c r="L49" s="50" t="n">
        <x:f>IF(I49=1,IFERROR(VALUE(SUBSTITUTE(_xlfn.XLOOKUP(H49,Rates_Raw!$AF$5:$AF$464,Rates_Raw!$L$5:$L$464,""),"$","")),""),"")</x:f>
        <x:v>86.375</x:v>
      </x:c>
      <x:c r="M49" s="50" t="n">
        <x:f>IF(OR(G49="",L49=""),"",ROUND(G49-L49,4))</x:f>
        <x:v>0</x:v>
      </x:c>
      <x:c r="N49" t="str">
        <x:f>IF(I49=0,"NO MATCH",IF(I49&gt;1,"AMBIGUOUS",IF(EXACT(TRIM(E49),TRIM(J49)),"EXACT","TITLE VARIANT")))</x:f>
        <x:v>EXACT</x:v>
      </x:c>
      <x:c r="O49" t="str">
        <x:f>IF(I49&lt;&gt;1,"NOT TESTED",IF(OR(G49="",L49=""),"MISSING",IF(ABS(M49)&lt;=Guide!$B$16,"PASS","REVIEW")))</x:f>
        <x:v>PASS</x:v>
      </x:c>
      <x:c r="P49" s="52" t="n">
        <x:f>IF(I49=1,IFERROR(VALUE(SUBSTITUTE(SUBSTITUTE(_xlfn.XLOOKUP(H49,Rates_Raw!$AF$5:$AF$464,Rates_Raw!$I$5:$I$464,""),"$",""),",","")),""),"")</x:f>
        <x:v>6910</x:v>
      </x:c>
      <x:c r="Q49" s="52" t="n">
        <x:f>IF(P49="","",P49*Guide!$B$15)</x:f>
        <x:v>179660</x:v>
      </x:c>
      <x:c r="R49" t="str">
        <x:f>IF(I49=0,"UNMATCHED",IF(I49&gt;1,"DUPLICATE KEY",IF(OR(N49="TITLE VARIANT",O49="REVIEW",O49="MISSING"),"REVIEW","VERIFIED")))</x:f>
        <x:v>VERIFIED</x:v>
      </x:c>
      <x:c r="S49" s="46" t="str">
        <x:v>Not Reviewed</x:v>
      </x:c>
      <x:c r="T49" s="48"/>
    </x:row>
    <x:row r="50">
      <x:c r="A50" t="n">
        <x:f>Plan_Raw!A50</x:f>
        <x:v>75</x:v>
      </x:c>
      <x:c r="B50" t="str">
        <x:f>Plan_Raw!D50</x:f>
        <x:v>0382</x:v>
      </x:c>
      <x:c r="C50" t="str">
        <x:f>LEFT(Plan_Raw!B50,10)</x:f>
        <x:v>2024-07-01</x:v>
      </x:c>
      <x:c r="D50" t="str">
        <x:f>Plan_Raw!F50</x:f>
        <x:v>COMMN</x:v>
      </x:c>
      <x:c r="E50" t="str">
        <x:f>Plan_Raw!E50</x:f>
        <x:v>Inspector III</x:v>
      </x:c>
      <x:c r="F50" t="str">
        <x:f>Plan_Raw!C50</x:f>
        <x:v>0382Z</x:v>
      </x:c>
      <x:c r="G50" s="50" t="n">
        <x:f>IF(Plan_Raw!G50="","",IFERROR(VALUE(Plan_Raw!G50),""))</x:f>
        <x:v>86.375</x:v>
      </x:c>
      <x:c r="H50" t="str">
        <x:f>Plan_Raw!AH50</x:f>
        <x:v>0382|COMMN|2024-07-01</x:v>
      </x:c>
      <x:c r="I50" t="n">
        <x:f>COUNTIF(Rates_Raw!$AF$5:$AF$464,H50)</x:f>
        <x:v>1</x:v>
      </x:c>
      <x:c r="J50" t="str">
        <x:f>IF(I50=1,_xlfn.XLOOKUP(H50,Rates_Raw!$AF$5:$AF$464,Rates_Raw!$E$5:$E$464,""),"")</x:f>
        <x:v>Inspector III</x:v>
      </x:c>
      <x:c r="K50" t="n">
        <x:f>IF(I50=1,_xlfn.XLOOKUP(H50,Rates_Raw!$AF$5:$AF$464,Rates_Raw!$F$5:$F$464,""),"")</x:f>
        <x:v>911</x:v>
      </x:c>
      <x:c r="L50" s="50" t="n">
        <x:f>IF(I50=1,IFERROR(VALUE(SUBSTITUTE(_xlfn.XLOOKUP(H50,Rates_Raw!$AF$5:$AF$464,Rates_Raw!$L$5:$L$464,""),"$","")),""),"")</x:f>
        <x:v>86.375</x:v>
      </x:c>
      <x:c r="M50" s="50" t="n">
        <x:f>IF(OR(G50="",L50=""),"",ROUND(G50-L50,4))</x:f>
        <x:v>0</x:v>
      </x:c>
      <x:c r="N50" t="str">
        <x:f>IF(I50=0,"NO MATCH",IF(I50&gt;1,"AMBIGUOUS",IF(EXACT(TRIM(E50),TRIM(J50)),"EXACT","TITLE VARIANT")))</x:f>
        <x:v>EXACT</x:v>
      </x:c>
      <x:c r="O50" t="str">
        <x:f>IF(I50&lt;&gt;1,"NOT TESTED",IF(OR(G50="",L50=""),"MISSING",IF(ABS(M50)&lt;=Guide!$B$16,"PASS","REVIEW")))</x:f>
        <x:v>PASS</x:v>
      </x:c>
      <x:c r="P50" s="52" t="n">
        <x:f>IF(I50=1,IFERROR(VALUE(SUBSTITUTE(SUBSTITUTE(_xlfn.XLOOKUP(H50,Rates_Raw!$AF$5:$AF$464,Rates_Raw!$I$5:$I$464,""),"$",""),",","")),""),"")</x:f>
        <x:v>6910</x:v>
      </x:c>
      <x:c r="Q50" s="52" t="n">
        <x:f>IF(P50="","",P50*Guide!$B$15)</x:f>
        <x:v>179660</x:v>
      </x:c>
      <x:c r="R50" t="str">
        <x:f>IF(I50=0,"UNMATCHED",IF(I50&gt;1,"DUPLICATE KEY",IF(OR(N50="TITLE VARIANT",O50="REVIEW",O50="MISSING"),"REVIEW","VERIFIED")))</x:f>
        <x:v>VERIFIED</x:v>
      </x:c>
      <x:c r="S50" s="46" t="str">
        <x:v>Not Reviewed</x:v>
      </x:c>
      <x:c r="T50" s="48"/>
    </x:row>
    <x:row r="51">
      <x:c r="A51" t="n">
        <x:f>Plan_Raw!A51</x:f>
        <x:v>76</x:v>
      </x:c>
      <x:c r="B51" t="str">
        <x:f>Plan_Raw!D51</x:f>
        <x:v>0382</x:v>
      </x:c>
      <x:c r="C51" t="str">
        <x:f>LEFT(Plan_Raw!B51,10)</x:f>
        <x:v>2025-01-04</x:v>
      </x:c>
      <x:c r="D51" t="str">
        <x:f>Plan_Raw!F51</x:f>
        <x:v>COMMN</x:v>
      </x:c>
      <x:c r="E51" t="str">
        <x:f>Plan_Raw!E51</x:f>
        <x:v>Inspector III</x:v>
      </x:c>
      <x:c r="F51" t="str">
        <x:f>Plan_Raw!C51</x:f>
        <x:v>0382A</x:v>
      </x:c>
      <x:c r="G51" s="50" t="n">
        <x:f>IF(Plan_Raw!G51="","",IFERROR(VALUE(Plan_Raw!G51),""))</x:f>
        <x:v>88.9625</x:v>
      </x:c>
      <x:c r="H51" t="str">
        <x:f>Plan_Raw!AH51</x:f>
        <x:v>0382|COMMN|2025-01-04</x:v>
      </x:c>
      <x:c r="I51" t="n">
        <x:f>COUNTIF(Rates_Raw!$AF$5:$AF$464,H51)</x:f>
        <x:v>1</x:v>
      </x:c>
      <x:c r="J51" t="str">
        <x:f>IF(I51=1,_xlfn.XLOOKUP(H51,Rates_Raw!$AF$5:$AF$464,Rates_Raw!$E$5:$E$464,""),"")</x:f>
        <x:v>Inspector III</x:v>
      </x:c>
      <x:c r="K51" t="n">
        <x:f>IF(I51=1,_xlfn.XLOOKUP(H51,Rates_Raw!$AF$5:$AF$464,Rates_Raw!$F$5:$F$464,""),"")</x:f>
        <x:v>911</x:v>
      </x:c>
      <x:c r="L51" s="50" t="n">
        <x:f>IF(I51=1,IFERROR(VALUE(SUBSTITUTE(_xlfn.XLOOKUP(H51,Rates_Raw!$AF$5:$AF$464,Rates_Raw!$L$5:$L$464,""),"$","")),""),"")</x:f>
        <x:v>88.9625</x:v>
      </x:c>
      <x:c r="M51" s="50" t="n">
        <x:f>IF(OR(G51="",L51=""),"",ROUND(G51-L51,4))</x:f>
        <x:v>0</x:v>
      </x:c>
      <x:c r="N51" t="str">
        <x:f>IF(I51=0,"NO MATCH",IF(I51&gt;1,"AMBIGUOUS",IF(EXACT(TRIM(E51),TRIM(J51)),"EXACT","TITLE VARIANT")))</x:f>
        <x:v>EXACT</x:v>
      </x:c>
      <x:c r="O51" t="str">
        <x:f>IF(I51&lt;&gt;1,"NOT TESTED",IF(OR(G51="",L51=""),"MISSING",IF(ABS(M51)&lt;=Guide!$B$16,"PASS","REVIEW")))</x:f>
        <x:v>PASS</x:v>
      </x:c>
      <x:c r="P51" s="52" t="n">
        <x:f>IF(I51=1,IFERROR(VALUE(SUBSTITUTE(SUBSTITUTE(_xlfn.XLOOKUP(H51,Rates_Raw!$AF$5:$AF$464,Rates_Raw!$I$5:$I$464,""),"$",""),",","")),""),"")</x:f>
        <x:v>7117</x:v>
      </x:c>
      <x:c r="Q51" s="52" t="n">
        <x:f>IF(P51="","",P51*Guide!$B$15)</x:f>
        <x:v>185042</x:v>
      </x:c>
      <x:c r="R51" t="str">
        <x:f>IF(I51=0,"UNMATCHED",IF(I51&gt;1,"DUPLICATE KEY",IF(OR(N51="TITLE VARIANT",O51="REVIEW",O51="MISSING"),"REVIEW","VERIFIED")))</x:f>
        <x:v>VERIFIED</x:v>
      </x:c>
      <x:c r="S51" s="46" t="str">
        <x:v>Not Reviewed</x:v>
      </x:c>
      <x:c r="T51" s="48"/>
    </x:row>
    <x:row r="52">
      <x:c r="A52" t="n">
        <x:f>Plan_Raw!A52</x:f>
        <x:v>77</x:v>
      </x:c>
      <x:c r="B52" t="str">
        <x:f>Plan_Raw!D52</x:f>
        <x:v>0382</x:v>
      </x:c>
      <x:c r="C52" t="str">
        <x:f>LEFT(Plan_Raw!B52,10)</x:f>
        <x:v>2025-07-01</x:v>
      </x:c>
      <x:c r="D52" t="str">
        <x:f>Plan_Raw!F52</x:f>
        <x:v>COMMN</x:v>
      </x:c>
      <x:c r="E52" t="str">
        <x:f>Plan_Raw!E52</x:f>
        <x:v>Inspector 3</x:v>
      </x:c>
      <x:c r="F52" t="str">
        <x:f>Plan_Raw!C52</x:f>
        <x:v>0382B</x:v>
      </x:c>
      <x:c r="G52" s="50" t="n">
        <x:f>IF(Plan_Raw!G52="","",IFERROR(VALUE(Plan_Raw!G52),""))</x:f>
        <x:v>91.6375</x:v>
      </x:c>
      <x:c r="H52" t="str">
        <x:f>Plan_Raw!AH52</x:f>
        <x:v>0382|COMMN|2025-07-01</x:v>
      </x:c>
      <x:c r="I52" t="n">
        <x:f>COUNTIF(Rates_Raw!$AF$5:$AF$464,H52)</x:f>
        <x:v>1</x:v>
      </x:c>
      <x:c r="J52" t="str">
        <x:f>IF(I52=1,_xlfn.XLOOKUP(H52,Rates_Raw!$AF$5:$AF$464,Rates_Raw!$E$5:$E$464,""),"")</x:f>
        <x:v>Inspector 3</x:v>
      </x:c>
      <x:c r="K52" t="n">
        <x:f>IF(I52=1,_xlfn.XLOOKUP(H52,Rates_Raw!$AF$5:$AF$464,Rates_Raw!$F$5:$F$464,""),"")</x:f>
        <x:v>911</x:v>
      </x:c>
      <x:c r="L52" s="50" t="n">
        <x:f>IF(I52=1,IFERROR(VALUE(SUBSTITUTE(_xlfn.XLOOKUP(H52,Rates_Raw!$AF$5:$AF$464,Rates_Raw!$L$5:$L$464,""),"$","")),""),"")</x:f>
        <x:v>91.6375</x:v>
      </x:c>
      <x:c r="M52" s="50" t="n">
        <x:f>IF(OR(G52="",L52=""),"",ROUND(G52-L52,4))</x:f>
        <x:v>0</x:v>
      </x:c>
      <x:c r="N52" t="str">
        <x:f>IF(I52=0,"NO MATCH",IF(I52&gt;1,"AMBIGUOUS",IF(EXACT(TRIM(E52),TRIM(J52)),"EXACT","TITLE VARIANT")))</x:f>
        <x:v>EXACT</x:v>
      </x:c>
      <x:c r="O52" t="str">
        <x:f>IF(I52&lt;&gt;1,"NOT TESTED",IF(OR(G52="",L52=""),"MISSING",IF(ABS(M52)&lt;=Guide!$B$16,"PASS","REVIEW")))</x:f>
        <x:v>PASS</x:v>
      </x:c>
      <x:c r="P52" s="52" t="n">
        <x:f>IF(I52=1,IFERROR(VALUE(SUBSTITUTE(SUBSTITUTE(_xlfn.XLOOKUP(H52,Rates_Raw!$AF$5:$AF$464,Rates_Raw!$I$5:$I$464,""),"$",""),",","")),""),"")</x:f>
        <x:v>7331</x:v>
      </x:c>
      <x:c r="Q52" s="52" t="n">
        <x:f>IF(P52="","",P52*Guide!$B$15)</x:f>
        <x:v>190606</x:v>
      </x:c>
      <x:c r="R52" t="str">
        <x:f>IF(I52=0,"UNMATCHED",IF(I52&gt;1,"DUPLICATE KEY",IF(OR(N52="TITLE VARIANT",O52="REVIEW",O52="MISSING"),"REVIEW","VERIFIED")))</x:f>
        <x:v>VERIFIED</x:v>
      </x:c>
      <x:c r="S52" s="46" t="str">
        <x:v>Not Reviewed</x:v>
      </x:c>
      <x:c r="T52" s="48"/>
    </x:row>
    <x:row r="53">
      <x:c r="A53" t="n">
        <x:f>Plan_Raw!A53</x:f>
        <x:v>78</x:v>
      </x:c>
      <x:c r="B53" t="str">
        <x:f>Plan_Raw!D53</x:f>
        <x:v>0382</x:v>
      </x:c>
      <x:c r="C53" t="str">
        <x:f>LEFT(Plan_Raw!B53,10)</x:f>
        <x:v>2026-07-01</x:v>
      </x:c>
      <x:c r="D53" t="str">
        <x:f>Plan_Raw!F53</x:f>
        <x:v>COMMN</x:v>
      </x:c>
      <x:c r="E53" t="str">
        <x:f>Plan_Raw!E53</x:f>
        <x:v>Inspector 3</x:v>
      </x:c>
      <x:c r="F53" t="str">
        <x:f>Plan_Raw!C53</x:f>
        <x:v>0382D</x:v>
      </x:c>
      <x:c r="G53" s="50" t="n">
        <x:f>IF(Plan_Raw!G53="","",IFERROR(VALUE(Plan_Raw!G53),""))</x:f>
        <x:v>93.475</x:v>
      </x:c>
      <x:c r="H53" t="str">
        <x:f>Plan_Raw!AH53</x:f>
        <x:v>0382|COMMN|2026-07-01</x:v>
      </x:c>
      <x:c r="I53" t="n">
        <x:f>COUNTIF(Rates_Raw!$AF$5:$AF$464,H53)</x:f>
        <x:v>0</x:v>
      </x:c>
      <x:c r="J53" t="str">
        <x:f>IF(I53=1,_xlfn.XLOOKUP(H53,Rates_Raw!$AF$5:$AF$464,Rates_Raw!$E$5:$E$464,""),"")</x:f>
      </x:c>
      <x:c r="K53" t="str">
        <x:f>IF(I53=1,_xlfn.XLOOKUP(H53,Rates_Raw!$AF$5:$AF$464,Rates_Raw!$F$5:$F$464,""),"")</x:f>
      </x:c>
      <x:c r="L53" s="50" t="str">
        <x:f>IF(I53=1,IFERROR(VALUE(SUBSTITUTE(_xlfn.XLOOKUP(H53,Rates_Raw!$AF$5:$AF$464,Rates_Raw!$L$5:$L$464,""),"$","")),""),"")</x:f>
      </x:c>
      <x:c r="M53" s="50" t="str">
        <x:f>IF(OR(G53="",L53=""),"",ROUND(G53-L53,4))</x:f>
      </x:c>
      <x:c r="N53" t="str">
        <x:f>IF(I53=0,"NO MATCH",IF(I53&gt;1,"AMBIGUOUS",IF(EXACT(TRIM(E53),TRIM(J53)),"EXACT","TITLE VARIANT")))</x:f>
        <x:v>NO MATCH</x:v>
      </x:c>
      <x:c r="O53" t="str">
        <x:f>IF(I53&lt;&gt;1,"NOT TESTED",IF(OR(G53="",L53=""),"MISSING",IF(ABS(M53)&lt;=Guide!$B$16,"PASS","REVIEW")))</x:f>
        <x:v>NOT TESTED</x:v>
      </x:c>
      <x:c r="P53" s="52" t="str">
        <x:f>IF(I53=1,IFERROR(VALUE(SUBSTITUTE(SUBSTITUTE(_xlfn.XLOOKUP(H53,Rates_Raw!$AF$5:$AF$464,Rates_Raw!$I$5:$I$464,""),"$",""),",","")),""),"")</x:f>
      </x:c>
      <x:c r="Q53" s="52" t="str">
        <x:f>IF(P53="","",P53*Guide!$B$15)</x:f>
      </x:c>
      <x:c r="R53" t="str">
        <x:f>IF(I53=0,"UNMATCHED",IF(I53&gt;1,"DUPLICATE KEY",IF(OR(N53="TITLE VARIANT",O53="REVIEW",O53="MISSING"),"REVIEW","VERIFIED")))</x:f>
        <x:v>UNMATCHED</x:v>
      </x:c>
      <x:c r="S53" s="46" t="str">
        <x:v>Not Reviewed</x:v>
      </x:c>
      <x:c r="T53" s="48"/>
    </x:row>
    <x:row r="54">
      <x:c r="A54" t="n">
        <x:f>Plan_Raw!A54</x:f>
        <x:v>79</x:v>
      </x:c>
      <x:c r="B54" t="str">
        <x:f>Plan_Raw!D54</x:f>
        <x:v>0385</x:v>
      </x:c>
      <x:c r="C54" t="str">
        <x:f>LEFT(Plan_Raw!B54,10)</x:f>
        <x:v>2025-07-01</x:v>
      </x:c>
      <x:c r="D54" t="str">
        <x:f>Plan_Raw!F54</x:f>
        <x:v>COMMN</x:v>
      </x:c>
      <x:c r="E54" t="str">
        <x:f>Plan_Raw!E54</x:f>
        <x:v>Chief of Police (Transitional)</x:v>
      </x:c>
      <x:c r="F54" t="str">
        <x:f>Plan_Raw!C54</x:f>
        <x:v>0385B</x:v>
      </x:c>
      <x:c r="G54" s="50" t="n">
        <x:f>IF(Plan_Raw!G54="","",IFERROR(VALUE(Plan_Raw!G54),""))</x:f>
        <x:v>200.2125</x:v>
      </x:c>
      <x:c r="H54" t="str">
        <x:f>Plan_Raw!AH54</x:f>
        <x:v>0385|COMMN|2025-07-01</x:v>
      </x:c>
      <x:c r="I54" t="n">
        <x:f>COUNTIF(Rates_Raw!$AF$5:$AF$464,H54)</x:f>
        <x:v>1</x:v>
      </x:c>
      <x:c r="J54" t="str">
        <x:f>IF(I54=1,_xlfn.XLOOKUP(H54,Rates_Raw!$AF$5:$AF$464,Rates_Raw!$E$5:$E$464,""),"")</x:f>
        <x:v>Chief of Police (Transitional)</x:v>
      </x:c>
      <x:c r="K54" t="n">
        <x:f>IF(I54=1,_xlfn.XLOOKUP(H54,Rates_Raw!$AF$5:$AF$464,Rates_Raw!$F$5:$F$464,""),"")</x:f>
        <x:v>353</x:v>
      </x:c>
      <x:c r="L54" s="50" t="n">
        <x:f>IF(I54=1,IFERROR(VALUE(SUBSTITUTE(_xlfn.XLOOKUP(H54,Rates_Raw!$AF$5:$AF$464,Rates_Raw!$L$5:$L$464,""),"$","")),""),"")</x:f>
        <x:v>200.2125</x:v>
      </x:c>
      <x:c r="M54" s="50" t="n">
        <x:f>IF(OR(G54="",L54=""),"",ROUND(G54-L54,4))</x:f>
        <x:v>0</x:v>
      </x:c>
      <x:c r="N54" t="str">
        <x:f>IF(I54=0,"NO MATCH",IF(I54&gt;1,"AMBIGUOUS",IF(EXACT(TRIM(E54),TRIM(J54)),"EXACT","TITLE VARIANT")))</x:f>
        <x:v>EXACT</x:v>
      </x:c>
      <x:c r="O54" t="str">
        <x:f>IF(I54&lt;&gt;1,"NOT TESTED",IF(OR(G54="",L54=""),"MISSING",IF(ABS(M54)&lt;=Guide!$B$16,"PASS","REVIEW")))</x:f>
        <x:v>PASS</x:v>
      </x:c>
      <x:c r="P54" s="52" t="n">
        <x:f>IF(I54=1,IFERROR(VALUE(SUBSTITUTE(SUBSTITUTE(_xlfn.XLOOKUP(H54,Rates_Raw!$AF$5:$AF$464,Rates_Raw!$I$5:$I$464,""),"$",""),",","")),""),"")</x:f>
        <x:v>16017</x:v>
      </x:c>
      <x:c r="Q54" s="52" t="n">
        <x:f>IF(P54="","",P54*Guide!$B$15)</x:f>
        <x:v>416442</x:v>
      </x:c>
      <x:c r="R54" t="str">
        <x:f>IF(I54=0,"UNMATCHED",IF(I54&gt;1,"DUPLICATE KEY",IF(OR(N54="TITLE VARIANT",O54="REVIEW",O54="MISSING"),"REVIEW","VERIFIED")))</x:f>
        <x:v>VERIFIED</x:v>
      </x:c>
      <x:c r="S54" s="46" t="str">
        <x:v>Not Reviewed</x:v>
      </x:c>
      <x:c r="T54" s="48"/>
    </x:row>
    <x:row r="55">
      <x:c r="A55" t="n">
        <x:f>Plan_Raw!A55</x:f>
        <x:v>80</x:v>
      </x:c>
      <x:c r="B55" t="str">
        <x:f>Plan_Raw!D55</x:f>
        <x:v>0385</x:v>
      </x:c>
      <x:c r="C55" t="str">
        <x:f>LEFT(Plan_Raw!B55,10)</x:f>
        <x:v>2026-07-01</x:v>
      </x:c>
      <x:c r="D55" t="str">
        <x:f>Plan_Raw!F55</x:f>
        <x:v>COMMN</x:v>
      </x:c>
      <x:c r="E55" t="str">
        <x:f>Plan_Raw!E55</x:f>
        <x:v>Chief of Police (Transitional)</x:v>
      </x:c>
      <x:c r="F55" t="str">
        <x:f>Plan_Raw!C55</x:f>
        <x:v>0385D</x:v>
      </x:c>
      <x:c r="G55" s="50" t="n">
        <x:f>IF(Plan_Raw!G55="","",IFERROR(VALUE(Plan_Raw!G55),""))</x:f>
        <x:v>204.2125</x:v>
      </x:c>
      <x:c r="H55" t="str">
        <x:f>Plan_Raw!AH55</x:f>
        <x:v>0385|COMMN|2026-07-01</x:v>
      </x:c>
      <x:c r="I55" t="n">
        <x:f>COUNTIF(Rates_Raw!$AF$5:$AF$464,H55)</x:f>
        <x:v>0</x:v>
      </x:c>
      <x:c r="J55" t="str">
        <x:f>IF(I55=1,_xlfn.XLOOKUP(H55,Rates_Raw!$AF$5:$AF$464,Rates_Raw!$E$5:$E$464,""),"")</x:f>
      </x:c>
      <x:c r="K55" t="str">
        <x:f>IF(I55=1,_xlfn.XLOOKUP(H55,Rates_Raw!$AF$5:$AF$464,Rates_Raw!$F$5:$F$464,""),"")</x:f>
      </x:c>
      <x:c r="L55" s="50" t="str">
        <x:f>IF(I55=1,IFERROR(VALUE(SUBSTITUTE(_xlfn.XLOOKUP(H55,Rates_Raw!$AF$5:$AF$464,Rates_Raw!$L$5:$L$464,""),"$","")),""),"")</x:f>
      </x:c>
      <x:c r="M55" s="50" t="str">
        <x:f>IF(OR(G55="",L55=""),"",ROUND(G55-L55,4))</x:f>
      </x:c>
      <x:c r="N55" t="str">
        <x:f>IF(I55=0,"NO MATCH",IF(I55&gt;1,"AMBIGUOUS",IF(EXACT(TRIM(E55),TRIM(J55)),"EXACT","TITLE VARIANT")))</x:f>
        <x:v>NO MATCH</x:v>
      </x:c>
      <x:c r="O55" t="str">
        <x:f>IF(I55&lt;&gt;1,"NOT TESTED",IF(OR(G55="",L55=""),"MISSING",IF(ABS(M55)&lt;=Guide!$B$16,"PASS","REVIEW")))</x:f>
        <x:v>NOT TESTED</x:v>
      </x:c>
      <x:c r="P55" s="52" t="str">
        <x:f>IF(I55=1,IFERROR(VALUE(SUBSTITUTE(SUBSTITUTE(_xlfn.XLOOKUP(H55,Rates_Raw!$AF$5:$AF$464,Rates_Raw!$I$5:$I$464,""),"$",""),",","")),""),"")</x:f>
      </x:c>
      <x:c r="Q55" s="52" t="str">
        <x:f>IF(P55="","",P55*Guide!$B$15)</x:f>
      </x:c>
      <x:c r="R55" t="str">
        <x:f>IF(I55=0,"UNMATCHED",IF(I55&gt;1,"DUPLICATE KEY",IF(OR(N55="TITLE VARIANT",O55="REVIEW",O55="MISSING"),"REVIEW","VERIFIED")))</x:f>
        <x:v>UNMATCHED</x:v>
      </x:c>
      <x:c r="S55" s="46" t="str">
        <x:v>Not Reviewed</x:v>
      </x:c>
      <x:c r="T55" s="48"/>
    </x:row>
    <x:row r="56">
      <x:c r="A56" t="n">
        <x:f>Plan_Raw!A56</x:f>
        <x:v>81</x:v>
      </x:c>
      <x:c r="B56" t="str">
        <x:f>Plan_Raw!D56</x:f>
        <x:v>0390</x:v>
      </x:c>
      <x:c r="C56" t="str">
        <x:f>LEFT(Plan_Raw!B56,10)</x:f>
        <x:v>2020-07-01</x:v>
      </x:c>
      <x:c r="D56" t="str">
        <x:f>Plan_Raw!F56</x:f>
        <x:v>COMMN</x:v>
      </x:c>
      <x:c r="E56" t="str">
        <x:f>Plan_Raw!E56</x:f>
        <x:v>Chief Of Police</x:v>
      </x:c>
      <x:c r="F56" t="str">
        <x:f>Plan_Raw!C56</x:f>
        <x:v>0390S</x:v>
      </x:c>
      <x:c r="G56" s="50" t="n">
        <x:f>IF(Plan_Raw!G56="","",IFERROR(VALUE(Plan_Raw!G56),""))</x:f>
        <x:v>164.7875</x:v>
      </x:c>
      <x:c r="H56" t="str">
        <x:f>Plan_Raw!AH56</x:f>
        <x:v>0390|COMMN|2020-07-01</x:v>
      </x:c>
      <x:c r="I56" t="n">
        <x:f>COUNTIF(Rates_Raw!$AF$5:$AF$464,H56)</x:f>
        <x:v>1</x:v>
      </x:c>
      <x:c r="J56" t="str">
        <x:f>IF(I56=1,_xlfn.XLOOKUP(H56,Rates_Raw!$AF$5:$AF$464,Rates_Raw!$E$5:$E$464,""),"")</x:f>
        <x:v>Chief Of Police</x:v>
      </x:c>
      <x:c r="K56" t="n">
        <x:f>IF(I56=1,_xlfn.XLOOKUP(H56,Rates_Raw!$AF$5:$AF$464,Rates_Raw!$F$5:$F$464,""),"")</x:f>
        <x:v>353</x:v>
      </x:c>
      <x:c r="L56" s="50" t="n">
        <x:f>IF(I56=1,IFERROR(VALUE(SUBSTITUTE(_xlfn.XLOOKUP(H56,Rates_Raw!$AF$5:$AF$464,Rates_Raw!$L$5:$L$464,""),"$","")),""),"")</x:f>
        <x:v>164.7875</x:v>
      </x:c>
      <x:c r="M56" s="50" t="n">
        <x:f>IF(OR(G56="",L56=""),"",ROUND(G56-L56,4))</x:f>
        <x:v>0</x:v>
      </x:c>
      <x:c r="N56" t="str">
        <x:f>IF(I56=0,"NO MATCH",IF(I56&gt;1,"AMBIGUOUS",IF(EXACT(TRIM(E56),TRIM(J56)),"EXACT","TITLE VARIANT")))</x:f>
        <x:v>EXACT</x:v>
      </x:c>
      <x:c r="O56" t="str">
        <x:f>IF(I56&lt;&gt;1,"NOT TESTED",IF(OR(G56="",L56=""),"MISSING",IF(ABS(M56)&lt;=Guide!$B$16,"PASS","REVIEW")))</x:f>
        <x:v>PASS</x:v>
      </x:c>
      <x:c r="P56" s="52" t="n">
        <x:f>IF(I56=1,IFERROR(VALUE(SUBSTITUTE(SUBSTITUTE(_xlfn.XLOOKUP(H56,Rates_Raw!$AF$5:$AF$464,Rates_Raw!$I$5:$I$464,""),"$",""),",","")),""),"")</x:f>
        <x:v>13183</x:v>
      </x:c>
      <x:c r="Q56" s="52" t="n">
        <x:f>IF(P56="","",P56*Guide!$B$15)</x:f>
        <x:v>342758</x:v>
      </x:c>
      <x:c r="R56" t="str">
        <x:f>IF(I56=0,"UNMATCHED",IF(I56&gt;1,"DUPLICATE KEY",IF(OR(N56="TITLE VARIANT",O56="REVIEW",O56="MISSING"),"REVIEW","VERIFIED")))</x:f>
        <x:v>VERIFIED</x:v>
      </x:c>
      <x:c r="S56" s="46" t="str">
        <x:v>Not Reviewed</x:v>
      </x:c>
      <x:c r="T56" s="48"/>
    </x:row>
    <x:row r="57">
      <x:c r="A57" t="n">
        <x:f>Plan_Raw!A57</x:f>
        <x:v>85</x:v>
      </x:c>
      <x:c r="B57" t="str">
        <x:f>Plan_Raw!D57</x:f>
        <x:v>0390</x:v>
      </x:c>
      <x:c r="C57" t="str">
        <x:f>LEFT(Plan_Raw!B57,10)</x:f>
        <x:v>2024-01-06</x:v>
      </x:c>
      <x:c r="D57" t="str">
        <x:f>Plan_Raw!F57</x:f>
        <x:v>COMMN</x:v>
      </x:c>
      <x:c r="E57" t="str">
        <x:f>Plan_Raw!E57</x:f>
        <x:v>Chief Of Police</x:v>
      </x:c>
      <x:c r="F57" t="str">
        <x:f>Plan_Raw!C57</x:f>
        <x:v>0390Y</x:v>
      </x:c>
      <x:c r="G57" s="50" t="n">
        <x:f>IF(Plan_Raw!G57="","",IFERROR(VALUE(Plan_Raw!G57),""))</x:f>
        <x:v>188.7125</x:v>
      </x:c>
      <x:c r="H57" t="str">
        <x:f>Plan_Raw!AH57</x:f>
        <x:v>0390|COMMN|2024-01-06</x:v>
      </x:c>
      <x:c r="I57" t="n">
        <x:f>COUNTIF(Rates_Raw!$AF$5:$AF$464,H57)</x:f>
        <x:v>1</x:v>
      </x:c>
      <x:c r="J57" t="str">
        <x:f>IF(I57=1,_xlfn.XLOOKUP(H57,Rates_Raw!$AF$5:$AF$464,Rates_Raw!$E$5:$E$464,""),"")</x:f>
        <x:v>Chief Of Police</x:v>
      </x:c>
      <x:c r="K57" t="n">
        <x:f>IF(I57=1,_xlfn.XLOOKUP(H57,Rates_Raw!$AF$5:$AF$464,Rates_Raw!$F$5:$F$464,""),"")</x:f>
        <x:v>353</x:v>
      </x:c>
      <x:c r="L57" s="50" t="n">
        <x:f>IF(I57=1,IFERROR(VALUE(SUBSTITUTE(_xlfn.XLOOKUP(H57,Rates_Raw!$AF$5:$AF$464,Rates_Raw!$L$5:$L$464,""),"$","")),""),"")</x:f>
        <x:v>188.7125</x:v>
      </x:c>
      <x:c r="M57" s="50" t="n">
        <x:f>IF(OR(G57="",L57=""),"",ROUND(G57-L57,4))</x:f>
        <x:v>0</x:v>
      </x:c>
      <x:c r="N57" t="str">
        <x:f>IF(I57=0,"NO MATCH",IF(I57&gt;1,"AMBIGUOUS",IF(EXACT(TRIM(E57),TRIM(J57)),"EXACT","TITLE VARIANT")))</x:f>
        <x:v>EXACT</x:v>
      </x:c>
      <x:c r="O57" t="str">
        <x:f>IF(I57&lt;&gt;1,"NOT TESTED",IF(OR(G57="",L57=""),"MISSING",IF(ABS(M57)&lt;=Guide!$B$16,"PASS","REVIEW")))</x:f>
        <x:v>PASS</x:v>
      </x:c>
      <x:c r="P57" s="52" t="n">
        <x:f>IF(I57=1,IFERROR(VALUE(SUBSTITUTE(SUBSTITUTE(_xlfn.XLOOKUP(H57,Rates_Raw!$AF$5:$AF$464,Rates_Raw!$I$5:$I$464,""),"$",""),",","")),""),"")</x:f>
        <x:v>15097</x:v>
      </x:c>
      <x:c r="Q57" s="52" t="n">
        <x:f>IF(P57="","",P57*Guide!$B$15)</x:f>
        <x:v>392522</x:v>
      </x:c>
      <x:c r="R57" t="str">
        <x:f>IF(I57=0,"UNMATCHED",IF(I57&gt;1,"DUPLICATE KEY",IF(OR(N57="TITLE VARIANT",O57="REVIEW",O57="MISSING"),"REVIEW","VERIFIED")))</x:f>
        <x:v>VERIFIED</x:v>
      </x:c>
      <x:c r="S57" s="46" t="str">
        <x:v>Not Reviewed</x:v>
      </x:c>
      <x:c r="T57" s="48"/>
    </x:row>
    <x:row r="58">
      <x:c r="A58" t="n">
        <x:f>Plan_Raw!A58</x:f>
        <x:v>86</x:v>
      </x:c>
      <x:c r="B58" t="str">
        <x:f>Plan_Raw!D58</x:f>
        <x:v>0390</x:v>
      </x:c>
      <x:c r="C58" t="str">
        <x:f>LEFT(Plan_Raw!B58,10)</x:f>
        <x:v>2024-07-01</x:v>
      </x:c>
      <x:c r="D58" t="str">
        <x:f>Plan_Raw!F58</x:f>
        <x:v>COMMN</x:v>
      </x:c>
      <x:c r="E58" t="str">
        <x:f>Plan_Raw!E58</x:f>
        <x:v>Chief Of Police</x:v>
      </x:c>
      <x:c r="F58" t="str">
        <x:f>Plan_Raw!C58</x:f>
        <x:v>0390Z</x:v>
      </x:c>
      <x:c r="G58" s="50" t="n">
        <x:f>IF(Plan_Raw!G58="","",IFERROR(VALUE(Plan_Raw!G58),""))</x:f>
        <x:v>188.7125</x:v>
      </x:c>
      <x:c r="H58" t="str">
        <x:f>Plan_Raw!AH58</x:f>
        <x:v>0390|COMMN|2024-07-01</x:v>
      </x:c>
      <x:c r="I58" t="n">
        <x:f>COUNTIF(Rates_Raw!$AF$5:$AF$464,H58)</x:f>
        <x:v>1</x:v>
      </x:c>
      <x:c r="J58" t="str">
        <x:f>IF(I58=1,_xlfn.XLOOKUP(H58,Rates_Raw!$AF$5:$AF$464,Rates_Raw!$E$5:$E$464,""),"")</x:f>
        <x:v>Chief Of Police</x:v>
      </x:c>
      <x:c r="K58" t="n">
        <x:f>IF(I58=1,_xlfn.XLOOKUP(H58,Rates_Raw!$AF$5:$AF$464,Rates_Raw!$F$5:$F$464,""),"")</x:f>
        <x:v>353</x:v>
      </x:c>
      <x:c r="L58" s="50" t="n">
        <x:f>IF(I58=1,IFERROR(VALUE(SUBSTITUTE(_xlfn.XLOOKUP(H58,Rates_Raw!$AF$5:$AF$464,Rates_Raw!$L$5:$L$464,""),"$","")),""),"")</x:f>
        <x:v>188.7125</x:v>
      </x:c>
      <x:c r="M58" s="50" t="n">
        <x:f>IF(OR(G58="",L58=""),"",ROUND(G58-L58,4))</x:f>
        <x:v>0</x:v>
      </x:c>
      <x:c r="N58" t="str">
        <x:f>IF(I58=0,"NO MATCH",IF(I58&gt;1,"AMBIGUOUS",IF(EXACT(TRIM(E58),TRIM(J58)),"EXACT","TITLE VARIANT")))</x:f>
        <x:v>EXACT</x:v>
      </x:c>
      <x:c r="O58" t="str">
        <x:f>IF(I58&lt;&gt;1,"NOT TESTED",IF(OR(G58="",L58=""),"MISSING",IF(ABS(M58)&lt;=Guide!$B$16,"PASS","REVIEW")))</x:f>
        <x:v>PASS</x:v>
      </x:c>
      <x:c r="P58" s="52" t="n">
        <x:f>IF(I58=1,IFERROR(VALUE(SUBSTITUTE(SUBSTITUTE(_xlfn.XLOOKUP(H58,Rates_Raw!$AF$5:$AF$464,Rates_Raw!$I$5:$I$464,""),"$",""),",","")),""),"")</x:f>
        <x:v>15097</x:v>
      </x:c>
      <x:c r="Q58" s="52" t="n">
        <x:f>IF(P58="","",P58*Guide!$B$15)</x:f>
        <x:v>392522</x:v>
      </x:c>
      <x:c r="R58" t="str">
        <x:f>IF(I58=0,"UNMATCHED",IF(I58&gt;1,"DUPLICATE KEY",IF(OR(N58="TITLE VARIANT",O58="REVIEW",O58="MISSING"),"REVIEW","VERIFIED")))</x:f>
        <x:v>VERIFIED</x:v>
      </x:c>
      <x:c r="S58" s="46" t="str">
        <x:v>Not Reviewed</x:v>
      </x:c>
      <x:c r="T58" s="48"/>
    </x:row>
    <x:row r="59">
      <x:c r="A59" t="n">
        <x:f>Plan_Raw!A59</x:f>
        <x:v>87</x:v>
      </x:c>
      <x:c r="B59" t="str">
        <x:f>Plan_Raw!D59</x:f>
        <x:v>0390</x:v>
      </x:c>
      <x:c r="C59" t="str">
        <x:f>LEFT(Plan_Raw!B59,10)</x:f>
        <x:v>2025-01-04</x:v>
      </x:c>
      <x:c r="D59" t="str">
        <x:f>Plan_Raw!F59</x:f>
        <x:v>COMMN</x:v>
      </x:c>
      <x:c r="E59" t="str">
        <x:f>Plan_Raw!E59</x:f>
        <x:v>Chief Of Police</x:v>
      </x:c>
      <x:c r="F59" t="str">
        <x:f>Plan_Raw!C59</x:f>
        <x:v>0390A</x:v>
      </x:c>
      <x:c r="G59" s="50" t="n">
        <x:f>IF(Plan_Raw!G59="","",IFERROR(VALUE(Plan_Raw!G59),""))</x:f>
        <x:v>194.375</x:v>
      </x:c>
      <x:c r="H59" t="str">
        <x:f>Plan_Raw!AH59</x:f>
        <x:v>0390|COMMN|2025-01-04</x:v>
      </x:c>
      <x:c r="I59" t="n">
        <x:f>COUNTIF(Rates_Raw!$AF$5:$AF$464,H59)</x:f>
        <x:v>1</x:v>
      </x:c>
      <x:c r="J59" t="str">
        <x:f>IF(I59=1,_xlfn.XLOOKUP(H59,Rates_Raw!$AF$5:$AF$464,Rates_Raw!$E$5:$E$464,""),"")</x:f>
        <x:v>Chief Of Police</x:v>
      </x:c>
      <x:c r="K59" t="n">
        <x:f>IF(I59=1,_xlfn.XLOOKUP(H59,Rates_Raw!$AF$5:$AF$464,Rates_Raw!$F$5:$F$464,""),"")</x:f>
        <x:v>353</x:v>
      </x:c>
      <x:c r="L59" s="50" t="n">
        <x:f>IF(I59=1,IFERROR(VALUE(SUBSTITUTE(_xlfn.XLOOKUP(H59,Rates_Raw!$AF$5:$AF$464,Rates_Raw!$L$5:$L$464,""),"$","")),""),"")</x:f>
        <x:v>194.375</x:v>
      </x:c>
      <x:c r="M59" s="50" t="n">
        <x:f>IF(OR(G59="",L59=""),"",ROUND(G59-L59,4))</x:f>
        <x:v>0</x:v>
      </x:c>
      <x:c r="N59" t="str">
        <x:f>IF(I59=0,"NO MATCH",IF(I59&gt;1,"AMBIGUOUS",IF(EXACT(TRIM(E59),TRIM(J59)),"EXACT","TITLE VARIANT")))</x:f>
        <x:v>EXACT</x:v>
      </x:c>
      <x:c r="O59" t="str">
        <x:f>IF(I59&lt;&gt;1,"NOT TESTED",IF(OR(G59="",L59=""),"MISSING",IF(ABS(M59)&lt;=Guide!$B$16,"PASS","REVIEW")))</x:f>
        <x:v>PASS</x:v>
      </x:c>
      <x:c r="P59" s="52" t="n">
        <x:f>IF(I59=1,IFERROR(VALUE(SUBSTITUTE(SUBSTITUTE(_xlfn.XLOOKUP(H59,Rates_Raw!$AF$5:$AF$464,Rates_Raw!$I$5:$I$464,""),"$",""),",","")),""),"")</x:f>
        <x:v>15550</x:v>
      </x:c>
      <x:c r="Q59" s="52" t="n">
        <x:f>IF(P59="","",P59*Guide!$B$15)</x:f>
        <x:v>404300</x:v>
      </x:c>
      <x:c r="R59" t="str">
        <x:f>IF(I59=0,"UNMATCHED",IF(I59&gt;1,"DUPLICATE KEY",IF(OR(N59="TITLE VARIANT",O59="REVIEW",O59="MISSING"),"REVIEW","VERIFIED")))</x:f>
        <x:v>VERIFIED</x:v>
      </x:c>
      <x:c r="S59" s="46" t="str">
        <x:v>Not Reviewed</x:v>
      </x:c>
      <x:c r="T59" s="48"/>
    </x:row>
    <x:row r="60">
      <x:c r="A60" t="n">
        <x:f>Plan_Raw!A60</x:f>
        <x:v>88</x:v>
      </x:c>
      <x:c r="B60" t="str">
        <x:f>Plan_Raw!D60</x:f>
        <x:v>0390</x:v>
      </x:c>
      <x:c r="C60" t="str">
        <x:f>LEFT(Plan_Raw!B60,10)</x:f>
        <x:v>2025-07-01</x:v>
      </x:c>
      <x:c r="D60" t="str">
        <x:f>Plan_Raw!F60</x:f>
        <x:v>COMMN</x:v>
      </x:c>
      <x:c r="E60" t="str">
        <x:f>Plan_Raw!E60</x:f>
        <x:v>Chief of Police</x:v>
      </x:c>
      <x:c r="F60" t="str">
        <x:f>Plan_Raw!C60</x:f>
        <x:v>0390B</x:v>
      </x:c>
      <x:c r="G60" s="50" t="n">
        <x:f>IF(Plan_Raw!G60="","",IFERROR(VALUE(Plan_Raw!G60),""))</x:f>
        <x:v>200.2125</x:v>
      </x:c>
      <x:c r="H60" t="str">
        <x:f>Plan_Raw!AH60</x:f>
        <x:v>0390|COMMN|2025-07-01</x:v>
      </x:c>
      <x:c r="I60" t="n">
        <x:f>COUNTIF(Rates_Raw!$AF$5:$AF$464,H60)</x:f>
        <x:v>1</x:v>
      </x:c>
      <x:c r="J60" t="str">
        <x:f>IF(I60=1,_xlfn.XLOOKUP(H60,Rates_Raw!$AF$5:$AF$464,Rates_Raw!$E$5:$E$464,""),"")</x:f>
        <x:v>Chief of Police</x:v>
      </x:c>
      <x:c r="K60" t="n">
        <x:f>IF(I60=1,_xlfn.XLOOKUP(H60,Rates_Raw!$AF$5:$AF$464,Rates_Raw!$F$5:$F$464,""),"")</x:f>
        <x:v>353</x:v>
      </x:c>
      <x:c r="L60" s="50" t="n">
        <x:f>IF(I60=1,IFERROR(VALUE(SUBSTITUTE(_xlfn.XLOOKUP(H60,Rates_Raw!$AF$5:$AF$464,Rates_Raw!$L$5:$L$464,""),"$","")),""),"")</x:f>
        <x:v>200.2125</x:v>
      </x:c>
      <x:c r="M60" s="50" t="n">
        <x:f>IF(OR(G60="",L60=""),"",ROUND(G60-L60,4))</x:f>
        <x:v>0</x:v>
      </x:c>
      <x:c r="N60" t="str">
        <x:f>IF(I60=0,"NO MATCH",IF(I60&gt;1,"AMBIGUOUS",IF(EXACT(TRIM(E60),TRIM(J60)),"EXACT","TITLE VARIANT")))</x:f>
        <x:v>EXACT</x:v>
      </x:c>
      <x:c r="O60" t="str">
        <x:f>IF(I60&lt;&gt;1,"NOT TESTED",IF(OR(G60="",L60=""),"MISSING",IF(ABS(M60)&lt;=Guide!$B$16,"PASS","REVIEW")))</x:f>
        <x:v>PASS</x:v>
      </x:c>
      <x:c r="P60" s="52" t="n">
        <x:f>IF(I60=1,IFERROR(VALUE(SUBSTITUTE(SUBSTITUTE(_xlfn.XLOOKUP(H60,Rates_Raw!$AF$5:$AF$464,Rates_Raw!$I$5:$I$464,""),"$",""),",","")),""),"")</x:f>
        <x:v>16017</x:v>
      </x:c>
      <x:c r="Q60" s="52" t="n">
        <x:f>IF(P60="","",P60*Guide!$B$15)</x:f>
        <x:v>416442</x:v>
      </x:c>
      <x:c r="R60" t="str">
        <x:f>IF(I60=0,"UNMATCHED",IF(I60&gt;1,"DUPLICATE KEY",IF(OR(N60="TITLE VARIANT",O60="REVIEW",O60="MISSING"),"REVIEW","VERIFIED")))</x:f>
        <x:v>VERIFIED</x:v>
      </x:c>
      <x:c r="S60" s="46" t="str">
        <x:v>Not Reviewed</x:v>
      </x:c>
      <x:c r="T60" s="48"/>
    </x:row>
    <x:row r="61">
      <x:c r="A61" t="n">
        <x:f>Plan_Raw!A61</x:f>
        <x:v>89</x:v>
      </x:c>
      <x:c r="B61" t="str">
        <x:f>Plan_Raw!D61</x:f>
        <x:v>0390</x:v>
      </x:c>
      <x:c r="C61" t="str">
        <x:f>LEFT(Plan_Raw!B61,10)</x:f>
        <x:v>2026-07-01</x:v>
      </x:c>
      <x:c r="D61" t="str">
        <x:f>Plan_Raw!F61</x:f>
        <x:v>COMMN</x:v>
      </x:c>
      <x:c r="E61" t="str">
        <x:f>Plan_Raw!E61</x:f>
        <x:v>Chief of Police</x:v>
      </x:c>
      <x:c r="F61" t="str">
        <x:f>Plan_Raw!C61</x:f>
        <x:v>0390D</x:v>
      </x:c>
      <x:c r="G61" s="50" t="n">
        <x:f>IF(Plan_Raw!G61="","",IFERROR(VALUE(Plan_Raw!G61),""))</x:f>
        <x:v>204.2125</x:v>
      </x:c>
      <x:c r="H61" t="str">
        <x:f>Plan_Raw!AH61</x:f>
        <x:v>0390|COMMN|2026-07-01</x:v>
      </x:c>
      <x:c r="I61" t="n">
        <x:f>COUNTIF(Rates_Raw!$AF$5:$AF$464,H61)</x:f>
        <x:v>0</x:v>
      </x:c>
      <x:c r="J61" t="str">
        <x:f>IF(I61=1,_xlfn.XLOOKUP(H61,Rates_Raw!$AF$5:$AF$464,Rates_Raw!$E$5:$E$464,""),"")</x:f>
      </x:c>
      <x:c r="K61" t="str">
        <x:f>IF(I61=1,_xlfn.XLOOKUP(H61,Rates_Raw!$AF$5:$AF$464,Rates_Raw!$F$5:$F$464,""),"")</x:f>
      </x:c>
      <x:c r="L61" s="50" t="str">
        <x:f>IF(I61=1,IFERROR(VALUE(SUBSTITUTE(_xlfn.XLOOKUP(H61,Rates_Raw!$AF$5:$AF$464,Rates_Raw!$L$5:$L$464,""),"$","")),""),"")</x:f>
      </x:c>
      <x:c r="M61" s="50" t="str">
        <x:f>IF(OR(G61="",L61=""),"",ROUND(G61-L61,4))</x:f>
      </x:c>
      <x:c r="N61" t="str">
        <x:f>IF(I61=0,"NO MATCH",IF(I61&gt;1,"AMBIGUOUS",IF(EXACT(TRIM(E61),TRIM(J61)),"EXACT","TITLE VARIANT")))</x:f>
        <x:v>NO MATCH</x:v>
      </x:c>
      <x:c r="O61" t="str">
        <x:f>IF(I61&lt;&gt;1,"NOT TESTED",IF(OR(G61="",L61=""),"MISSING",IF(ABS(M61)&lt;=Guide!$B$16,"PASS","REVIEW")))</x:f>
        <x:v>NOT TESTED</x:v>
      </x:c>
      <x:c r="P61" s="52" t="str">
        <x:f>IF(I61=1,IFERROR(VALUE(SUBSTITUTE(SUBSTITUTE(_xlfn.XLOOKUP(H61,Rates_Raw!$AF$5:$AF$464,Rates_Raw!$I$5:$I$464,""),"$",""),",","")),""),"")</x:f>
      </x:c>
      <x:c r="Q61" s="52" t="str">
        <x:f>IF(P61="","",P61*Guide!$B$15)</x:f>
      </x:c>
      <x:c r="R61" t="str">
        <x:f>IF(I61=0,"UNMATCHED",IF(I61&gt;1,"DUPLICATE KEY",IF(OR(N61="TITLE VARIANT",O61="REVIEW",O61="MISSING"),"REVIEW","VERIFIED")))</x:f>
        <x:v>UNMATCHED</x:v>
      </x:c>
      <x:c r="S61" s="46" t="str">
        <x:v>Not Reviewed</x:v>
      </x:c>
      <x:c r="T61" s="48"/>
    </x:row>
    <x:row r="62">
      <x:c r="A62" t="n">
        <x:f>Plan_Raw!A62</x:f>
        <x:v>94</x:v>
      </x:c>
      <x:c r="B62" t="str">
        <x:f>Plan_Raw!D62</x:f>
        <x:v>0395</x:v>
      </x:c>
      <x:c r="C62" t="str">
        <x:f>LEFT(Plan_Raw!B62,10)</x:f>
        <x:v>2024-01-06</x:v>
      </x:c>
      <x:c r="D62" t="str">
        <x:f>Plan_Raw!F62</x:f>
        <x:v>COMMN</x:v>
      </x:c>
      <x:c r="E62" t="str">
        <x:f>Plan_Raw!E62</x:f>
        <x:v>Assistant Chief Of Police</x:v>
      </x:c>
      <x:c r="F62" t="str">
        <x:f>Plan_Raw!C62</x:f>
        <x:v>0395Y</x:v>
      </x:c>
      <x:c r="G62" s="50" t="n">
        <x:f>IF(Plan_Raw!G62="","",IFERROR(VALUE(Plan_Raw!G62),""))</x:f>
        <x:v>173.975</x:v>
      </x:c>
      <x:c r="H62" t="str">
        <x:f>Plan_Raw!AH62</x:f>
        <x:v>0395|COMMN|2024-01-06</x:v>
      </x:c>
      <x:c r="I62" t="n">
        <x:f>COUNTIF(Rates_Raw!$AF$5:$AF$464,H62)</x:f>
        <x:v>1</x:v>
      </x:c>
      <x:c r="J62" t="str">
        <x:f>IF(I62=1,_xlfn.XLOOKUP(H62,Rates_Raw!$AF$5:$AF$464,Rates_Raw!$E$5:$E$464,""),"")</x:f>
        <x:v>Assistant Chief Of Police</x:v>
      </x:c>
      <x:c r="K62" t="n">
        <x:f>IF(I62=1,_xlfn.XLOOKUP(H62,Rates_Raw!$AF$5:$AF$464,Rates_Raw!$F$5:$F$464,""),"")</x:f>
        <x:v>353</x:v>
      </x:c>
      <x:c r="L62" s="50" t="n">
        <x:f>IF(I62=1,IFERROR(VALUE(SUBSTITUTE(_xlfn.XLOOKUP(H62,Rates_Raw!$AF$5:$AF$464,Rates_Raw!$L$5:$L$464,""),"$","")),""),"")</x:f>
        <x:v>173.975</x:v>
      </x:c>
      <x:c r="M62" s="50" t="n">
        <x:f>IF(OR(G62="",L62=""),"",ROUND(G62-L62,4))</x:f>
        <x:v>0</x:v>
      </x:c>
      <x:c r="N62" t="str">
        <x:f>IF(I62=0,"NO MATCH",IF(I62&gt;1,"AMBIGUOUS",IF(EXACT(TRIM(E62),TRIM(J62)),"EXACT","TITLE VARIANT")))</x:f>
        <x:v>EXACT</x:v>
      </x:c>
      <x:c r="O62" t="str">
        <x:f>IF(I62&lt;&gt;1,"NOT TESTED",IF(OR(G62="",L62=""),"MISSING",IF(ABS(M62)&lt;=Guide!$B$16,"PASS","REVIEW")))</x:f>
        <x:v>PASS</x:v>
      </x:c>
      <x:c r="P62" s="52" t="n">
        <x:f>IF(I62=1,IFERROR(VALUE(SUBSTITUTE(SUBSTITUTE(_xlfn.XLOOKUP(H62,Rates_Raw!$AF$5:$AF$464,Rates_Raw!$I$5:$I$464,""),"$",""),",","")),""),"")</x:f>
        <x:v>13918</x:v>
      </x:c>
      <x:c r="Q62" s="52" t="n">
        <x:f>IF(P62="","",P62*Guide!$B$15)</x:f>
        <x:v>361868</x:v>
      </x:c>
      <x:c r="R62" t="str">
        <x:f>IF(I62=0,"UNMATCHED",IF(I62&gt;1,"DUPLICATE KEY",IF(OR(N62="TITLE VARIANT",O62="REVIEW",O62="MISSING"),"REVIEW","VERIFIED")))</x:f>
        <x:v>VERIFIED</x:v>
      </x:c>
      <x:c r="S62" s="46" t="str">
        <x:v>Not Reviewed</x:v>
      </x:c>
      <x:c r="T62" s="48"/>
    </x:row>
    <x:row r="63">
      <x:c r="A63" t="n">
        <x:f>Plan_Raw!A63</x:f>
        <x:v>95</x:v>
      </x:c>
      <x:c r="B63" t="str">
        <x:f>Plan_Raw!D63</x:f>
        <x:v>0395</x:v>
      </x:c>
      <x:c r="C63" t="str">
        <x:f>LEFT(Plan_Raw!B63,10)</x:f>
        <x:v>2024-07-01</x:v>
      </x:c>
      <x:c r="D63" t="str">
        <x:f>Plan_Raw!F63</x:f>
        <x:v>COMMN</x:v>
      </x:c>
      <x:c r="E63" t="str">
        <x:f>Plan_Raw!E63</x:f>
        <x:v>Assistant Chief Of Police</x:v>
      </x:c>
      <x:c r="F63" t="str">
        <x:f>Plan_Raw!C63</x:f>
        <x:v>0395Z</x:v>
      </x:c>
      <x:c r="G63" s="50" t="n">
        <x:f>IF(Plan_Raw!G63="","",IFERROR(VALUE(Plan_Raw!G63),""))</x:f>
        <x:v>173.975</x:v>
      </x:c>
      <x:c r="H63" t="str">
        <x:f>Plan_Raw!AH63</x:f>
        <x:v>0395|COMMN|2024-07-01</x:v>
      </x:c>
      <x:c r="I63" t="n">
        <x:f>COUNTIF(Rates_Raw!$AF$5:$AF$464,H63)</x:f>
        <x:v>1</x:v>
      </x:c>
      <x:c r="J63" t="str">
        <x:f>IF(I63=1,_xlfn.XLOOKUP(H63,Rates_Raw!$AF$5:$AF$464,Rates_Raw!$E$5:$E$464,""),"")</x:f>
        <x:v>Assistant Chief Of Police</x:v>
      </x:c>
      <x:c r="K63" t="n">
        <x:f>IF(I63=1,_xlfn.XLOOKUP(H63,Rates_Raw!$AF$5:$AF$464,Rates_Raw!$F$5:$F$464,""),"")</x:f>
        <x:v>353</x:v>
      </x:c>
      <x:c r="L63" s="50" t="n">
        <x:f>IF(I63=1,IFERROR(VALUE(SUBSTITUTE(_xlfn.XLOOKUP(H63,Rates_Raw!$AF$5:$AF$464,Rates_Raw!$L$5:$L$464,""),"$","")),""),"")</x:f>
        <x:v>173.975</x:v>
      </x:c>
      <x:c r="M63" s="50" t="n">
        <x:f>IF(OR(G63="",L63=""),"",ROUND(G63-L63,4))</x:f>
        <x:v>0</x:v>
      </x:c>
      <x:c r="N63" t="str">
        <x:f>IF(I63=0,"NO MATCH",IF(I63&gt;1,"AMBIGUOUS",IF(EXACT(TRIM(E63),TRIM(J63)),"EXACT","TITLE VARIANT")))</x:f>
        <x:v>EXACT</x:v>
      </x:c>
      <x:c r="O63" t="str">
        <x:f>IF(I63&lt;&gt;1,"NOT TESTED",IF(OR(G63="",L63=""),"MISSING",IF(ABS(M63)&lt;=Guide!$B$16,"PASS","REVIEW")))</x:f>
        <x:v>PASS</x:v>
      </x:c>
      <x:c r="P63" s="52" t="n">
        <x:f>IF(I63=1,IFERROR(VALUE(SUBSTITUTE(SUBSTITUTE(_xlfn.XLOOKUP(H63,Rates_Raw!$AF$5:$AF$464,Rates_Raw!$I$5:$I$464,""),"$",""),",","")),""),"")</x:f>
        <x:v>13918</x:v>
      </x:c>
      <x:c r="Q63" s="52" t="n">
        <x:f>IF(P63="","",P63*Guide!$B$15)</x:f>
        <x:v>361868</x:v>
      </x:c>
      <x:c r="R63" t="str">
        <x:f>IF(I63=0,"UNMATCHED",IF(I63&gt;1,"DUPLICATE KEY",IF(OR(N63="TITLE VARIANT",O63="REVIEW",O63="MISSING"),"REVIEW","VERIFIED")))</x:f>
        <x:v>VERIFIED</x:v>
      </x:c>
      <x:c r="S63" s="46" t="str">
        <x:v>Not Reviewed</x:v>
      </x:c>
      <x:c r="T63" s="48"/>
    </x:row>
    <x:row r="64">
      <x:c r="A64" t="n">
        <x:f>Plan_Raw!A64</x:f>
        <x:v>96</x:v>
      </x:c>
      <x:c r="B64" t="str">
        <x:f>Plan_Raw!D64</x:f>
        <x:v>0395</x:v>
      </x:c>
      <x:c r="C64" t="str">
        <x:f>LEFT(Plan_Raw!B64,10)</x:f>
        <x:v>2025-01-04</x:v>
      </x:c>
      <x:c r="D64" t="str">
        <x:f>Plan_Raw!F64</x:f>
        <x:v>COMMN</x:v>
      </x:c>
      <x:c r="E64" t="str">
        <x:f>Plan_Raw!E64</x:f>
        <x:v>Assistant Chief Of Police</x:v>
      </x:c>
      <x:c r="F64" t="str">
        <x:f>Plan_Raw!C64</x:f>
        <x:v>0395A</x:v>
      </x:c>
      <x:c r="G64" s="50" t="n">
        <x:f>IF(Plan_Raw!G64="","",IFERROR(VALUE(Plan_Raw!G64),""))</x:f>
        <x:v>179.2</x:v>
      </x:c>
      <x:c r="H64" t="str">
        <x:f>Plan_Raw!AH64</x:f>
        <x:v>0395|COMMN|2025-01-04</x:v>
      </x:c>
      <x:c r="I64" t="n">
        <x:f>COUNTIF(Rates_Raw!$AF$5:$AF$464,H64)</x:f>
        <x:v>1</x:v>
      </x:c>
      <x:c r="J64" t="str">
        <x:f>IF(I64=1,_xlfn.XLOOKUP(H64,Rates_Raw!$AF$5:$AF$464,Rates_Raw!$E$5:$E$464,""),"")</x:f>
        <x:v>Assistant Chief Of Police</x:v>
      </x:c>
      <x:c r="K64" t="n">
        <x:f>IF(I64=1,_xlfn.XLOOKUP(H64,Rates_Raw!$AF$5:$AF$464,Rates_Raw!$F$5:$F$464,""),"")</x:f>
        <x:v>353</x:v>
      </x:c>
      <x:c r="L64" s="50" t="n">
        <x:f>IF(I64=1,IFERROR(VALUE(SUBSTITUTE(_xlfn.XLOOKUP(H64,Rates_Raw!$AF$5:$AF$464,Rates_Raw!$L$5:$L$464,""),"$","")),""),"")</x:f>
        <x:v>179.2</x:v>
      </x:c>
      <x:c r="M64" s="50" t="n">
        <x:f>IF(OR(G64="",L64=""),"",ROUND(G64-L64,4))</x:f>
        <x:v>0</x:v>
      </x:c>
      <x:c r="N64" t="str">
        <x:f>IF(I64=0,"NO MATCH",IF(I64&gt;1,"AMBIGUOUS",IF(EXACT(TRIM(E64),TRIM(J64)),"EXACT","TITLE VARIANT")))</x:f>
        <x:v>EXACT</x:v>
      </x:c>
      <x:c r="O64" t="str">
        <x:f>IF(I64&lt;&gt;1,"NOT TESTED",IF(OR(G64="",L64=""),"MISSING",IF(ABS(M64)&lt;=Guide!$B$16,"PASS","REVIEW")))</x:f>
        <x:v>PASS</x:v>
      </x:c>
      <x:c r="P64" s="52" t="n">
        <x:f>IF(I64=1,IFERROR(VALUE(SUBSTITUTE(SUBSTITUTE(_xlfn.XLOOKUP(H64,Rates_Raw!$AF$5:$AF$464,Rates_Raw!$I$5:$I$464,""),"$",""),",","")),""),"")</x:f>
        <x:v>14336</x:v>
      </x:c>
      <x:c r="Q64" s="52" t="n">
        <x:f>IF(P64="","",P64*Guide!$B$15)</x:f>
        <x:v>372736</x:v>
      </x:c>
      <x:c r="R64" t="str">
        <x:f>IF(I64=0,"UNMATCHED",IF(I64&gt;1,"DUPLICATE KEY",IF(OR(N64="TITLE VARIANT",O64="REVIEW",O64="MISSING"),"REVIEW","VERIFIED")))</x:f>
        <x:v>VERIFIED</x:v>
      </x:c>
      <x:c r="S64" s="46" t="str">
        <x:v>Not Reviewed</x:v>
      </x:c>
      <x:c r="T64" s="48"/>
    </x:row>
    <x:row r="65">
      <x:c r="A65" t="n">
        <x:f>Plan_Raw!A65</x:f>
        <x:v>97</x:v>
      </x:c>
      <x:c r="B65" t="str">
        <x:f>Plan_Raw!D65</x:f>
        <x:v>0395</x:v>
      </x:c>
      <x:c r="C65" t="str">
        <x:f>LEFT(Plan_Raw!B65,10)</x:f>
        <x:v>2025-07-01</x:v>
      </x:c>
      <x:c r="D65" t="str">
        <x:f>Plan_Raw!F65</x:f>
        <x:v>COMMN</x:v>
      </x:c>
      <x:c r="E65" t="str">
        <x:f>Plan_Raw!E65</x:f>
        <x:v>Assistant Chief of Police</x:v>
      </x:c>
      <x:c r="F65" t="str">
        <x:f>Plan_Raw!C65</x:f>
        <x:v>0395B</x:v>
      </x:c>
      <x:c r="G65" s="50" t="n">
        <x:f>IF(Plan_Raw!G65="","",IFERROR(VALUE(Plan_Raw!G65),""))</x:f>
        <x:v>184.575</x:v>
      </x:c>
      <x:c r="H65" t="str">
        <x:f>Plan_Raw!AH65</x:f>
        <x:v>0395|COMMN|2025-07-01</x:v>
      </x:c>
      <x:c r="I65" t="n">
        <x:f>COUNTIF(Rates_Raw!$AF$5:$AF$464,H65)</x:f>
        <x:v>1</x:v>
      </x:c>
      <x:c r="J65" t="str">
        <x:f>IF(I65=1,_xlfn.XLOOKUP(H65,Rates_Raw!$AF$5:$AF$464,Rates_Raw!$E$5:$E$464,""),"")</x:f>
        <x:v>Assistant Chief of Police</x:v>
      </x:c>
      <x:c r="K65" t="n">
        <x:f>IF(I65=1,_xlfn.XLOOKUP(H65,Rates_Raw!$AF$5:$AF$464,Rates_Raw!$F$5:$F$464,""),"")</x:f>
        <x:v>353</x:v>
      </x:c>
      <x:c r="L65" s="50" t="n">
        <x:f>IF(I65=1,IFERROR(VALUE(SUBSTITUTE(_xlfn.XLOOKUP(H65,Rates_Raw!$AF$5:$AF$464,Rates_Raw!$L$5:$L$464,""),"$","")),""),"")</x:f>
        <x:v>184.575</x:v>
      </x:c>
      <x:c r="M65" s="50" t="n">
        <x:f>IF(OR(G65="",L65=""),"",ROUND(G65-L65,4))</x:f>
        <x:v>0</x:v>
      </x:c>
      <x:c r="N65" t="str">
        <x:f>IF(I65=0,"NO MATCH",IF(I65&gt;1,"AMBIGUOUS",IF(EXACT(TRIM(E65),TRIM(J65)),"EXACT","TITLE VARIANT")))</x:f>
        <x:v>EXACT</x:v>
      </x:c>
      <x:c r="O65" t="str">
        <x:f>IF(I65&lt;&gt;1,"NOT TESTED",IF(OR(G65="",L65=""),"MISSING",IF(ABS(M65)&lt;=Guide!$B$16,"PASS","REVIEW")))</x:f>
        <x:v>PASS</x:v>
      </x:c>
      <x:c r="P65" s="52" t="n">
        <x:f>IF(I65=1,IFERROR(VALUE(SUBSTITUTE(SUBSTITUTE(_xlfn.XLOOKUP(H65,Rates_Raw!$AF$5:$AF$464,Rates_Raw!$I$5:$I$464,""),"$",""),",","")),""),"")</x:f>
        <x:v>14766</x:v>
      </x:c>
      <x:c r="Q65" s="52" t="n">
        <x:f>IF(P65="","",P65*Guide!$B$15)</x:f>
        <x:v>383916</x:v>
      </x:c>
      <x:c r="R65" t="str">
        <x:f>IF(I65=0,"UNMATCHED",IF(I65&gt;1,"DUPLICATE KEY",IF(OR(N65="TITLE VARIANT",O65="REVIEW",O65="MISSING"),"REVIEW","VERIFIED")))</x:f>
        <x:v>VERIFIED</x:v>
      </x:c>
      <x:c r="S65" s="46" t="str">
        <x:v>Not Reviewed</x:v>
      </x:c>
      <x:c r="T65" s="48"/>
    </x:row>
    <x:row r="66">
      <x:c r="A66" t="n">
        <x:f>Plan_Raw!A66</x:f>
        <x:v>98</x:v>
      </x:c>
      <x:c r="B66" t="str">
        <x:f>Plan_Raw!D66</x:f>
        <x:v>0395</x:v>
      </x:c>
      <x:c r="C66" t="str">
        <x:f>LEFT(Plan_Raw!B66,10)</x:f>
        <x:v>2026-07-01</x:v>
      </x:c>
      <x:c r="D66" t="str">
        <x:f>Plan_Raw!F66</x:f>
        <x:v>COMMN</x:v>
      </x:c>
      <x:c r="E66" t="str">
        <x:f>Plan_Raw!E66</x:f>
        <x:v>Assistant Chief of Police</x:v>
      </x:c>
      <x:c r="F66" t="str">
        <x:f>Plan_Raw!C66</x:f>
        <x:v>0395D</x:v>
      </x:c>
      <x:c r="G66" s="50" t="n">
        <x:f>IF(Plan_Raw!G66="","",IFERROR(VALUE(Plan_Raw!G66),""))</x:f>
        <x:v>188.2625</x:v>
      </x:c>
      <x:c r="H66" t="str">
        <x:f>Plan_Raw!AH66</x:f>
        <x:v>0395|COMMN|2026-07-01</x:v>
      </x:c>
      <x:c r="I66" t="n">
        <x:f>COUNTIF(Rates_Raw!$AF$5:$AF$464,H66)</x:f>
        <x:v>0</x:v>
      </x:c>
      <x:c r="J66" t="str">
        <x:f>IF(I66=1,_xlfn.XLOOKUP(H66,Rates_Raw!$AF$5:$AF$464,Rates_Raw!$E$5:$E$464,""),"")</x:f>
      </x:c>
      <x:c r="K66" t="str">
        <x:f>IF(I66=1,_xlfn.XLOOKUP(H66,Rates_Raw!$AF$5:$AF$464,Rates_Raw!$F$5:$F$464,""),"")</x:f>
      </x:c>
      <x:c r="L66" s="50" t="str">
        <x:f>IF(I66=1,IFERROR(VALUE(SUBSTITUTE(_xlfn.XLOOKUP(H66,Rates_Raw!$AF$5:$AF$464,Rates_Raw!$L$5:$L$464,""),"$","")),""),"")</x:f>
      </x:c>
      <x:c r="M66" s="50" t="str">
        <x:f>IF(OR(G66="",L66=""),"",ROUND(G66-L66,4))</x:f>
      </x:c>
      <x:c r="N66" t="str">
        <x:f>IF(I66=0,"NO MATCH",IF(I66&gt;1,"AMBIGUOUS",IF(EXACT(TRIM(E66),TRIM(J66)),"EXACT","TITLE VARIANT")))</x:f>
        <x:v>NO MATCH</x:v>
      </x:c>
      <x:c r="O66" t="str">
        <x:f>IF(I66&lt;&gt;1,"NOT TESTED",IF(OR(G66="",L66=""),"MISSING",IF(ABS(M66)&lt;=Guide!$B$16,"PASS","REVIEW")))</x:f>
        <x:v>NOT TESTED</x:v>
      </x:c>
      <x:c r="P66" s="52" t="str">
        <x:f>IF(I66=1,IFERROR(VALUE(SUBSTITUTE(SUBSTITUTE(_xlfn.XLOOKUP(H66,Rates_Raw!$AF$5:$AF$464,Rates_Raw!$I$5:$I$464,""),"$",""),",","")),""),"")</x:f>
      </x:c>
      <x:c r="Q66" s="52" t="str">
        <x:f>IF(P66="","",P66*Guide!$B$15)</x:f>
      </x:c>
      <x:c r="R66" t="str">
        <x:f>IF(I66=0,"UNMATCHED",IF(I66&gt;1,"DUPLICATE KEY",IF(OR(N66="TITLE VARIANT",O66="REVIEW",O66="MISSING"),"REVIEW","VERIFIED")))</x:f>
        <x:v>UNMATCHED</x:v>
      </x:c>
      <x:c r="S66" s="46" t="str">
        <x:v>Not Reviewed</x:v>
      </x:c>
      <x:c r="T66" s="48"/>
    </x:row>
    <x:row r="67">
      <x:c r="A67" t="n">
        <x:f>Plan_Raw!A67</x:f>
        <x:v>103</x:v>
      </x:c>
      <x:c r="B67" t="str">
        <x:f>Plan_Raw!D67</x:f>
        <x:v>0400</x:v>
      </x:c>
      <x:c r="C67" t="str">
        <x:f>LEFT(Plan_Raw!B67,10)</x:f>
        <x:v>2024-01-06</x:v>
      </x:c>
      <x:c r="D67" t="str">
        <x:f>Plan_Raw!F67</x:f>
        <x:v>COMMN</x:v>
      </x:c>
      <x:c r="E67" t="str">
        <x:f>Plan_Raw!E67</x:f>
        <x:v>Deputy Chief</x:v>
      </x:c>
      <x:c r="F67" t="str">
        <x:f>Plan_Raw!C67</x:f>
        <x:v>0400Y</x:v>
      </x:c>
      <x:c r="G67" s="50" t="n">
        <x:f>IF(Plan_Raw!G67="","",IFERROR(VALUE(Plan_Raw!G67),""))</x:f>
        <x:v>155.55</x:v>
      </x:c>
      <x:c r="H67" t="str">
        <x:f>Plan_Raw!AH67</x:f>
        <x:v>0400|COMMN|2024-01-06</x:v>
      </x:c>
      <x:c r="I67" t="n">
        <x:f>COUNTIF(Rates_Raw!$AF$5:$AF$464,H67)</x:f>
        <x:v>1</x:v>
      </x:c>
      <x:c r="J67" t="str">
        <x:f>IF(I67=1,_xlfn.XLOOKUP(H67,Rates_Raw!$AF$5:$AF$464,Rates_Raw!$E$5:$E$464,""),"")</x:f>
        <x:v>Deputy Chief</x:v>
      </x:c>
      <x:c r="K67" t="n">
        <x:f>IF(I67=1,_xlfn.XLOOKUP(H67,Rates_Raw!$AF$5:$AF$464,Rates_Raw!$F$5:$F$464,""),"")</x:f>
        <x:v>353</x:v>
      </x:c>
      <x:c r="L67" s="50" t="n">
        <x:f>IF(I67=1,IFERROR(VALUE(SUBSTITUTE(_xlfn.XLOOKUP(H67,Rates_Raw!$AF$5:$AF$464,Rates_Raw!$L$5:$L$464,""),"$","")),""),"")</x:f>
        <x:v>155.55</x:v>
      </x:c>
      <x:c r="M67" s="50" t="n">
        <x:f>IF(OR(G67="",L67=""),"",ROUND(G67-L67,4))</x:f>
        <x:v>0</x:v>
      </x:c>
      <x:c r="N67" t="str">
        <x:f>IF(I67=0,"NO MATCH",IF(I67&gt;1,"AMBIGUOUS",IF(EXACT(TRIM(E67),TRIM(J67)),"EXACT","TITLE VARIANT")))</x:f>
        <x:v>EXACT</x:v>
      </x:c>
      <x:c r="O67" t="str">
        <x:f>IF(I67&lt;&gt;1,"NOT TESTED",IF(OR(G67="",L67=""),"MISSING",IF(ABS(M67)&lt;=Guide!$B$16,"PASS","REVIEW")))</x:f>
        <x:v>PASS</x:v>
      </x:c>
      <x:c r="P67" s="52" t="n">
        <x:f>IF(I67=1,IFERROR(VALUE(SUBSTITUTE(SUBSTITUTE(_xlfn.XLOOKUP(H67,Rates_Raw!$AF$5:$AF$464,Rates_Raw!$I$5:$I$464,""),"$",""),",","")),""),"")</x:f>
        <x:v>12444</x:v>
      </x:c>
      <x:c r="Q67" s="52" t="n">
        <x:f>IF(P67="","",P67*Guide!$B$15)</x:f>
        <x:v>323544</x:v>
      </x:c>
      <x:c r="R67" t="str">
        <x:f>IF(I67=0,"UNMATCHED",IF(I67&gt;1,"DUPLICATE KEY",IF(OR(N67="TITLE VARIANT",O67="REVIEW",O67="MISSING"),"REVIEW","VERIFIED")))</x:f>
        <x:v>VERIFIED</x:v>
      </x:c>
      <x:c r="S67" s="46" t="str">
        <x:v>Not Reviewed</x:v>
      </x:c>
      <x:c r="T67" s="48"/>
    </x:row>
    <x:row r="68">
      <x:c r="A68" t="n">
        <x:f>Plan_Raw!A68</x:f>
        <x:v>104</x:v>
      </x:c>
      <x:c r="B68" t="str">
        <x:f>Plan_Raw!D68</x:f>
        <x:v>0400</x:v>
      </x:c>
      <x:c r="C68" t="str">
        <x:f>LEFT(Plan_Raw!B68,10)</x:f>
        <x:v>2024-07-01</x:v>
      </x:c>
      <x:c r="D68" t="str">
        <x:f>Plan_Raw!F68</x:f>
        <x:v>COMMN</x:v>
      </x:c>
      <x:c r="E68" t="str">
        <x:f>Plan_Raw!E68</x:f>
        <x:v>Deputy Chief</x:v>
      </x:c>
      <x:c r="F68" t="str">
        <x:f>Plan_Raw!C68</x:f>
        <x:v>0400Z</x:v>
      </x:c>
      <x:c r="G68" s="50" t="n">
        <x:f>IF(Plan_Raw!G68="","",IFERROR(VALUE(Plan_Raw!G68),""))</x:f>
        <x:v>155.55</x:v>
      </x:c>
      <x:c r="H68" t="str">
        <x:f>Plan_Raw!AH68</x:f>
        <x:v>0400|COMMN|2024-07-01</x:v>
      </x:c>
      <x:c r="I68" t="n">
        <x:f>COUNTIF(Rates_Raw!$AF$5:$AF$464,H68)</x:f>
        <x:v>1</x:v>
      </x:c>
      <x:c r="J68" t="str">
        <x:f>IF(I68=1,_xlfn.XLOOKUP(H68,Rates_Raw!$AF$5:$AF$464,Rates_Raw!$E$5:$E$464,""),"")</x:f>
        <x:v>Deputy Chief</x:v>
      </x:c>
      <x:c r="K68" t="n">
        <x:f>IF(I68=1,_xlfn.XLOOKUP(H68,Rates_Raw!$AF$5:$AF$464,Rates_Raw!$F$5:$F$464,""),"")</x:f>
        <x:v>353</x:v>
      </x:c>
      <x:c r="L68" s="50" t="n">
        <x:f>IF(I68=1,IFERROR(VALUE(SUBSTITUTE(_xlfn.XLOOKUP(H68,Rates_Raw!$AF$5:$AF$464,Rates_Raw!$L$5:$L$464,""),"$","")),""),"")</x:f>
        <x:v>155.55</x:v>
      </x:c>
      <x:c r="M68" s="50" t="n">
        <x:f>IF(OR(G68="",L68=""),"",ROUND(G68-L68,4))</x:f>
        <x:v>0</x:v>
      </x:c>
      <x:c r="N68" t="str">
        <x:f>IF(I68=0,"NO MATCH",IF(I68&gt;1,"AMBIGUOUS",IF(EXACT(TRIM(E68),TRIM(J68)),"EXACT","TITLE VARIANT")))</x:f>
        <x:v>EXACT</x:v>
      </x:c>
      <x:c r="O68" t="str">
        <x:f>IF(I68&lt;&gt;1,"NOT TESTED",IF(OR(G68="",L68=""),"MISSING",IF(ABS(M68)&lt;=Guide!$B$16,"PASS","REVIEW")))</x:f>
        <x:v>PASS</x:v>
      </x:c>
      <x:c r="P68" s="52" t="n">
        <x:f>IF(I68=1,IFERROR(VALUE(SUBSTITUTE(SUBSTITUTE(_xlfn.XLOOKUP(H68,Rates_Raw!$AF$5:$AF$464,Rates_Raw!$I$5:$I$464,""),"$",""),",","")),""),"")</x:f>
        <x:v>12444</x:v>
      </x:c>
      <x:c r="Q68" s="52" t="n">
        <x:f>IF(P68="","",P68*Guide!$B$15)</x:f>
        <x:v>323544</x:v>
      </x:c>
      <x:c r="R68" t="str">
        <x:f>IF(I68=0,"UNMATCHED",IF(I68&gt;1,"DUPLICATE KEY",IF(OR(N68="TITLE VARIANT",O68="REVIEW",O68="MISSING"),"REVIEW","VERIFIED")))</x:f>
        <x:v>VERIFIED</x:v>
      </x:c>
      <x:c r="S68" s="46" t="str">
        <x:v>Not Reviewed</x:v>
      </x:c>
      <x:c r="T68" s="48"/>
    </x:row>
    <x:row r="69">
      <x:c r="A69" t="n">
        <x:f>Plan_Raw!A69</x:f>
        <x:v>105</x:v>
      </x:c>
      <x:c r="B69" t="str">
        <x:f>Plan_Raw!D69</x:f>
        <x:v>0400</x:v>
      </x:c>
      <x:c r="C69" t="str">
        <x:f>LEFT(Plan_Raw!B69,10)</x:f>
        <x:v>2025-01-04</x:v>
      </x:c>
      <x:c r="D69" t="str">
        <x:f>Plan_Raw!F69</x:f>
        <x:v>COMMN</x:v>
      </x:c>
      <x:c r="E69" t="str">
        <x:f>Plan_Raw!E69</x:f>
        <x:v>Deputy Chief</x:v>
      </x:c>
      <x:c r="F69" t="str">
        <x:f>Plan_Raw!C69</x:f>
        <x:v>0400A</x:v>
      </x:c>
      <x:c r="G69" s="50" t="n">
        <x:f>IF(Plan_Raw!G69="","",IFERROR(VALUE(Plan_Raw!G69),""))</x:f>
        <x:v>160.2125</x:v>
      </x:c>
      <x:c r="H69" t="str">
        <x:f>Plan_Raw!AH69</x:f>
        <x:v>0400|COMMN|2025-01-04</x:v>
      </x:c>
      <x:c r="I69" t="n">
        <x:f>COUNTIF(Rates_Raw!$AF$5:$AF$464,H69)</x:f>
        <x:v>1</x:v>
      </x:c>
      <x:c r="J69" t="str">
        <x:f>IF(I69=1,_xlfn.XLOOKUP(H69,Rates_Raw!$AF$5:$AF$464,Rates_Raw!$E$5:$E$464,""),"")</x:f>
        <x:v>Deputy Chief</x:v>
      </x:c>
      <x:c r="K69" t="n">
        <x:f>IF(I69=1,_xlfn.XLOOKUP(H69,Rates_Raw!$AF$5:$AF$464,Rates_Raw!$F$5:$F$464,""),"")</x:f>
        <x:v>353</x:v>
      </x:c>
      <x:c r="L69" s="50" t="n">
        <x:f>IF(I69=1,IFERROR(VALUE(SUBSTITUTE(_xlfn.XLOOKUP(H69,Rates_Raw!$AF$5:$AF$464,Rates_Raw!$L$5:$L$464,""),"$","")),""),"")</x:f>
        <x:v>160.2125</x:v>
      </x:c>
      <x:c r="M69" s="50" t="n">
        <x:f>IF(OR(G69="",L69=""),"",ROUND(G69-L69,4))</x:f>
        <x:v>0</x:v>
      </x:c>
      <x:c r="N69" t="str">
        <x:f>IF(I69=0,"NO MATCH",IF(I69&gt;1,"AMBIGUOUS",IF(EXACT(TRIM(E69),TRIM(J69)),"EXACT","TITLE VARIANT")))</x:f>
        <x:v>EXACT</x:v>
      </x:c>
      <x:c r="O69" t="str">
        <x:f>IF(I69&lt;&gt;1,"NOT TESTED",IF(OR(G69="",L69=""),"MISSING",IF(ABS(M69)&lt;=Guide!$B$16,"PASS","REVIEW")))</x:f>
        <x:v>PASS</x:v>
      </x:c>
      <x:c r="P69" s="52" t="n">
        <x:f>IF(I69=1,IFERROR(VALUE(SUBSTITUTE(SUBSTITUTE(_xlfn.XLOOKUP(H69,Rates_Raw!$AF$5:$AF$464,Rates_Raw!$I$5:$I$464,""),"$",""),",","")),""),"")</x:f>
        <x:v>12817</x:v>
      </x:c>
      <x:c r="Q69" s="52" t="n">
        <x:f>IF(P69="","",P69*Guide!$B$15)</x:f>
        <x:v>333242</x:v>
      </x:c>
      <x:c r="R69" t="str">
        <x:f>IF(I69=0,"UNMATCHED",IF(I69&gt;1,"DUPLICATE KEY",IF(OR(N69="TITLE VARIANT",O69="REVIEW",O69="MISSING"),"REVIEW","VERIFIED")))</x:f>
        <x:v>VERIFIED</x:v>
      </x:c>
      <x:c r="S69" s="46" t="str">
        <x:v>Not Reviewed</x:v>
      </x:c>
      <x:c r="T69" s="48"/>
    </x:row>
    <x:row r="70">
      <x:c r="A70" t="n">
        <x:f>Plan_Raw!A70</x:f>
        <x:v>106</x:v>
      </x:c>
      <x:c r="B70" t="str">
        <x:f>Plan_Raw!D70</x:f>
        <x:v>0400</x:v>
      </x:c>
      <x:c r="C70" t="str">
        <x:f>LEFT(Plan_Raw!B70,10)</x:f>
        <x:v>2025-07-01</x:v>
      </x:c>
      <x:c r="D70" t="str">
        <x:f>Plan_Raw!F70</x:f>
        <x:v>COMMN</x:v>
      </x:c>
      <x:c r="E70" t="str">
        <x:f>Plan_Raw!E70</x:f>
        <x:v>Deputy Chief</x:v>
      </x:c>
      <x:c r="F70" t="str">
        <x:f>Plan_Raw!C70</x:f>
        <x:v>0400B</x:v>
      </x:c>
      <x:c r="G70" s="50" t="n">
        <x:f>IF(Plan_Raw!G70="","",IFERROR(VALUE(Plan_Raw!G70),""))</x:f>
        <x:v>165.025</x:v>
      </x:c>
      <x:c r="H70" t="str">
        <x:f>Plan_Raw!AH70</x:f>
        <x:v>0400|COMMN|2025-07-01</x:v>
      </x:c>
      <x:c r="I70" t="n">
        <x:f>COUNTIF(Rates_Raw!$AF$5:$AF$464,H70)</x:f>
        <x:v>1</x:v>
      </x:c>
      <x:c r="J70" t="str">
        <x:f>IF(I70=1,_xlfn.XLOOKUP(H70,Rates_Raw!$AF$5:$AF$464,Rates_Raw!$E$5:$E$464,""),"")</x:f>
        <x:v>Deputy Chief</x:v>
      </x:c>
      <x:c r="K70" t="n">
        <x:f>IF(I70=1,_xlfn.XLOOKUP(H70,Rates_Raw!$AF$5:$AF$464,Rates_Raw!$F$5:$F$464,""),"")</x:f>
        <x:v>353</x:v>
      </x:c>
      <x:c r="L70" s="50" t="n">
        <x:f>IF(I70=1,IFERROR(VALUE(SUBSTITUTE(_xlfn.XLOOKUP(H70,Rates_Raw!$AF$5:$AF$464,Rates_Raw!$L$5:$L$464,""),"$","")),""),"")</x:f>
        <x:v>165.025</x:v>
      </x:c>
      <x:c r="M70" s="50" t="n">
        <x:f>IF(OR(G70="",L70=""),"",ROUND(G70-L70,4))</x:f>
        <x:v>0</x:v>
      </x:c>
      <x:c r="N70" t="str">
        <x:f>IF(I70=0,"NO MATCH",IF(I70&gt;1,"AMBIGUOUS",IF(EXACT(TRIM(E70),TRIM(J70)),"EXACT","TITLE VARIANT")))</x:f>
        <x:v>EXACT</x:v>
      </x:c>
      <x:c r="O70" t="str">
        <x:f>IF(I70&lt;&gt;1,"NOT TESTED",IF(OR(G70="",L70=""),"MISSING",IF(ABS(M70)&lt;=Guide!$B$16,"PASS","REVIEW")))</x:f>
        <x:v>PASS</x:v>
      </x:c>
      <x:c r="P70" s="52" t="n">
        <x:f>IF(I70=1,IFERROR(VALUE(SUBSTITUTE(SUBSTITUTE(_xlfn.XLOOKUP(H70,Rates_Raw!$AF$5:$AF$464,Rates_Raw!$I$5:$I$464,""),"$",""),",","")),""),"")</x:f>
        <x:v>13202</x:v>
      </x:c>
      <x:c r="Q70" s="52" t="n">
        <x:f>IF(P70="","",P70*Guide!$B$15)</x:f>
        <x:v>343252</x:v>
      </x:c>
      <x:c r="R70" t="str">
        <x:f>IF(I70=0,"UNMATCHED",IF(I70&gt;1,"DUPLICATE KEY",IF(OR(N70="TITLE VARIANT",O70="REVIEW",O70="MISSING"),"REVIEW","VERIFIED")))</x:f>
        <x:v>VERIFIED</x:v>
      </x:c>
      <x:c r="S70" s="46" t="str">
        <x:v>Not Reviewed</x:v>
      </x:c>
      <x:c r="T70" s="48"/>
    </x:row>
    <x:row r="71">
      <x:c r="A71" t="n">
        <x:f>Plan_Raw!A71</x:f>
        <x:v>107</x:v>
      </x:c>
      <x:c r="B71" t="str">
        <x:f>Plan_Raw!D71</x:f>
        <x:v>0400</x:v>
      </x:c>
      <x:c r="C71" t="str">
        <x:f>LEFT(Plan_Raw!B71,10)</x:f>
        <x:v>2026-07-01</x:v>
      </x:c>
      <x:c r="D71" t="str">
        <x:f>Plan_Raw!F71</x:f>
        <x:v>COMMN</x:v>
      </x:c>
      <x:c r="E71" t="str">
        <x:f>Plan_Raw!E71</x:f>
        <x:v>Deputy Chief</x:v>
      </x:c>
      <x:c r="F71" t="str">
        <x:f>Plan_Raw!C71</x:f>
        <x:v>0400D</x:v>
      </x:c>
      <x:c r="G71" s="50" t="n">
        <x:f>IF(Plan_Raw!G71="","",IFERROR(VALUE(Plan_Raw!G71),""))</x:f>
        <x:v>168.325</x:v>
      </x:c>
      <x:c r="H71" t="str">
        <x:f>Plan_Raw!AH71</x:f>
        <x:v>0400|COMMN|2026-07-01</x:v>
      </x:c>
      <x:c r="I71" t="n">
        <x:f>COUNTIF(Rates_Raw!$AF$5:$AF$464,H71)</x:f>
        <x:v>0</x:v>
      </x:c>
      <x:c r="J71" t="str">
        <x:f>IF(I71=1,_xlfn.XLOOKUP(H71,Rates_Raw!$AF$5:$AF$464,Rates_Raw!$E$5:$E$464,""),"")</x:f>
      </x:c>
      <x:c r="K71" t="str">
        <x:f>IF(I71=1,_xlfn.XLOOKUP(H71,Rates_Raw!$AF$5:$AF$464,Rates_Raw!$F$5:$F$464,""),"")</x:f>
      </x:c>
      <x:c r="L71" s="50" t="str">
        <x:f>IF(I71=1,IFERROR(VALUE(SUBSTITUTE(_xlfn.XLOOKUP(H71,Rates_Raw!$AF$5:$AF$464,Rates_Raw!$L$5:$L$464,""),"$","")),""),"")</x:f>
      </x:c>
      <x:c r="M71" s="50" t="str">
        <x:f>IF(OR(G71="",L71=""),"",ROUND(G71-L71,4))</x:f>
      </x:c>
      <x:c r="N71" t="str">
        <x:f>IF(I71=0,"NO MATCH",IF(I71&gt;1,"AMBIGUOUS",IF(EXACT(TRIM(E71),TRIM(J71)),"EXACT","TITLE VARIANT")))</x:f>
        <x:v>NO MATCH</x:v>
      </x:c>
      <x:c r="O71" t="str">
        <x:f>IF(I71&lt;&gt;1,"NOT TESTED",IF(OR(G71="",L71=""),"MISSING",IF(ABS(M71)&lt;=Guide!$B$16,"PASS","REVIEW")))</x:f>
        <x:v>NOT TESTED</x:v>
      </x:c>
      <x:c r="P71" s="52" t="str">
        <x:f>IF(I71=1,IFERROR(VALUE(SUBSTITUTE(SUBSTITUTE(_xlfn.XLOOKUP(H71,Rates_Raw!$AF$5:$AF$464,Rates_Raw!$I$5:$I$464,""),"$",""),",","")),""),"")</x:f>
      </x:c>
      <x:c r="Q71" s="52" t="str">
        <x:f>IF(P71="","",P71*Guide!$B$15)</x:f>
      </x:c>
      <x:c r="R71" t="str">
        <x:f>IF(I71=0,"UNMATCHED",IF(I71&gt;1,"DUPLICATE KEY",IF(OR(N71="TITLE VARIANT",O71="REVIEW",O71="MISSING"),"REVIEW","VERIFIED")))</x:f>
        <x:v>UNMATCHED</x:v>
      </x:c>
      <x:c r="S71" s="46" t="str">
        <x:v>Not Reviewed</x:v>
      </x:c>
      <x:c r="T71" s="48"/>
    </x:row>
    <x:row r="72">
      <x:c r="A72" t="n">
        <x:f>Plan_Raw!A72</x:f>
        <x:v>112</x:v>
      </x:c>
      <x:c r="B72" t="str">
        <x:f>Plan_Raw!D72</x:f>
        <x:v>0401</x:v>
      </x:c>
      <x:c r="C72" t="str">
        <x:f>LEFT(Plan_Raw!B72,10)</x:f>
        <x:v>2024-01-06</x:v>
      </x:c>
      <x:c r="D72" t="str">
        <x:f>Plan_Raw!F72</x:f>
        <x:v>COMMN</x:v>
      </x:c>
      <x:c r="E72" t="str">
        <x:f>Plan_Raw!E72</x:f>
        <x:v>Deputy Chief II</x:v>
      </x:c>
      <x:c r="F72" t="str">
        <x:f>Plan_Raw!C72</x:f>
        <x:v>0401Y</x:v>
      </x:c>
      <x:c r="G72" s="50" t="n">
        <x:f>IF(Plan_Raw!G72="","",IFERROR(VALUE(Plan_Raw!G72),""))</x:f>
        <x:v>164.9125</x:v>
      </x:c>
      <x:c r="H72" t="str">
        <x:f>Plan_Raw!AH72</x:f>
        <x:v>0401|COMMN|2024-01-06</x:v>
      </x:c>
      <x:c r="I72" t="n">
        <x:f>COUNTIF(Rates_Raw!$AF$5:$AF$464,H72)</x:f>
        <x:v>1</x:v>
      </x:c>
      <x:c r="J72" t="str">
        <x:f>IF(I72=1,_xlfn.XLOOKUP(H72,Rates_Raw!$AF$5:$AF$464,Rates_Raw!$E$5:$E$464,""),"")</x:f>
        <x:v>Deputy Chief II</x:v>
      </x:c>
      <x:c r="K72" t="n">
        <x:f>IF(I72=1,_xlfn.XLOOKUP(H72,Rates_Raw!$AF$5:$AF$464,Rates_Raw!$F$5:$F$464,""),"")</x:f>
        <x:v>353</x:v>
      </x:c>
      <x:c r="L72" s="50" t="n">
        <x:f>IF(I72=1,IFERROR(VALUE(SUBSTITUTE(_xlfn.XLOOKUP(H72,Rates_Raw!$AF$5:$AF$464,Rates_Raw!$L$5:$L$464,""),"$","")),""),"")</x:f>
        <x:v>164.9125</x:v>
      </x:c>
      <x:c r="M72" s="50" t="n">
        <x:f>IF(OR(G72="",L72=""),"",ROUND(G72-L72,4))</x:f>
        <x:v>0</x:v>
      </x:c>
      <x:c r="N72" t="str">
        <x:f>IF(I72=0,"NO MATCH",IF(I72&gt;1,"AMBIGUOUS",IF(EXACT(TRIM(E72),TRIM(J72)),"EXACT","TITLE VARIANT")))</x:f>
        <x:v>EXACT</x:v>
      </x:c>
      <x:c r="O72" t="str">
        <x:f>IF(I72&lt;&gt;1,"NOT TESTED",IF(OR(G72="",L72=""),"MISSING",IF(ABS(M72)&lt;=Guide!$B$16,"PASS","REVIEW")))</x:f>
        <x:v>PASS</x:v>
      </x:c>
      <x:c r="P72" s="52" t="n">
        <x:f>IF(I72=1,IFERROR(VALUE(SUBSTITUTE(SUBSTITUTE(_xlfn.XLOOKUP(H72,Rates_Raw!$AF$5:$AF$464,Rates_Raw!$I$5:$I$464,""),"$",""),",","")),""),"")</x:f>
        <x:v>13193</x:v>
      </x:c>
      <x:c r="Q72" s="52" t="n">
        <x:f>IF(P72="","",P72*Guide!$B$15)</x:f>
        <x:v>343018</x:v>
      </x:c>
      <x:c r="R72" t="str">
        <x:f>IF(I72=0,"UNMATCHED",IF(I72&gt;1,"DUPLICATE KEY",IF(OR(N72="TITLE VARIANT",O72="REVIEW",O72="MISSING"),"REVIEW","VERIFIED")))</x:f>
        <x:v>VERIFIED</x:v>
      </x:c>
      <x:c r="S72" s="46" t="str">
        <x:v>Not Reviewed</x:v>
      </x:c>
      <x:c r="T72" s="48"/>
    </x:row>
    <x:row r="73">
      <x:c r="A73" t="n">
        <x:f>Plan_Raw!A73</x:f>
        <x:v>113</x:v>
      </x:c>
      <x:c r="B73" t="str">
        <x:f>Plan_Raw!D73</x:f>
        <x:v>0401</x:v>
      </x:c>
      <x:c r="C73" t="str">
        <x:f>LEFT(Plan_Raw!B73,10)</x:f>
        <x:v>2024-07-01</x:v>
      </x:c>
      <x:c r="D73" t="str">
        <x:f>Plan_Raw!F73</x:f>
        <x:v>COMMN</x:v>
      </x:c>
      <x:c r="E73" t="str">
        <x:f>Plan_Raw!E73</x:f>
        <x:v>Deputy Chief II</x:v>
      </x:c>
      <x:c r="F73" t="str">
        <x:f>Plan_Raw!C73</x:f>
        <x:v>0401Z</x:v>
      </x:c>
      <x:c r="G73" s="50" t="n">
        <x:f>IF(Plan_Raw!G73="","",IFERROR(VALUE(Plan_Raw!G73),""))</x:f>
        <x:v>164.9125</x:v>
      </x:c>
      <x:c r="H73" t="str">
        <x:f>Plan_Raw!AH73</x:f>
        <x:v>0401|COMMN|2024-07-01</x:v>
      </x:c>
      <x:c r="I73" t="n">
        <x:f>COUNTIF(Rates_Raw!$AF$5:$AF$464,H73)</x:f>
        <x:v>1</x:v>
      </x:c>
      <x:c r="J73" t="str">
        <x:f>IF(I73=1,_xlfn.XLOOKUP(H73,Rates_Raw!$AF$5:$AF$464,Rates_Raw!$E$5:$E$464,""),"")</x:f>
        <x:v>Deputy Chief II</x:v>
      </x:c>
      <x:c r="K73" t="n">
        <x:f>IF(I73=1,_xlfn.XLOOKUP(H73,Rates_Raw!$AF$5:$AF$464,Rates_Raw!$F$5:$F$464,""),"")</x:f>
        <x:v>353</x:v>
      </x:c>
      <x:c r="L73" s="50" t="n">
        <x:f>IF(I73=1,IFERROR(VALUE(SUBSTITUTE(_xlfn.XLOOKUP(H73,Rates_Raw!$AF$5:$AF$464,Rates_Raw!$L$5:$L$464,""),"$","")),""),"")</x:f>
        <x:v>164.9125</x:v>
      </x:c>
      <x:c r="M73" s="50" t="n">
        <x:f>IF(OR(G73="",L73=""),"",ROUND(G73-L73,4))</x:f>
        <x:v>0</x:v>
      </x:c>
      <x:c r="N73" t="str">
        <x:f>IF(I73=0,"NO MATCH",IF(I73&gt;1,"AMBIGUOUS",IF(EXACT(TRIM(E73),TRIM(J73)),"EXACT","TITLE VARIANT")))</x:f>
        <x:v>EXACT</x:v>
      </x:c>
      <x:c r="O73" t="str">
        <x:f>IF(I73&lt;&gt;1,"NOT TESTED",IF(OR(G73="",L73=""),"MISSING",IF(ABS(M73)&lt;=Guide!$B$16,"PASS","REVIEW")))</x:f>
        <x:v>PASS</x:v>
      </x:c>
      <x:c r="P73" s="52" t="n">
        <x:f>IF(I73=1,IFERROR(VALUE(SUBSTITUTE(SUBSTITUTE(_xlfn.XLOOKUP(H73,Rates_Raw!$AF$5:$AF$464,Rates_Raw!$I$5:$I$464,""),"$",""),",","")),""),"")</x:f>
        <x:v>13193</x:v>
      </x:c>
      <x:c r="Q73" s="52" t="n">
        <x:f>IF(P73="","",P73*Guide!$B$15)</x:f>
        <x:v>343018</x:v>
      </x:c>
      <x:c r="R73" t="str">
        <x:f>IF(I73=0,"UNMATCHED",IF(I73&gt;1,"DUPLICATE KEY",IF(OR(N73="TITLE VARIANT",O73="REVIEW",O73="MISSING"),"REVIEW","VERIFIED")))</x:f>
        <x:v>VERIFIED</x:v>
      </x:c>
      <x:c r="S73" s="46" t="str">
        <x:v>Not Reviewed</x:v>
      </x:c>
      <x:c r="T73" s="48"/>
    </x:row>
    <x:row r="74">
      <x:c r="A74" t="n">
        <x:f>Plan_Raw!A74</x:f>
        <x:v>114</x:v>
      </x:c>
      <x:c r="B74" t="str">
        <x:f>Plan_Raw!D74</x:f>
        <x:v>0401</x:v>
      </x:c>
      <x:c r="C74" t="str">
        <x:f>LEFT(Plan_Raw!B74,10)</x:f>
        <x:v>2025-01-04</x:v>
      </x:c>
      <x:c r="D74" t="str">
        <x:f>Plan_Raw!F74</x:f>
        <x:v>COMMN</x:v>
      </x:c>
      <x:c r="E74" t="str">
        <x:f>Plan_Raw!E74</x:f>
        <x:v>Deputy Chief II</x:v>
      </x:c>
      <x:c r="F74" t="str">
        <x:f>Plan_Raw!C74</x:f>
        <x:v>0401A</x:v>
      </x:c>
      <x:c r="G74" s="50" t="n">
        <x:f>IF(Plan_Raw!G74="","",IFERROR(VALUE(Plan_Raw!G74),""))</x:f>
        <x:v>169.8625</x:v>
      </x:c>
      <x:c r="H74" t="str">
        <x:f>Plan_Raw!AH74</x:f>
        <x:v>0401|COMMN|2025-01-04</x:v>
      </x:c>
      <x:c r="I74" t="n">
        <x:f>COUNTIF(Rates_Raw!$AF$5:$AF$464,H74)</x:f>
        <x:v>1</x:v>
      </x:c>
      <x:c r="J74" t="str">
        <x:f>IF(I74=1,_xlfn.XLOOKUP(H74,Rates_Raw!$AF$5:$AF$464,Rates_Raw!$E$5:$E$464,""),"")</x:f>
        <x:v>Deputy Chief II</x:v>
      </x:c>
      <x:c r="K74" t="n">
        <x:f>IF(I74=1,_xlfn.XLOOKUP(H74,Rates_Raw!$AF$5:$AF$464,Rates_Raw!$F$5:$F$464,""),"")</x:f>
        <x:v>353</x:v>
      </x:c>
      <x:c r="L74" s="50" t="n">
        <x:f>IF(I74=1,IFERROR(VALUE(SUBSTITUTE(_xlfn.XLOOKUP(H74,Rates_Raw!$AF$5:$AF$464,Rates_Raw!$L$5:$L$464,""),"$","")),""),"")</x:f>
        <x:v>169.8625</x:v>
      </x:c>
      <x:c r="M74" s="50" t="n">
        <x:f>IF(OR(G74="",L74=""),"",ROUND(G74-L74,4))</x:f>
        <x:v>0</x:v>
      </x:c>
      <x:c r="N74" t="str">
        <x:f>IF(I74=0,"NO MATCH",IF(I74&gt;1,"AMBIGUOUS",IF(EXACT(TRIM(E74),TRIM(J74)),"EXACT","TITLE VARIANT")))</x:f>
        <x:v>EXACT</x:v>
      </x:c>
      <x:c r="O74" t="str">
        <x:f>IF(I74&lt;&gt;1,"NOT TESTED",IF(OR(G74="",L74=""),"MISSING",IF(ABS(M74)&lt;=Guide!$B$16,"PASS","REVIEW")))</x:f>
        <x:v>PASS</x:v>
      </x:c>
      <x:c r="P74" s="52" t="n">
        <x:f>IF(I74=1,IFERROR(VALUE(SUBSTITUTE(SUBSTITUTE(_xlfn.XLOOKUP(H74,Rates_Raw!$AF$5:$AF$464,Rates_Raw!$I$5:$I$464,""),"$",""),",","")),""),"")</x:f>
        <x:v>13589</x:v>
      </x:c>
      <x:c r="Q74" s="52" t="n">
        <x:f>IF(P74="","",P74*Guide!$B$15)</x:f>
        <x:v>353314</x:v>
      </x:c>
      <x:c r="R74" t="str">
        <x:f>IF(I74=0,"UNMATCHED",IF(I74&gt;1,"DUPLICATE KEY",IF(OR(N74="TITLE VARIANT",O74="REVIEW",O74="MISSING"),"REVIEW","VERIFIED")))</x:f>
        <x:v>VERIFIED</x:v>
      </x:c>
      <x:c r="S74" s="46" t="str">
        <x:v>Not Reviewed</x:v>
      </x:c>
      <x:c r="T74" s="48"/>
    </x:row>
    <x:row r="75">
      <x:c r="A75" t="n">
        <x:f>Plan_Raw!A75</x:f>
        <x:v>115</x:v>
      </x:c>
      <x:c r="B75" t="str">
        <x:f>Plan_Raw!D75</x:f>
        <x:v>0401</x:v>
      </x:c>
      <x:c r="C75" t="str">
        <x:f>LEFT(Plan_Raw!B75,10)</x:f>
        <x:v>2025-07-01</x:v>
      </x:c>
      <x:c r="D75" t="str">
        <x:f>Plan_Raw!F75</x:f>
        <x:v>COMMN</x:v>
      </x:c>
      <x:c r="E75" t="str">
        <x:f>Plan_Raw!E75</x:f>
        <x:v>Deputy Chief 2</x:v>
      </x:c>
      <x:c r="F75" t="str">
        <x:f>Plan_Raw!C75</x:f>
        <x:v>0401B</x:v>
      </x:c>
      <x:c r="G75" s="50" t="n">
        <x:f>IF(Plan_Raw!G75="","",IFERROR(VALUE(Plan_Raw!G75),""))</x:f>
        <x:v>174.9625</x:v>
      </x:c>
      <x:c r="H75" t="str">
        <x:f>Plan_Raw!AH75</x:f>
        <x:v>0401|COMMN|2025-07-01</x:v>
      </x:c>
      <x:c r="I75" t="n">
        <x:f>COUNTIF(Rates_Raw!$AF$5:$AF$464,H75)</x:f>
        <x:v>1</x:v>
      </x:c>
      <x:c r="J75" t="str">
        <x:f>IF(I75=1,_xlfn.XLOOKUP(H75,Rates_Raw!$AF$5:$AF$464,Rates_Raw!$E$5:$E$464,""),"")</x:f>
        <x:v>Deputy Chief 2</x:v>
      </x:c>
      <x:c r="K75" t="n">
        <x:f>IF(I75=1,_xlfn.XLOOKUP(H75,Rates_Raw!$AF$5:$AF$464,Rates_Raw!$F$5:$F$464,""),"")</x:f>
        <x:v>353</x:v>
      </x:c>
      <x:c r="L75" s="50" t="n">
        <x:f>IF(I75=1,IFERROR(VALUE(SUBSTITUTE(_xlfn.XLOOKUP(H75,Rates_Raw!$AF$5:$AF$464,Rates_Raw!$L$5:$L$464,""),"$","")),""),"")</x:f>
        <x:v>174.9625</x:v>
      </x:c>
      <x:c r="M75" s="50" t="n">
        <x:f>IF(OR(G75="",L75=""),"",ROUND(G75-L75,4))</x:f>
        <x:v>0</x:v>
      </x:c>
      <x:c r="N75" t="str">
        <x:f>IF(I75=0,"NO MATCH",IF(I75&gt;1,"AMBIGUOUS",IF(EXACT(TRIM(E75),TRIM(J75)),"EXACT","TITLE VARIANT")))</x:f>
        <x:v>EXACT</x:v>
      </x:c>
      <x:c r="O75" t="str">
        <x:f>IF(I75&lt;&gt;1,"NOT TESTED",IF(OR(G75="",L75=""),"MISSING",IF(ABS(M75)&lt;=Guide!$B$16,"PASS","REVIEW")))</x:f>
        <x:v>PASS</x:v>
      </x:c>
      <x:c r="P75" s="52" t="n">
        <x:f>IF(I75=1,IFERROR(VALUE(SUBSTITUTE(SUBSTITUTE(_xlfn.XLOOKUP(H75,Rates_Raw!$AF$5:$AF$464,Rates_Raw!$I$5:$I$464,""),"$",""),",","")),""),"")</x:f>
        <x:v>13997</x:v>
      </x:c>
      <x:c r="Q75" s="52" t="n">
        <x:f>IF(P75="","",P75*Guide!$B$15)</x:f>
        <x:v>363922</x:v>
      </x:c>
      <x:c r="R75" t="str">
        <x:f>IF(I75=0,"UNMATCHED",IF(I75&gt;1,"DUPLICATE KEY",IF(OR(N75="TITLE VARIANT",O75="REVIEW",O75="MISSING"),"REVIEW","VERIFIED")))</x:f>
        <x:v>VERIFIED</x:v>
      </x:c>
      <x:c r="S75" s="46" t="str">
        <x:v>Not Reviewed</x:v>
      </x:c>
      <x:c r="T75" s="48"/>
    </x:row>
    <x:row r="76">
      <x:c r="A76" t="n">
        <x:f>Plan_Raw!A76</x:f>
        <x:v>116</x:v>
      </x:c>
      <x:c r="B76" t="str">
        <x:f>Plan_Raw!D76</x:f>
        <x:v>0401</x:v>
      </x:c>
      <x:c r="C76" t="str">
        <x:f>LEFT(Plan_Raw!B76,10)</x:f>
        <x:v>2026-07-01</x:v>
      </x:c>
      <x:c r="D76" t="str">
        <x:f>Plan_Raw!F76</x:f>
        <x:v>COMMN</x:v>
      </x:c>
      <x:c r="E76" t="str">
        <x:f>Plan_Raw!E76</x:f>
        <x:v>Deputy Chief 2</x:v>
      </x:c>
      <x:c r="F76" t="str">
        <x:f>Plan_Raw!C76</x:f>
        <x:v>0401D</x:v>
      </x:c>
      <x:c r="G76" s="50" t="n">
        <x:f>IF(Plan_Raw!G76="","",IFERROR(VALUE(Plan_Raw!G76),""))</x:f>
        <x:v>178.4625</x:v>
      </x:c>
      <x:c r="H76" t="str">
        <x:f>Plan_Raw!AH76</x:f>
        <x:v>0401|COMMN|2026-07-01</x:v>
      </x:c>
      <x:c r="I76" t="n">
        <x:f>COUNTIF(Rates_Raw!$AF$5:$AF$464,H76)</x:f>
        <x:v>0</x:v>
      </x:c>
      <x:c r="J76" t="str">
        <x:f>IF(I76=1,_xlfn.XLOOKUP(H76,Rates_Raw!$AF$5:$AF$464,Rates_Raw!$E$5:$E$464,""),"")</x:f>
      </x:c>
      <x:c r="K76" t="str">
        <x:f>IF(I76=1,_xlfn.XLOOKUP(H76,Rates_Raw!$AF$5:$AF$464,Rates_Raw!$F$5:$F$464,""),"")</x:f>
      </x:c>
      <x:c r="L76" s="50" t="str">
        <x:f>IF(I76=1,IFERROR(VALUE(SUBSTITUTE(_xlfn.XLOOKUP(H76,Rates_Raw!$AF$5:$AF$464,Rates_Raw!$L$5:$L$464,""),"$","")),""),"")</x:f>
      </x:c>
      <x:c r="M76" s="50" t="str">
        <x:f>IF(OR(G76="",L76=""),"",ROUND(G76-L76,4))</x:f>
      </x:c>
      <x:c r="N76" t="str">
        <x:f>IF(I76=0,"NO MATCH",IF(I76&gt;1,"AMBIGUOUS",IF(EXACT(TRIM(E76),TRIM(J76)),"EXACT","TITLE VARIANT")))</x:f>
        <x:v>NO MATCH</x:v>
      </x:c>
      <x:c r="O76" t="str">
        <x:f>IF(I76&lt;&gt;1,"NOT TESTED",IF(OR(G76="",L76=""),"MISSING",IF(ABS(M76)&lt;=Guide!$B$16,"PASS","REVIEW")))</x:f>
        <x:v>NOT TESTED</x:v>
      </x:c>
      <x:c r="P76" s="52" t="str">
        <x:f>IF(I76=1,IFERROR(VALUE(SUBSTITUTE(SUBSTITUTE(_xlfn.XLOOKUP(H76,Rates_Raw!$AF$5:$AF$464,Rates_Raw!$I$5:$I$464,""),"$",""),",","")),""),"")</x:f>
      </x:c>
      <x:c r="Q76" s="52" t="str">
        <x:f>IF(P76="","",P76*Guide!$B$15)</x:f>
      </x:c>
      <x:c r="R76" t="str">
        <x:f>IF(I76=0,"UNMATCHED",IF(I76&gt;1,"DUPLICATE KEY",IF(OR(N76="TITLE VARIANT",O76="REVIEW",O76="MISSING"),"REVIEW","VERIFIED")))</x:f>
        <x:v>UNMATCHED</x:v>
      </x:c>
      <x:c r="S76" s="46" t="str">
        <x:v>Not Reviewed</x:v>
      </x:c>
      <x:c r="T76" s="48"/>
    </x:row>
    <x:row r="77">
      <x:c r="A77" t="n">
        <x:f>Plan_Raw!A77</x:f>
        <x:v>121</x:v>
      </x:c>
      <x:c r="B77" t="str">
        <x:f>Plan_Raw!D77</x:f>
        <x:v>0402</x:v>
      </x:c>
      <x:c r="C77" t="str">
        <x:f>LEFT(Plan_Raw!B77,10)</x:f>
        <x:v>2024-01-06</x:v>
      </x:c>
      <x:c r="D77" t="str">
        <x:f>Plan_Raw!F77</x:f>
        <x:v>COMMN</x:v>
      </x:c>
      <x:c r="E77" t="str">
        <x:f>Plan_Raw!E77</x:f>
        <x:v>Deputy Chief III</x:v>
      </x:c>
      <x:c r="F77" t="str">
        <x:f>Plan_Raw!C77</x:f>
        <x:v>0402Y</x:v>
      </x:c>
      <x:c r="G77" s="50" t="n">
        <x:f>IF(Plan_Raw!G77="","",IFERROR(VALUE(Plan_Raw!G77),""))</x:f>
        <x:v>168.0375</x:v>
      </x:c>
      <x:c r="H77" t="str">
        <x:f>Plan_Raw!AH77</x:f>
        <x:v>0402|COMMN|2024-01-06</x:v>
      </x:c>
      <x:c r="I77" t="n">
        <x:f>COUNTIF(Rates_Raw!$AF$5:$AF$464,H77)</x:f>
        <x:v>1</x:v>
      </x:c>
      <x:c r="J77" t="str">
        <x:f>IF(I77=1,_xlfn.XLOOKUP(H77,Rates_Raw!$AF$5:$AF$464,Rates_Raw!$E$5:$E$464,""),"")</x:f>
        <x:v>Deputy Chief III</x:v>
      </x:c>
      <x:c r="K77" t="n">
        <x:f>IF(I77=1,_xlfn.XLOOKUP(H77,Rates_Raw!$AF$5:$AF$464,Rates_Raw!$F$5:$F$464,""),"")</x:f>
        <x:v>353</x:v>
      </x:c>
      <x:c r="L77" s="50" t="n">
        <x:f>IF(I77=1,IFERROR(VALUE(SUBSTITUTE(_xlfn.XLOOKUP(H77,Rates_Raw!$AF$5:$AF$464,Rates_Raw!$L$5:$L$464,""),"$","")),""),"")</x:f>
        <x:v>168.0375</x:v>
      </x:c>
      <x:c r="M77" s="50" t="n">
        <x:f>IF(OR(G77="",L77=""),"",ROUND(G77-L77,4))</x:f>
        <x:v>0</x:v>
      </x:c>
      <x:c r="N77" t="str">
        <x:f>IF(I77=0,"NO MATCH",IF(I77&gt;1,"AMBIGUOUS",IF(EXACT(TRIM(E77),TRIM(J77)),"EXACT","TITLE VARIANT")))</x:f>
        <x:v>EXACT</x:v>
      </x:c>
      <x:c r="O77" t="str">
        <x:f>IF(I77&lt;&gt;1,"NOT TESTED",IF(OR(G77="",L77=""),"MISSING",IF(ABS(M77)&lt;=Guide!$B$16,"PASS","REVIEW")))</x:f>
        <x:v>PASS</x:v>
      </x:c>
      <x:c r="P77" s="52" t="n">
        <x:f>IF(I77=1,IFERROR(VALUE(SUBSTITUTE(SUBSTITUTE(_xlfn.XLOOKUP(H77,Rates_Raw!$AF$5:$AF$464,Rates_Raw!$I$5:$I$464,""),"$",""),",","")),""),"")</x:f>
        <x:v>13443</x:v>
      </x:c>
      <x:c r="Q77" s="52" t="n">
        <x:f>IF(P77="","",P77*Guide!$B$15)</x:f>
        <x:v>349518</x:v>
      </x:c>
      <x:c r="R77" t="str">
        <x:f>IF(I77=0,"UNMATCHED",IF(I77&gt;1,"DUPLICATE KEY",IF(OR(N77="TITLE VARIANT",O77="REVIEW",O77="MISSING"),"REVIEW","VERIFIED")))</x:f>
        <x:v>VERIFIED</x:v>
      </x:c>
      <x:c r="S77" s="46" t="str">
        <x:v>Not Reviewed</x:v>
      </x:c>
      <x:c r="T77" s="48"/>
    </x:row>
    <x:row r="78">
      <x:c r="A78" t="n">
        <x:f>Plan_Raw!A78</x:f>
        <x:v>122</x:v>
      </x:c>
      <x:c r="B78" t="str">
        <x:f>Plan_Raw!D78</x:f>
        <x:v>0402</x:v>
      </x:c>
      <x:c r="C78" t="str">
        <x:f>LEFT(Plan_Raw!B78,10)</x:f>
        <x:v>2024-07-01</x:v>
      </x:c>
      <x:c r="D78" t="str">
        <x:f>Plan_Raw!F78</x:f>
        <x:v>COMMN</x:v>
      </x:c>
      <x:c r="E78" t="str">
        <x:f>Plan_Raw!E78</x:f>
        <x:v>Deputy Chief III</x:v>
      </x:c>
      <x:c r="F78" t="str">
        <x:f>Plan_Raw!C78</x:f>
        <x:v>0402Z</x:v>
      </x:c>
      <x:c r="G78" s="50" t="n">
        <x:f>IF(Plan_Raw!G78="","",IFERROR(VALUE(Plan_Raw!G78),""))</x:f>
        <x:v>168.0375</x:v>
      </x:c>
      <x:c r="H78" t="str">
        <x:f>Plan_Raw!AH78</x:f>
        <x:v>0402|COMMN|2024-07-01</x:v>
      </x:c>
      <x:c r="I78" t="n">
        <x:f>COUNTIF(Rates_Raw!$AF$5:$AF$464,H78)</x:f>
        <x:v>1</x:v>
      </x:c>
      <x:c r="J78" t="str">
        <x:f>IF(I78=1,_xlfn.XLOOKUP(H78,Rates_Raw!$AF$5:$AF$464,Rates_Raw!$E$5:$E$464,""),"")</x:f>
        <x:v>Deputy Chief III</x:v>
      </x:c>
      <x:c r="K78" t="n">
        <x:f>IF(I78=1,_xlfn.XLOOKUP(H78,Rates_Raw!$AF$5:$AF$464,Rates_Raw!$F$5:$F$464,""),"")</x:f>
        <x:v>353</x:v>
      </x:c>
      <x:c r="L78" s="50" t="n">
        <x:f>IF(I78=1,IFERROR(VALUE(SUBSTITUTE(_xlfn.XLOOKUP(H78,Rates_Raw!$AF$5:$AF$464,Rates_Raw!$L$5:$L$464,""),"$","")),""),"")</x:f>
        <x:v>168.0375</x:v>
      </x:c>
      <x:c r="M78" s="50" t="n">
        <x:f>IF(OR(G78="",L78=""),"",ROUND(G78-L78,4))</x:f>
        <x:v>0</x:v>
      </x:c>
      <x:c r="N78" t="str">
        <x:f>IF(I78=0,"NO MATCH",IF(I78&gt;1,"AMBIGUOUS",IF(EXACT(TRIM(E78),TRIM(J78)),"EXACT","TITLE VARIANT")))</x:f>
        <x:v>EXACT</x:v>
      </x:c>
      <x:c r="O78" t="str">
        <x:f>IF(I78&lt;&gt;1,"NOT TESTED",IF(OR(G78="",L78=""),"MISSING",IF(ABS(M78)&lt;=Guide!$B$16,"PASS","REVIEW")))</x:f>
        <x:v>PASS</x:v>
      </x:c>
      <x:c r="P78" s="52" t="n">
        <x:f>IF(I78=1,IFERROR(VALUE(SUBSTITUTE(SUBSTITUTE(_xlfn.XLOOKUP(H78,Rates_Raw!$AF$5:$AF$464,Rates_Raw!$I$5:$I$464,""),"$",""),",","")),""),"")</x:f>
        <x:v>13443</x:v>
      </x:c>
      <x:c r="Q78" s="52" t="n">
        <x:f>IF(P78="","",P78*Guide!$B$15)</x:f>
        <x:v>349518</x:v>
      </x:c>
      <x:c r="R78" t="str">
        <x:f>IF(I78=0,"UNMATCHED",IF(I78&gt;1,"DUPLICATE KEY",IF(OR(N78="TITLE VARIANT",O78="REVIEW",O78="MISSING"),"REVIEW","VERIFIED")))</x:f>
        <x:v>VERIFIED</x:v>
      </x:c>
      <x:c r="S78" s="46" t="str">
        <x:v>Not Reviewed</x:v>
      </x:c>
      <x:c r="T78" s="48"/>
    </x:row>
    <x:row r="79">
      <x:c r="A79" t="n">
        <x:f>Plan_Raw!A79</x:f>
        <x:v>123</x:v>
      </x:c>
      <x:c r="B79" t="str">
        <x:f>Plan_Raw!D79</x:f>
        <x:v>0402</x:v>
      </x:c>
      <x:c r="C79" t="str">
        <x:f>LEFT(Plan_Raw!B79,10)</x:f>
        <x:v>2025-01-04</x:v>
      </x:c>
      <x:c r="D79" t="str">
        <x:f>Plan_Raw!F79</x:f>
        <x:v>COMMN</x:v>
      </x:c>
      <x:c r="E79" t="str">
        <x:f>Plan_Raw!E79</x:f>
        <x:v>Deputy Chief III</x:v>
      </x:c>
      <x:c r="F79" t="str">
        <x:f>Plan_Raw!C79</x:f>
        <x:v>0402A</x:v>
      </x:c>
      <x:c r="G79" s="50" t="n">
        <x:f>IF(Plan_Raw!G79="","",IFERROR(VALUE(Plan_Raw!G79),""))</x:f>
        <x:v>173.075</x:v>
      </x:c>
      <x:c r="H79" t="str">
        <x:f>Plan_Raw!AH79</x:f>
        <x:v>0402|COMMN|2025-01-04</x:v>
      </x:c>
      <x:c r="I79" t="n">
        <x:f>COUNTIF(Rates_Raw!$AF$5:$AF$464,H79)</x:f>
        <x:v>1</x:v>
      </x:c>
      <x:c r="J79" t="str">
        <x:f>IF(I79=1,_xlfn.XLOOKUP(H79,Rates_Raw!$AF$5:$AF$464,Rates_Raw!$E$5:$E$464,""),"")</x:f>
        <x:v>Deputy Chief III</x:v>
      </x:c>
      <x:c r="K79" t="n">
        <x:f>IF(I79=1,_xlfn.XLOOKUP(H79,Rates_Raw!$AF$5:$AF$464,Rates_Raw!$F$5:$F$464,""),"")</x:f>
        <x:v>353</x:v>
      </x:c>
      <x:c r="L79" s="50" t="n">
        <x:f>IF(I79=1,IFERROR(VALUE(SUBSTITUTE(_xlfn.XLOOKUP(H79,Rates_Raw!$AF$5:$AF$464,Rates_Raw!$L$5:$L$464,""),"$","")),""),"")</x:f>
        <x:v>173.075</x:v>
      </x:c>
      <x:c r="M79" s="50" t="n">
        <x:f>IF(OR(G79="",L79=""),"",ROUND(G79-L79,4))</x:f>
        <x:v>0</x:v>
      </x:c>
      <x:c r="N79" t="str">
        <x:f>IF(I79=0,"NO MATCH",IF(I79&gt;1,"AMBIGUOUS",IF(EXACT(TRIM(E79),TRIM(J79)),"EXACT","TITLE VARIANT")))</x:f>
        <x:v>EXACT</x:v>
      </x:c>
      <x:c r="O79" t="str">
        <x:f>IF(I79&lt;&gt;1,"NOT TESTED",IF(OR(G79="",L79=""),"MISSING",IF(ABS(M79)&lt;=Guide!$B$16,"PASS","REVIEW")))</x:f>
        <x:v>PASS</x:v>
      </x:c>
      <x:c r="P79" s="52" t="n">
        <x:f>IF(I79=1,IFERROR(VALUE(SUBSTITUTE(SUBSTITUTE(_xlfn.XLOOKUP(H79,Rates_Raw!$AF$5:$AF$464,Rates_Raw!$I$5:$I$464,""),"$",""),",","")),""),"")</x:f>
        <x:v>13846</x:v>
      </x:c>
      <x:c r="Q79" s="52" t="n">
        <x:f>IF(P79="","",P79*Guide!$B$15)</x:f>
        <x:v>359996</x:v>
      </x:c>
      <x:c r="R79" t="str">
        <x:f>IF(I79=0,"UNMATCHED",IF(I79&gt;1,"DUPLICATE KEY",IF(OR(N79="TITLE VARIANT",O79="REVIEW",O79="MISSING"),"REVIEW","VERIFIED")))</x:f>
        <x:v>VERIFIED</x:v>
      </x:c>
      <x:c r="S79" s="46" t="str">
        <x:v>Not Reviewed</x:v>
      </x:c>
      <x:c r="T79" s="48"/>
    </x:row>
    <x:row r="80">
      <x:c r="A80" t="n">
        <x:f>Plan_Raw!A80</x:f>
        <x:v>124</x:v>
      </x:c>
      <x:c r="B80" t="str">
        <x:f>Plan_Raw!D80</x:f>
        <x:v>0402</x:v>
      </x:c>
      <x:c r="C80" t="str">
        <x:f>LEFT(Plan_Raw!B80,10)</x:f>
        <x:v>2025-07-01</x:v>
      </x:c>
      <x:c r="D80" t="str">
        <x:f>Plan_Raw!F80</x:f>
        <x:v>COMMN</x:v>
      </x:c>
      <x:c r="E80" t="str">
        <x:f>Plan_Raw!E80</x:f>
        <x:v>Deputy Chief 3</x:v>
      </x:c>
      <x:c r="F80" t="str">
        <x:f>Plan_Raw!C80</x:f>
        <x:v>0402B</x:v>
      </x:c>
      <x:c r="G80" s="50" t="n">
        <x:f>IF(Plan_Raw!G80="","",IFERROR(VALUE(Plan_Raw!G80),""))</x:f>
        <x:v>178.2625</x:v>
      </x:c>
      <x:c r="H80" t="str">
        <x:f>Plan_Raw!AH80</x:f>
        <x:v>0402|COMMN|2025-07-01</x:v>
      </x:c>
      <x:c r="I80" t="n">
        <x:f>COUNTIF(Rates_Raw!$AF$5:$AF$464,H80)</x:f>
        <x:v>1</x:v>
      </x:c>
      <x:c r="J80" t="str">
        <x:f>IF(I80=1,_xlfn.XLOOKUP(H80,Rates_Raw!$AF$5:$AF$464,Rates_Raw!$E$5:$E$464,""),"")</x:f>
        <x:v>Deputy Chief 3</x:v>
      </x:c>
      <x:c r="K80" t="n">
        <x:f>IF(I80=1,_xlfn.XLOOKUP(H80,Rates_Raw!$AF$5:$AF$464,Rates_Raw!$F$5:$F$464,""),"")</x:f>
        <x:v>353</x:v>
      </x:c>
      <x:c r="L80" s="50" t="n">
        <x:f>IF(I80=1,IFERROR(VALUE(SUBSTITUTE(_xlfn.XLOOKUP(H80,Rates_Raw!$AF$5:$AF$464,Rates_Raw!$L$5:$L$464,""),"$","")),""),"")</x:f>
        <x:v>178.2625</x:v>
      </x:c>
      <x:c r="M80" s="50" t="n">
        <x:f>IF(OR(G80="",L80=""),"",ROUND(G80-L80,4))</x:f>
        <x:v>0</x:v>
      </x:c>
      <x:c r="N80" t="str">
        <x:f>IF(I80=0,"NO MATCH",IF(I80&gt;1,"AMBIGUOUS",IF(EXACT(TRIM(E80),TRIM(J80)),"EXACT","TITLE VARIANT")))</x:f>
        <x:v>EXACT</x:v>
      </x:c>
      <x:c r="O80" t="str">
        <x:f>IF(I80&lt;&gt;1,"NOT TESTED",IF(OR(G80="",L80=""),"MISSING",IF(ABS(M80)&lt;=Guide!$B$16,"PASS","REVIEW")))</x:f>
        <x:v>PASS</x:v>
      </x:c>
      <x:c r="P80" s="52" t="n">
        <x:f>IF(I80=1,IFERROR(VALUE(SUBSTITUTE(SUBSTITUTE(_xlfn.XLOOKUP(H80,Rates_Raw!$AF$5:$AF$464,Rates_Raw!$I$5:$I$464,""),"$",""),",","")),""),"")</x:f>
        <x:v>14261</x:v>
      </x:c>
      <x:c r="Q80" s="52" t="n">
        <x:f>IF(P80="","",P80*Guide!$B$15)</x:f>
        <x:v>370786</x:v>
      </x:c>
      <x:c r="R80" t="str">
        <x:f>IF(I80=0,"UNMATCHED",IF(I80&gt;1,"DUPLICATE KEY",IF(OR(N80="TITLE VARIANT",O80="REVIEW",O80="MISSING"),"REVIEW","VERIFIED")))</x:f>
        <x:v>VERIFIED</x:v>
      </x:c>
      <x:c r="S80" s="46" t="str">
        <x:v>Not Reviewed</x:v>
      </x:c>
      <x:c r="T80" s="48"/>
    </x:row>
    <x:row r="81">
      <x:c r="A81" t="n">
        <x:f>Plan_Raw!A81</x:f>
        <x:v>125</x:v>
      </x:c>
      <x:c r="B81" t="str">
        <x:f>Plan_Raw!D81</x:f>
        <x:v>0402</x:v>
      </x:c>
      <x:c r="C81" t="str">
        <x:f>LEFT(Plan_Raw!B81,10)</x:f>
        <x:v>2026-07-01</x:v>
      </x:c>
      <x:c r="D81" t="str">
        <x:f>Plan_Raw!F81</x:f>
        <x:v>COMMN</x:v>
      </x:c>
      <x:c r="E81" t="str">
        <x:f>Plan_Raw!E81</x:f>
        <x:v>Deputy Chief 3</x:v>
      </x:c>
      <x:c r="F81" t="str">
        <x:f>Plan_Raw!C81</x:f>
        <x:v>0402D</x:v>
      </x:c>
      <x:c r="G81" s="50" t="n">
        <x:f>IF(Plan_Raw!G81="","",IFERROR(VALUE(Plan_Raw!G81),""))</x:f>
        <x:v>181.825</x:v>
      </x:c>
      <x:c r="H81" t="str">
        <x:f>Plan_Raw!AH81</x:f>
        <x:v>0402|COMMN|2026-07-01</x:v>
      </x:c>
      <x:c r="I81" t="n">
        <x:f>COUNTIF(Rates_Raw!$AF$5:$AF$464,H81)</x:f>
        <x:v>0</x:v>
      </x:c>
      <x:c r="J81" t="str">
        <x:f>IF(I81=1,_xlfn.XLOOKUP(H81,Rates_Raw!$AF$5:$AF$464,Rates_Raw!$E$5:$E$464,""),"")</x:f>
      </x:c>
      <x:c r="K81" t="str">
        <x:f>IF(I81=1,_xlfn.XLOOKUP(H81,Rates_Raw!$AF$5:$AF$464,Rates_Raw!$F$5:$F$464,""),"")</x:f>
      </x:c>
      <x:c r="L81" s="50" t="str">
        <x:f>IF(I81=1,IFERROR(VALUE(SUBSTITUTE(_xlfn.XLOOKUP(H81,Rates_Raw!$AF$5:$AF$464,Rates_Raw!$L$5:$L$464,""),"$","")),""),"")</x:f>
      </x:c>
      <x:c r="M81" s="50" t="str">
        <x:f>IF(OR(G81="",L81=""),"",ROUND(G81-L81,4))</x:f>
      </x:c>
      <x:c r="N81" t="str">
        <x:f>IF(I81=0,"NO MATCH",IF(I81&gt;1,"AMBIGUOUS",IF(EXACT(TRIM(E81),TRIM(J81)),"EXACT","TITLE VARIANT")))</x:f>
        <x:v>NO MATCH</x:v>
      </x:c>
      <x:c r="O81" t="str">
        <x:f>IF(I81&lt;&gt;1,"NOT TESTED",IF(OR(G81="",L81=""),"MISSING",IF(ABS(M81)&lt;=Guide!$B$16,"PASS","REVIEW")))</x:f>
        <x:v>NOT TESTED</x:v>
      </x:c>
      <x:c r="P81" s="52" t="str">
        <x:f>IF(I81=1,IFERROR(VALUE(SUBSTITUTE(SUBSTITUTE(_xlfn.XLOOKUP(H81,Rates_Raw!$AF$5:$AF$464,Rates_Raw!$I$5:$I$464,""),"$",""),",","")),""),"")</x:f>
      </x:c>
      <x:c r="Q81" s="52" t="str">
        <x:f>IF(P81="","",P81*Guide!$B$15)</x:f>
      </x:c>
      <x:c r="R81" t="str">
        <x:f>IF(I81=0,"UNMATCHED",IF(I81&gt;1,"DUPLICATE KEY",IF(OR(N81="TITLE VARIANT",O81="REVIEW",O81="MISSING"),"REVIEW","VERIFIED")))</x:f>
        <x:v>UNMATCHED</x:v>
      </x:c>
      <x:c r="S81" s="46" t="str">
        <x:v>Not Reviewed</x:v>
      </x:c>
      <x:c r="T81" s="48"/>
    </x:row>
    <x:row r="82">
      <x:c r="A82" t="n">
        <x:f>Plan_Raw!A82</x:f>
        <x:v>130</x:v>
      </x:c>
      <x:c r="B82" t="str">
        <x:f>Plan_Raw!D82</x:f>
        <x:v>0488</x:v>
      </x:c>
      <x:c r="C82" t="str">
        <x:f>LEFT(Plan_Raw!B82,10)</x:f>
        <x:v>2024-01-06</x:v>
      </x:c>
      <x:c r="D82" t="str">
        <x:f>Plan_Raw!F82</x:f>
        <x:v>COMMN</x:v>
      </x:c>
      <x:c r="E82" t="str">
        <x:f>Plan_Raw!E82</x:f>
        <x:v>Commander (Police Department)</x:v>
      </x:c>
      <x:c r="F82" t="str">
        <x:f>Plan_Raw!C82</x:f>
        <x:v>0488Y</x:v>
      </x:c>
      <x:c r="G82" s="50" t="n">
        <x:f>IF(Plan_Raw!G82="","",IFERROR(VALUE(Plan_Raw!G82),""))</x:f>
        <x:v>126.4125</x:v>
      </x:c>
      <x:c r="H82" t="str">
        <x:f>Plan_Raw!AH82</x:f>
        <x:v>0488|COMMN|2024-01-06</x:v>
      </x:c>
      <x:c r="I82" t="n">
        <x:f>COUNTIF(Rates_Raw!$AF$5:$AF$464,H82)</x:f>
        <x:v>1</x:v>
      </x:c>
      <x:c r="J82" t="str">
        <x:f>IF(I82=1,_xlfn.XLOOKUP(H82,Rates_Raw!$AF$5:$AF$464,Rates_Raw!$E$5:$E$464,""),"")</x:f>
        <x:v>Commander (Police Department)</x:v>
      </x:c>
      <x:c r="K82" t="n">
        <x:f>IF(I82=1,_xlfn.XLOOKUP(H82,Rates_Raw!$AF$5:$AF$464,Rates_Raw!$F$5:$F$464,""),"")</x:f>
        <x:v>353</x:v>
      </x:c>
      <x:c r="L82" s="50" t="n">
        <x:f>IF(I82=1,IFERROR(VALUE(SUBSTITUTE(_xlfn.XLOOKUP(H82,Rates_Raw!$AF$5:$AF$464,Rates_Raw!$L$5:$L$464,""),"$","")),""),"")</x:f>
        <x:v>126.4125</x:v>
      </x:c>
      <x:c r="M82" s="50" t="n">
        <x:f>IF(OR(G82="",L82=""),"",ROUND(G82-L82,4))</x:f>
        <x:v>0</x:v>
      </x:c>
      <x:c r="N82" t="str">
        <x:f>IF(I82=0,"NO MATCH",IF(I82&gt;1,"AMBIGUOUS",IF(EXACT(TRIM(E82),TRIM(J82)),"EXACT","TITLE VARIANT")))</x:f>
        <x:v>EXACT</x:v>
      </x:c>
      <x:c r="O82" t="str">
        <x:f>IF(I82&lt;&gt;1,"NOT TESTED",IF(OR(G82="",L82=""),"MISSING",IF(ABS(M82)&lt;=Guide!$B$16,"PASS","REVIEW")))</x:f>
        <x:v>PASS</x:v>
      </x:c>
      <x:c r="P82" s="52" t="n">
        <x:f>IF(I82=1,IFERROR(VALUE(SUBSTITUTE(SUBSTITUTE(_xlfn.XLOOKUP(H82,Rates_Raw!$AF$5:$AF$464,Rates_Raw!$I$5:$I$464,""),"$",""),",","")),""),"")</x:f>
        <x:v>10113</x:v>
      </x:c>
      <x:c r="Q82" s="52" t="n">
        <x:f>IF(P82="","",P82*Guide!$B$15)</x:f>
        <x:v>262938</x:v>
      </x:c>
      <x:c r="R82" t="str">
        <x:f>IF(I82=0,"UNMATCHED",IF(I82&gt;1,"DUPLICATE KEY",IF(OR(N82="TITLE VARIANT",O82="REVIEW",O82="MISSING"),"REVIEW","VERIFIED")))</x:f>
        <x:v>VERIFIED</x:v>
      </x:c>
      <x:c r="S82" s="46" t="str">
        <x:v>Not Reviewed</x:v>
      </x:c>
      <x:c r="T82" s="48"/>
    </x:row>
    <x:row r="83">
      <x:c r="A83" t="n">
        <x:f>Plan_Raw!A83</x:f>
        <x:v>131</x:v>
      </x:c>
      <x:c r="B83" t="str">
        <x:f>Plan_Raw!D83</x:f>
        <x:v>0488</x:v>
      </x:c>
      <x:c r="C83" t="str">
        <x:f>LEFT(Plan_Raw!B83,10)</x:f>
        <x:v>2024-07-01</x:v>
      </x:c>
      <x:c r="D83" t="str">
        <x:f>Plan_Raw!F83</x:f>
        <x:v>COMMN</x:v>
      </x:c>
      <x:c r="E83" t="str">
        <x:f>Plan_Raw!E83</x:f>
        <x:v>Commander (Police Department)</x:v>
      </x:c>
      <x:c r="F83" t="str">
        <x:f>Plan_Raw!C83</x:f>
        <x:v>0488Z</x:v>
      </x:c>
      <x:c r="G83" s="50" t="n">
        <x:f>IF(Plan_Raw!G83="","",IFERROR(VALUE(Plan_Raw!G83),""))</x:f>
        <x:v>128.9375</x:v>
      </x:c>
      <x:c r="H83" t="str">
        <x:f>Plan_Raw!AH83</x:f>
        <x:v>0488|COMMN|2024-07-01</x:v>
      </x:c>
      <x:c r="I83" t="n">
        <x:f>COUNTIF(Rates_Raw!$AF$5:$AF$464,H83)</x:f>
        <x:v>1</x:v>
      </x:c>
      <x:c r="J83" t="str">
        <x:f>IF(I83=1,_xlfn.XLOOKUP(H83,Rates_Raw!$AF$5:$AF$464,Rates_Raw!$E$5:$E$464,""),"")</x:f>
        <x:v>Commander (Police Department)</x:v>
      </x:c>
      <x:c r="K83" t="n">
        <x:f>IF(I83=1,_xlfn.XLOOKUP(H83,Rates_Raw!$AF$5:$AF$464,Rates_Raw!$F$5:$F$464,""),"")</x:f>
        <x:v>353</x:v>
      </x:c>
      <x:c r="L83" s="50" t="n">
        <x:f>IF(I83=1,IFERROR(VALUE(SUBSTITUTE(_xlfn.XLOOKUP(H83,Rates_Raw!$AF$5:$AF$464,Rates_Raw!$L$5:$L$464,""),"$","")),""),"")</x:f>
        <x:v>128.9375</x:v>
      </x:c>
      <x:c r="M83" s="50" t="n">
        <x:f>IF(OR(G83="",L83=""),"",ROUND(G83-L83,4))</x:f>
        <x:v>0</x:v>
      </x:c>
      <x:c r="N83" t="str">
        <x:f>IF(I83=0,"NO MATCH",IF(I83&gt;1,"AMBIGUOUS",IF(EXACT(TRIM(E83),TRIM(J83)),"EXACT","TITLE VARIANT")))</x:f>
        <x:v>EXACT</x:v>
      </x:c>
      <x:c r="O83" t="str">
        <x:f>IF(I83&lt;&gt;1,"NOT TESTED",IF(OR(G83="",L83=""),"MISSING",IF(ABS(M83)&lt;=Guide!$B$16,"PASS","REVIEW")))</x:f>
        <x:v>PASS</x:v>
      </x:c>
      <x:c r="P83" s="52" t="n">
        <x:f>IF(I83=1,IFERROR(VALUE(SUBSTITUTE(SUBSTITUTE(_xlfn.XLOOKUP(H83,Rates_Raw!$AF$5:$AF$464,Rates_Raw!$I$5:$I$464,""),"$",""),",","")),""),"")</x:f>
        <x:v>10315</x:v>
      </x:c>
      <x:c r="Q83" s="52" t="n">
        <x:f>IF(P83="","",P83*Guide!$B$15)</x:f>
        <x:v>268190</x:v>
      </x:c>
      <x:c r="R83" t="str">
        <x:f>IF(I83=0,"UNMATCHED",IF(I83&gt;1,"DUPLICATE KEY",IF(OR(N83="TITLE VARIANT",O83="REVIEW",O83="MISSING"),"REVIEW","VERIFIED")))</x:f>
        <x:v>VERIFIED</x:v>
      </x:c>
      <x:c r="S83" s="46" t="str">
        <x:v>Not Reviewed</x:v>
      </x:c>
      <x:c r="T83" s="48"/>
    </x:row>
    <x:row r="84">
      <x:c r="A84" t="n">
        <x:f>Plan_Raw!A84</x:f>
        <x:v>132</x:v>
      </x:c>
      <x:c r="B84" t="str">
        <x:f>Plan_Raw!D84</x:f>
        <x:v>0488</x:v>
      </x:c>
      <x:c r="C84" t="str">
        <x:f>LEFT(Plan_Raw!B84,10)</x:f>
        <x:v>2025-01-04</x:v>
      </x:c>
      <x:c r="D84" t="str">
        <x:f>Plan_Raw!F84</x:f>
        <x:v>COMMN</x:v>
      </x:c>
      <x:c r="E84" t="str">
        <x:f>Plan_Raw!E84</x:f>
        <x:v>Commander (Police Department)</x:v>
      </x:c>
      <x:c r="F84" t="str">
        <x:f>Plan_Raw!C84</x:f>
        <x:v>0488A</x:v>
      </x:c>
      <x:c r="G84" s="50" t="n">
        <x:f>IF(Plan_Raw!G84="","",IFERROR(VALUE(Plan_Raw!G84),""))</x:f>
        <x:v>132.8</x:v>
      </x:c>
      <x:c r="H84" t="str">
        <x:f>Plan_Raw!AH84</x:f>
        <x:v>0488|COMMN|2025-01-04</x:v>
      </x:c>
      <x:c r="I84" t="n">
        <x:f>COUNTIF(Rates_Raw!$AF$5:$AF$464,H84)</x:f>
        <x:v>1</x:v>
      </x:c>
      <x:c r="J84" t="str">
        <x:f>IF(I84=1,_xlfn.XLOOKUP(H84,Rates_Raw!$AF$5:$AF$464,Rates_Raw!$E$5:$E$464,""),"")</x:f>
        <x:v>Commander (Police Department)</x:v>
      </x:c>
      <x:c r="K84" t="n">
        <x:f>IF(I84=1,_xlfn.XLOOKUP(H84,Rates_Raw!$AF$5:$AF$464,Rates_Raw!$F$5:$F$464,""),"")</x:f>
        <x:v>353</x:v>
      </x:c>
      <x:c r="L84" s="50" t="n">
        <x:f>IF(I84=1,IFERROR(VALUE(SUBSTITUTE(_xlfn.XLOOKUP(H84,Rates_Raw!$AF$5:$AF$464,Rates_Raw!$L$5:$L$464,""),"$","")),""),"")</x:f>
        <x:v>132.8</x:v>
      </x:c>
      <x:c r="M84" s="50" t="n">
        <x:f>IF(OR(G84="",L84=""),"",ROUND(G84-L84,4))</x:f>
        <x:v>0</x:v>
      </x:c>
      <x:c r="N84" t="str">
        <x:f>IF(I84=0,"NO MATCH",IF(I84&gt;1,"AMBIGUOUS",IF(EXACT(TRIM(E84),TRIM(J84)),"EXACT","TITLE VARIANT")))</x:f>
        <x:v>EXACT</x:v>
      </x:c>
      <x:c r="O84" t="str">
        <x:f>IF(I84&lt;&gt;1,"NOT TESTED",IF(OR(G84="",L84=""),"MISSING",IF(ABS(M84)&lt;=Guide!$B$16,"PASS","REVIEW")))</x:f>
        <x:v>PASS</x:v>
      </x:c>
      <x:c r="P84" s="52" t="n">
        <x:f>IF(I84=1,IFERROR(VALUE(SUBSTITUTE(SUBSTITUTE(_xlfn.XLOOKUP(H84,Rates_Raw!$AF$5:$AF$464,Rates_Raw!$I$5:$I$464,""),"$",""),",","")),""),"")</x:f>
        <x:v>10624</x:v>
      </x:c>
      <x:c r="Q84" s="52" t="n">
        <x:f>IF(P84="","",P84*Guide!$B$15)</x:f>
        <x:v>276224</x:v>
      </x:c>
      <x:c r="R84" t="str">
        <x:f>IF(I84=0,"UNMATCHED",IF(I84&gt;1,"DUPLICATE KEY",IF(OR(N84="TITLE VARIANT",O84="REVIEW",O84="MISSING"),"REVIEW","VERIFIED")))</x:f>
        <x:v>VERIFIED</x:v>
      </x:c>
      <x:c r="S84" s="46" t="str">
        <x:v>Not Reviewed</x:v>
      </x:c>
      <x:c r="T84" s="48"/>
    </x:row>
    <x:row r="85">
      <x:c r="A85" t="n">
        <x:f>Plan_Raw!A85</x:f>
        <x:v>133</x:v>
      </x:c>
      <x:c r="B85" t="str">
        <x:f>Plan_Raw!D85</x:f>
        <x:v>0488</x:v>
      </x:c>
      <x:c r="C85" t="str">
        <x:f>LEFT(Plan_Raw!B85,10)</x:f>
        <x:v>2025-07-01</x:v>
      </x:c>
      <x:c r="D85" t="str">
        <x:f>Plan_Raw!F85</x:f>
        <x:v>COMMN</x:v>
      </x:c>
      <x:c r="E85" t="str">
        <x:f>Plan_Raw!E85</x:f>
        <x:v>Commander (Police Department)</x:v>
      </x:c>
      <x:c r="F85" t="str">
        <x:f>Plan_Raw!C85</x:f>
        <x:v>0488B</x:v>
      </x:c>
      <x:c r="G85" s="50" t="n">
        <x:f>IF(Plan_Raw!G85="","",IFERROR(VALUE(Plan_Raw!G85),""))</x:f>
        <x:v>136.7875</x:v>
      </x:c>
      <x:c r="H85" t="str">
        <x:f>Plan_Raw!AH85</x:f>
        <x:v>0488|COMMN|2025-07-01</x:v>
      </x:c>
      <x:c r="I85" t="n">
        <x:f>COUNTIF(Rates_Raw!$AF$5:$AF$464,H85)</x:f>
        <x:v>1</x:v>
      </x:c>
      <x:c r="J85" t="str">
        <x:f>IF(I85=1,_xlfn.XLOOKUP(H85,Rates_Raw!$AF$5:$AF$464,Rates_Raw!$E$5:$E$464,""),"")</x:f>
        <x:v>Commander (Police Department)</x:v>
      </x:c>
      <x:c r="K85" t="n">
        <x:f>IF(I85=1,_xlfn.XLOOKUP(H85,Rates_Raw!$AF$5:$AF$464,Rates_Raw!$F$5:$F$464,""),"")</x:f>
        <x:v>353</x:v>
      </x:c>
      <x:c r="L85" s="50" t="n">
        <x:f>IF(I85=1,IFERROR(VALUE(SUBSTITUTE(_xlfn.XLOOKUP(H85,Rates_Raw!$AF$5:$AF$464,Rates_Raw!$L$5:$L$464,""),"$","")),""),"")</x:f>
        <x:v>136.7875</x:v>
      </x:c>
      <x:c r="M85" s="50" t="n">
        <x:f>IF(OR(G85="",L85=""),"",ROUND(G85-L85,4))</x:f>
        <x:v>0</x:v>
      </x:c>
      <x:c r="N85" t="str">
        <x:f>IF(I85=0,"NO MATCH",IF(I85&gt;1,"AMBIGUOUS",IF(EXACT(TRIM(E85),TRIM(J85)),"EXACT","TITLE VARIANT")))</x:f>
        <x:v>EXACT</x:v>
      </x:c>
      <x:c r="O85" t="str">
        <x:f>IF(I85&lt;&gt;1,"NOT TESTED",IF(OR(G85="",L85=""),"MISSING",IF(ABS(M85)&lt;=Guide!$B$16,"PASS","REVIEW")))</x:f>
        <x:v>PASS</x:v>
      </x:c>
      <x:c r="P85" s="52" t="n">
        <x:f>IF(I85=1,IFERROR(VALUE(SUBSTITUTE(SUBSTITUTE(_xlfn.XLOOKUP(H85,Rates_Raw!$AF$5:$AF$464,Rates_Raw!$I$5:$I$464,""),"$",""),",","")),""),"")</x:f>
        <x:v>10943</x:v>
      </x:c>
      <x:c r="Q85" s="52" t="n">
        <x:f>IF(P85="","",P85*Guide!$B$15)</x:f>
        <x:v>284518</x:v>
      </x:c>
      <x:c r="R85" t="str">
        <x:f>IF(I85=0,"UNMATCHED",IF(I85&gt;1,"DUPLICATE KEY",IF(OR(N85="TITLE VARIANT",O85="REVIEW",O85="MISSING"),"REVIEW","VERIFIED")))</x:f>
        <x:v>VERIFIED</x:v>
      </x:c>
      <x:c r="S85" s="46" t="str">
        <x:v>Not Reviewed</x:v>
      </x:c>
      <x:c r="T85" s="48"/>
    </x:row>
    <x:row r="86">
      <x:c r="A86" t="n">
        <x:f>Plan_Raw!A86</x:f>
        <x:v>134</x:v>
      </x:c>
      <x:c r="B86" t="str">
        <x:f>Plan_Raw!D86</x:f>
        <x:v>0488</x:v>
      </x:c>
      <x:c r="C86" t="str">
        <x:f>LEFT(Plan_Raw!B86,10)</x:f>
        <x:v>2026-01-03</x:v>
      </x:c>
      <x:c r="D86" t="str">
        <x:f>Plan_Raw!F86</x:f>
        <x:v>COMMN</x:v>
      </x:c>
      <x:c r="E86" t="str">
        <x:f>Plan_Raw!E86</x:f>
        <x:v>Commander (Police Department)</x:v>
      </x:c>
      <x:c r="F86" t="str">
        <x:f>Plan_Raw!C86</x:f>
        <x:v>0488C</x:v>
      </x:c>
      <x:c r="G86" s="50" t="n">
        <x:f>IF(Plan_Raw!G86="","",IFERROR(VALUE(Plan_Raw!G86),""))</x:f>
        <x:v>140.8875</x:v>
      </x:c>
      <x:c r="H86" t="str">
        <x:f>Plan_Raw!AH86</x:f>
        <x:v>0488|COMMN|2026-01-03</x:v>
      </x:c>
      <x:c r="I86" t="n">
        <x:f>COUNTIF(Rates_Raw!$AF$5:$AF$464,H86)</x:f>
        <x:v>1</x:v>
      </x:c>
      <x:c r="J86" t="str">
        <x:f>IF(I86=1,_xlfn.XLOOKUP(H86,Rates_Raw!$AF$5:$AF$464,Rates_Raw!$E$5:$E$464,""),"")</x:f>
        <x:v>Commander (Police Department)</x:v>
      </x:c>
      <x:c r="K86" t="n">
        <x:f>IF(I86=1,_xlfn.XLOOKUP(H86,Rates_Raw!$AF$5:$AF$464,Rates_Raw!$F$5:$F$464,""),"")</x:f>
        <x:v>353</x:v>
      </x:c>
      <x:c r="L86" s="50" t="n">
        <x:f>IF(I86=1,IFERROR(VALUE(SUBSTITUTE(_xlfn.XLOOKUP(H86,Rates_Raw!$AF$5:$AF$464,Rates_Raw!$L$5:$L$464,""),"$","")),""),"")</x:f>
        <x:v>140.8875</x:v>
      </x:c>
      <x:c r="M86" s="50" t="n">
        <x:f>IF(OR(G86="",L86=""),"",ROUND(G86-L86,4))</x:f>
        <x:v>0</x:v>
      </x:c>
      <x:c r="N86" t="str">
        <x:f>IF(I86=0,"NO MATCH",IF(I86&gt;1,"AMBIGUOUS",IF(EXACT(TRIM(E86),TRIM(J86)),"EXACT","TITLE VARIANT")))</x:f>
        <x:v>EXACT</x:v>
      </x:c>
      <x:c r="O86" t="str">
        <x:f>IF(I86&lt;&gt;1,"NOT TESTED",IF(OR(G86="",L86=""),"MISSING",IF(ABS(M86)&lt;=Guide!$B$16,"PASS","REVIEW")))</x:f>
        <x:v>PASS</x:v>
      </x:c>
      <x:c r="P86" s="52" t="n">
        <x:f>IF(I86=1,IFERROR(VALUE(SUBSTITUTE(SUBSTITUTE(_xlfn.XLOOKUP(H86,Rates_Raw!$AF$5:$AF$464,Rates_Raw!$I$5:$I$464,""),"$",""),",","")),""),"")</x:f>
        <x:v>11271</x:v>
      </x:c>
      <x:c r="Q86" s="52" t="n">
        <x:f>IF(P86="","",P86*Guide!$B$15)</x:f>
        <x:v>293046</x:v>
      </x:c>
      <x:c r="R86" t="str">
        <x:f>IF(I86=0,"UNMATCHED",IF(I86&gt;1,"DUPLICATE KEY",IF(OR(N86="TITLE VARIANT",O86="REVIEW",O86="MISSING"),"REVIEW","VERIFIED")))</x:f>
        <x:v>VERIFIED</x:v>
      </x:c>
      <x:c r="S86" s="46" t="str">
        <x:v>Not Reviewed</x:v>
      </x:c>
      <x:c r="T86" s="48"/>
    </x:row>
    <x:row r="87">
      <x:c r="A87" t="n">
        <x:f>Plan_Raw!A87</x:f>
        <x:v>135</x:v>
      </x:c>
      <x:c r="B87" t="str">
        <x:f>Plan_Raw!D87</x:f>
        <x:v>0488</x:v>
      </x:c>
      <x:c r="C87" t="str">
        <x:f>LEFT(Plan_Raw!B87,10)</x:f>
        <x:v>2026-07-01</x:v>
      </x:c>
      <x:c r="D87" t="str">
        <x:f>Plan_Raw!F87</x:f>
        <x:v>COMMN</x:v>
      </x:c>
      <x:c r="E87" t="str">
        <x:f>Plan_Raw!E87</x:f>
        <x:v>Commander (Police Department)</x:v>
      </x:c>
      <x:c r="F87" t="str">
        <x:f>Plan_Raw!C87</x:f>
        <x:v>0488D</x:v>
      </x:c>
      <x:c r="G87" s="50" t="n">
        <x:f>IF(Plan_Raw!G87="","",IFERROR(VALUE(Plan_Raw!G87),""))</x:f>
        <x:v>143.7</x:v>
      </x:c>
      <x:c r="H87" t="str">
        <x:f>Plan_Raw!AH87</x:f>
        <x:v>0488|COMMN|2026-07-01</x:v>
      </x:c>
      <x:c r="I87" t="n">
        <x:f>COUNTIF(Rates_Raw!$AF$5:$AF$464,H87)</x:f>
        <x:v>0</x:v>
      </x:c>
      <x:c r="J87" t="str">
        <x:f>IF(I87=1,_xlfn.XLOOKUP(H87,Rates_Raw!$AF$5:$AF$464,Rates_Raw!$E$5:$E$464,""),"")</x:f>
      </x:c>
      <x:c r="K87" t="str">
        <x:f>IF(I87=1,_xlfn.XLOOKUP(H87,Rates_Raw!$AF$5:$AF$464,Rates_Raw!$F$5:$F$464,""),"")</x:f>
      </x:c>
      <x:c r="L87" s="50" t="str">
        <x:f>IF(I87=1,IFERROR(VALUE(SUBSTITUTE(_xlfn.XLOOKUP(H87,Rates_Raw!$AF$5:$AF$464,Rates_Raw!$L$5:$L$464,""),"$","")),""),"")</x:f>
      </x:c>
      <x:c r="M87" s="50" t="str">
        <x:f>IF(OR(G87="",L87=""),"",ROUND(G87-L87,4))</x:f>
      </x:c>
      <x:c r="N87" t="str">
        <x:f>IF(I87=0,"NO MATCH",IF(I87&gt;1,"AMBIGUOUS",IF(EXACT(TRIM(E87),TRIM(J87)),"EXACT","TITLE VARIANT")))</x:f>
        <x:v>NO MATCH</x:v>
      </x:c>
      <x:c r="O87" t="str">
        <x:f>IF(I87&lt;&gt;1,"NOT TESTED",IF(OR(G87="",L87=""),"MISSING",IF(ABS(M87)&lt;=Guide!$B$16,"PASS","REVIEW")))</x:f>
        <x:v>NOT TESTED</x:v>
      </x:c>
      <x:c r="P87" s="52" t="str">
        <x:f>IF(I87=1,IFERROR(VALUE(SUBSTITUTE(SUBSTITUTE(_xlfn.XLOOKUP(H87,Rates_Raw!$AF$5:$AF$464,Rates_Raw!$I$5:$I$464,""),"$",""),",","")),""),"")</x:f>
      </x:c>
      <x:c r="Q87" s="52" t="str">
        <x:f>IF(P87="","",P87*Guide!$B$15)</x:f>
      </x:c>
      <x:c r="R87" t="str">
        <x:f>IF(I87=0,"UNMATCHED",IF(I87&gt;1,"DUPLICATE KEY",IF(OR(N87="TITLE VARIANT",O87="REVIEW",O87="MISSING"),"REVIEW","VERIFIED")))</x:f>
        <x:v>UNMATCHED</x:v>
      </x:c>
      <x:c r="S87" s="46" t="str">
        <x:v>Not Reviewed</x:v>
      </x:c>
      <x:c r="T87" s="48"/>
    </x:row>
    <x:row r="88">
      <x:c r="A88" t="n">
        <x:f>Plan_Raw!A88</x:f>
        <x:v>140</x:v>
      </x:c>
      <x:c r="B88" t="str">
        <x:f>Plan_Raw!D88</x:f>
        <x:v>0489</x:v>
      </x:c>
      <x:c r="C88" t="str">
        <x:f>LEFT(Plan_Raw!B88,10)</x:f>
        <x:v>2024-01-06</x:v>
      </x:c>
      <x:c r="D88" t="str">
        <x:f>Plan_Raw!F88</x:f>
        <x:v>COMMN</x:v>
      </x:c>
      <x:c r="E88" t="str">
        <x:f>Plan_Raw!E88</x:f>
        <x:v>Commander 2</x:v>
      </x:c>
      <x:c r="F88" t="str">
        <x:f>Plan_Raw!C88</x:f>
        <x:v>0489Y</x:v>
      </x:c>
      <x:c r="G88" s="50" t="n">
        <x:f>IF(Plan_Raw!G88="","",IFERROR(VALUE(Plan_Raw!G88),""))</x:f>
        <x:v>134.025</x:v>
      </x:c>
      <x:c r="H88" t="str">
        <x:f>Plan_Raw!AH88</x:f>
        <x:v>0489|COMMN|2024-01-06</x:v>
      </x:c>
      <x:c r="I88" t="n">
        <x:f>COUNTIF(Rates_Raw!$AF$5:$AF$464,H88)</x:f>
        <x:v>1</x:v>
      </x:c>
      <x:c r="J88" t="str">
        <x:f>IF(I88=1,_xlfn.XLOOKUP(H88,Rates_Raw!$AF$5:$AF$464,Rates_Raw!$E$5:$E$464,""),"")</x:f>
        <x:v>Commander 2</x:v>
      </x:c>
      <x:c r="K88" t="n">
        <x:f>IF(I88=1,_xlfn.XLOOKUP(H88,Rates_Raw!$AF$5:$AF$464,Rates_Raw!$F$5:$F$464,""),"")</x:f>
        <x:v>353</x:v>
      </x:c>
      <x:c r="L88" s="50" t="n">
        <x:f>IF(I88=1,IFERROR(VALUE(SUBSTITUTE(_xlfn.XLOOKUP(H88,Rates_Raw!$AF$5:$AF$464,Rates_Raw!$L$5:$L$464,""),"$","")),""),"")</x:f>
        <x:v>134.025</x:v>
      </x:c>
      <x:c r="M88" s="50" t="n">
        <x:f>IF(OR(G88="",L88=""),"",ROUND(G88-L88,4))</x:f>
        <x:v>0</x:v>
      </x:c>
      <x:c r="N88" t="str">
        <x:f>IF(I88=0,"NO MATCH",IF(I88&gt;1,"AMBIGUOUS",IF(EXACT(TRIM(E88),TRIM(J88)),"EXACT","TITLE VARIANT")))</x:f>
        <x:v>EXACT</x:v>
      </x:c>
      <x:c r="O88" t="str">
        <x:f>IF(I88&lt;&gt;1,"NOT TESTED",IF(OR(G88="",L88=""),"MISSING",IF(ABS(M88)&lt;=Guide!$B$16,"PASS","REVIEW")))</x:f>
        <x:v>PASS</x:v>
      </x:c>
      <x:c r="P88" s="52" t="n">
        <x:f>IF(I88=1,IFERROR(VALUE(SUBSTITUTE(SUBSTITUTE(_xlfn.XLOOKUP(H88,Rates_Raw!$AF$5:$AF$464,Rates_Raw!$I$5:$I$464,""),"$",""),",","")),""),"")</x:f>
        <x:v>10722</x:v>
      </x:c>
      <x:c r="Q88" s="52" t="n">
        <x:f>IF(P88="","",P88*Guide!$B$15)</x:f>
        <x:v>278772</x:v>
      </x:c>
      <x:c r="R88" t="str">
        <x:f>IF(I88=0,"UNMATCHED",IF(I88&gt;1,"DUPLICATE KEY",IF(OR(N88="TITLE VARIANT",O88="REVIEW",O88="MISSING"),"REVIEW","VERIFIED")))</x:f>
        <x:v>VERIFIED</x:v>
      </x:c>
      <x:c r="S88" s="46" t="str">
        <x:v>Not Reviewed</x:v>
      </x:c>
      <x:c r="T88" s="48"/>
    </x:row>
    <x:row r="89">
      <x:c r="A89" t="n">
        <x:f>Plan_Raw!A89</x:f>
        <x:v>141</x:v>
      </x:c>
      <x:c r="B89" t="str">
        <x:f>Plan_Raw!D89</x:f>
        <x:v>0489</x:v>
      </x:c>
      <x:c r="C89" t="str">
        <x:f>LEFT(Plan_Raw!B89,10)</x:f>
        <x:v>2024-07-01</x:v>
      </x:c>
      <x:c r="D89" t="str">
        <x:f>Plan_Raw!F89</x:f>
        <x:v>COMMN</x:v>
      </x:c>
      <x:c r="E89" t="str">
        <x:f>Plan_Raw!E89</x:f>
        <x:v>Commander 2</x:v>
      </x:c>
      <x:c r="F89" t="str">
        <x:f>Plan_Raw!C89</x:f>
        <x:v>0489Z</x:v>
      </x:c>
      <x:c r="G89" s="50" t="n">
        <x:f>IF(Plan_Raw!G89="","",IFERROR(VALUE(Plan_Raw!G89),""))</x:f>
        <x:v>136.7</x:v>
      </x:c>
      <x:c r="H89" t="str">
        <x:f>Plan_Raw!AH89</x:f>
        <x:v>0489|COMMN|2024-07-01</x:v>
      </x:c>
      <x:c r="I89" t="n">
        <x:f>COUNTIF(Rates_Raw!$AF$5:$AF$464,H89)</x:f>
        <x:v>1</x:v>
      </x:c>
      <x:c r="J89" t="str">
        <x:f>IF(I89=1,_xlfn.XLOOKUP(H89,Rates_Raw!$AF$5:$AF$464,Rates_Raw!$E$5:$E$464,""),"")</x:f>
        <x:v>Commander 2</x:v>
      </x:c>
      <x:c r="K89" t="n">
        <x:f>IF(I89=1,_xlfn.XLOOKUP(H89,Rates_Raw!$AF$5:$AF$464,Rates_Raw!$F$5:$F$464,""),"")</x:f>
        <x:v>353</x:v>
      </x:c>
      <x:c r="L89" s="50" t="n">
        <x:f>IF(I89=1,IFERROR(VALUE(SUBSTITUTE(_xlfn.XLOOKUP(H89,Rates_Raw!$AF$5:$AF$464,Rates_Raw!$L$5:$L$464,""),"$","")),""),"")</x:f>
        <x:v>136.7</x:v>
      </x:c>
      <x:c r="M89" s="50" t="n">
        <x:f>IF(OR(G89="",L89=""),"",ROUND(G89-L89,4))</x:f>
        <x:v>0</x:v>
      </x:c>
      <x:c r="N89" t="str">
        <x:f>IF(I89=0,"NO MATCH",IF(I89&gt;1,"AMBIGUOUS",IF(EXACT(TRIM(E89),TRIM(J89)),"EXACT","TITLE VARIANT")))</x:f>
        <x:v>EXACT</x:v>
      </x:c>
      <x:c r="O89" t="str">
        <x:f>IF(I89&lt;&gt;1,"NOT TESTED",IF(OR(G89="",L89=""),"MISSING",IF(ABS(M89)&lt;=Guide!$B$16,"PASS","REVIEW")))</x:f>
        <x:v>PASS</x:v>
      </x:c>
      <x:c r="P89" s="52" t="n">
        <x:f>IF(I89=1,IFERROR(VALUE(SUBSTITUTE(SUBSTITUTE(_xlfn.XLOOKUP(H89,Rates_Raw!$AF$5:$AF$464,Rates_Raw!$I$5:$I$464,""),"$",""),",","")),""),"")</x:f>
        <x:v>10936</x:v>
      </x:c>
      <x:c r="Q89" s="52" t="n">
        <x:f>IF(P89="","",P89*Guide!$B$15)</x:f>
        <x:v>284336</x:v>
      </x:c>
      <x:c r="R89" t="str">
        <x:f>IF(I89=0,"UNMATCHED",IF(I89&gt;1,"DUPLICATE KEY",IF(OR(N89="TITLE VARIANT",O89="REVIEW",O89="MISSING"),"REVIEW","VERIFIED")))</x:f>
        <x:v>VERIFIED</x:v>
      </x:c>
      <x:c r="S89" s="46" t="str">
        <x:v>Not Reviewed</x:v>
      </x:c>
      <x:c r="T89" s="48"/>
    </x:row>
    <x:row r="90">
      <x:c r="A90" t="n">
        <x:f>Plan_Raw!A90</x:f>
        <x:v>142</x:v>
      </x:c>
      <x:c r="B90" t="str">
        <x:f>Plan_Raw!D90</x:f>
        <x:v>0489</x:v>
      </x:c>
      <x:c r="C90" t="str">
        <x:f>LEFT(Plan_Raw!B90,10)</x:f>
        <x:v>2025-01-04</x:v>
      </x:c>
      <x:c r="D90" t="str">
        <x:f>Plan_Raw!F90</x:f>
        <x:v>COMMN</x:v>
      </x:c>
      <x:c r="E90" t="str">
        <x:f>Plan_Raw!E90</x:f>
        <x:v>Commander 2</x:v>
      </x:c>
      <x:c r="F90" t="str">
        <x:f>Plan_Raw!C90</x:f>
        <x:v>0489A</x:v>
      </x:c>
      <x:c r="G90" s="50" t="n">
        <x:f>IF(Plan_Raw!G90="","",IFERROR(VALUE(Plan_Raw!G90),""))</x:f>
        <x:v>140.8</x:v>
      </x:c>
      <x:c r="H90" t="str">
        <x:f>Plan_Raw!AH90</x:f>
        <x:v>0489|COMMN|2025-01-04</x:v>
      </x:c>
      <x:c r="I90" t="n">
        <x:f>COUNTIF(Rates_Raw!$AF$5:$AF$464,H90)</x:f>
        <x:v>1</x:v>
      </x:c>
      <x:c r="J90" t="str">
        <x:f>IF(I90=1,_xlfn.XLOOKUP(H90,Rates_Raw!$AF$5:$AF$464,Rates_Raw!$E$5:$E$464,""),"")</x:f>
        <x:v>Commander 2</x:v>
      </x:c>
      <x:c r="K90" t="n">
        <x:f>IF(I90=1,_xlfn.XLOOKUP(H90,Rates_Raw!$AF$5:$AF$464,Rates_Raw!$F$5:$F$464,""),"")</x:f>
        <x:v>353</x:v>
      </x:c>
      <x:c r="L90" s="50" t="n">
        <x:f>IF(I90=1,IFERROR(VALUE(SUBSTITUTE(_xlfn.XLOOKUP(H90,Rates_Raw!$AF$5:$AF$464,Rates_Raw!$L$5:$L$464,""),"$","")),""),"")</x:f>
        <x:v>140.8</x:v>
      </x:c>
      <x:c r="M90" s="50" t="n">
        <x:f>IF(OR(G90="",L90=""),"",ROUND(G90-L90,4))</x:f>
        <x:v>0</x:v>
      </x:c>
      <x:c r="N90" t="str">
        <x:f>IF(I90=0,"NO MATCH",IF(I90&gt;1,"AMBIGUOUS",IF(EXACT(TRIM(E90),TRIM(J90)),"EXACT","TITLE VARIANT")))</x:f>
        <x:v>EXACT</x:v>
      </x:c>
      <x:c r="O90" t="str">
        <x:f>IF(I90&lt;&gt;1,"NOT TESTED",IF(OR(G90="",L90=""),"MISSING",IF(ABS(M90)&lt;=Guide!$B$16,"PASS","REVIEW")))</x:f>
        <x:v>PASS</x:v>
      </x:c>
      <x:c r="P90" s="52" t="n">
        <x:f>IF(I90=1,IFERROR(VALUE(SUBSTITUTE(SUBSTITUTE(_xlfn.XLOOKUP(H90,Rates_Raw!$AF$5:$AF$464,Rates_Raw!$I$5:$I$464,""),"$",""),",","")),""),"")</x:f>
        <x:v>11264</x:v>
      </x:c>
      <x:c r="Q90" s="52" t="n">
        <x:f>IF(P90="","",P90*Guide!$B$15)</x:f>
        <x:v>292864</x:v>
      </x:c>
      <x:c r="R90" t="str">
        <x:f>IF(I90=0,"UNMATCHED",IF(I90&gt;1,"DUPLICATE KEY",IF(OR(N90="TITLE VARIANT",O90="REVIEW",O90="MISSING"),"REVIEW","VERIFIED")))</x:f>
        <x:v>VERIFIED</x:v>
      </x:c>
      <x:c r="S90" s="46" t="str">
        <x:v>Not Reviewed</x:v>
      </x:c>
      <x:c r="T90" s="48"/>
    </x:row>
    <x:row r="91">
      <x:c r="A91" t="n">
        <x:f>Plan_Raw!A91</x:f>
        <x:v>143</x:v>
      </x:c>
      <x:c r="B91" t="str">
        <x:f>Plan_Raw!D91</x:f>
        <x:v>0489</x:v>
      </x:c>
      <x:c r="C91" t="str">
        <x:f>LEFT(Plan_Raw!B91,10)</x:f>
        <x:v>2025-07-01</x:v>
      </x:c>
      <x:c r="D91" t="str">
        <x:f>Plan_Raw!F91</x:f>
        <x:v>COMMN</x:v>
      </x:c>
      <x:c r="E91" t="str">
        <x:f>Plan_Raw!E91</x:f>
        <x:v>Commander 2</x:v>
      </x:c>
      <x:c r="F91" t="str">
        <x:f>Plan_Raw!C91</x:f>
        <x:v>0489B</x:v>
      </x:c>
      <x:c r="G91" s="50" t="n">
        <x:f>IF(Plan_Raw!G91="","",IFERROR(VALUE(Plan_Raw!G91),""))</x:f>
        <x:v>145.025</x:v>
      </x:c>
      <x:c r="H91" t="str">
        <x:f>Plan_Raw!AH91</x:f>
        <x:v>0489|COMMN|2025-07-01</x:v>
      </x:c>
      <x:c r="I91" t="n">
        <x:f>COUNTIF(Rates_Raw!$AF$5:$AF$464,H91)</x:f>
        <x:v>1</x:v>
      </x:c>
      <x:c r="J91" t="str">
        <x:f>IF(I91=1,_xlfn.XLOOKUP(H91,Rates_Raw!$AF$5:$AF$464,Rates_Raw!$E$5:$E$464,""),"")</x:f>
        <x:v>Commander 2</x:v>
      </x:c>
      <x:c r="K91" t="n">
        <x:f>IF(I91=1,_xlfn.XLOOKUP(H91,Rates_Raw!$AF$5:$AF$464,Rates_Raw!$F$5:$F$464,""),"")</x:f>
        <x:v>353</x:v>
      </x:c>
      <x:c r="L91" s="50" t="n">
        <x:f>IF(I91=1,IFERROR(VALUE(SUBSTITUTE(_xlfn.XLOOKUP(H91,Rates_Raw!$AF$5:$AF$464,Rates_Raw!$L$5:$L$464,""),"$","")),""),"")</x:f>
        <x:v>145.025</x:v>
      </x:c>
      <x:c r="M91" s="50" t="n">
        <x:f>IF(OR(G91="",L91=""),"",ROUND(G91-L91,4))</x:f>
        <x:v>0</x:v>
      </x:c>
      <x:c r="N91" t="str">
        <x:f>IF(I91=0,"NO MATCH",IF(I91&gt;1,"AMBIGUOUS",IF(EXACT(TRIM(E91),TRIM(J91)),"EXACT","TITLE VARIANT")))</x:f>
        <x:v>EXACT</x:v>
      </x:c>
      <x:c r="O91" t="str">
        <x:f>IF(I91&lt;&gt;1,"NOT TESTED",IF(OR(G91="",L91=""),"MISSING",IF(ABS(M91)&lt;=Guide!$B$16,"PASS","REVIEW")))</x:f>
        <x:v>PASS</x:v>
      </x:c>
      <x:c r="P91" s="52" t="n">
        <x:f>IF(I91=1,IFERROR(VALUE(SUBSTITUTE(SUBSTITUTE(_xlfn.XLOOKUP(H91,Rates_Raw!$AF$5:$AF$464,Rates_Raw!$I$5:$I$464,""),"$",""),",","")),""),"")</x:f>
        <x:v>11602</x:v>
      </x:c>
      <x:c r="Q91" s="52" t="n">
        <x:f>IF(P91="","",P91*Guide!$B$15)</x:f>
        <x:v>301652</x:v>
      </x:c>
      <x:c r="R91" t="str">
        <x:f>IF(I91=0,"UNMATCHED",IF(I91&gt;1,"DUPLICATE KEY",IF(OR(N91="TITLE VARIANT",O91="REVIEW",O91="MISSING"),"REVIEW","VERIFIED")))</x:f>
        <x:v>VERIFIED</x:v>
      </x:c>
      <x:c r="S91" s="46" t="str">
        <x:v>Not Reviewed</x:v>
      </x:c>
      <x:c r="T91" s="48"/>
    </x:row>
    <x:row r="92">
      <x:c r="A92" t="n">
        <x:f>Plan_Raw!A92</x:f>
        <x:v>144</x:v>
      </x:c>
      <x:c r="B92" t="str">
        <x:f>Plan_Raw!D92</x:f>
        <x:v>0489</x:v>
      </x:c>
      <x:c r="C92" t="str">
        <x:f>LEFT(Plan_Raw!B92,10)</x:f>
        <x:v>2026-01-03</x:v>
      </x:c>
      <x:c r="D92" t="str">
        <x:f>Plan_Raw!F92</x:f>
        <x:v>COMMN</x:v>
      </x:c>
      <x:c r="E92" t="str">
        <x:f>Plan_Raw!E92</x:f>
        <x:v>Commander 2</x:v>
      </x:c>
      <x:c r="F92" t="str">
        <x:f>Plan_Raw!C92</x:f>
        <x:v>0489C</x:v>
      </x:c>
      <x:c r="G92" s="50" t="n">
        <x:f>IF(Plan_Raw!G92="","",IFERROR(VALUE(Plan_Raw!G92),""))</x:f>
        <x:v>149.375</x:v>
      </x:c>
      <x:c r="H92" t="str">
        <x:f>Plan_Raw!AH92</x:f>
        <x:v>0489|COMMN|2026-01-03</x:v>
      </x:c>
      <x:c r="I92" t="n">
        <x:f>COUNTIF(Rates_Raw!$AF$5:$AF$464,H92)</x:f>
        <x:v>1</x:v>
      </x:c>
      <x:c r="J92" t="str">
        <x:f>IF(I92=1,_xlfn.XLOOKUP(H92,Rates_Raw!$AF$5:$AF$464,Rates_Raw!$E$5:$E$464,""),"")</x:f>
        <x:v>Commander 2</x:v>
      </x:c>
      <x:c r="K92" t="n">
        <x:f>IF(I92=1,_xlfn.XLOOKUP(H92,Rates_Raw!$AF$5:$AF$464,Rates_Raw!$F$5:$F$464,""),"")</x:f>
        <x:v>353</x:v>
      </x:c>
      <x:c r="L92" s="50" t="n">
        <x:f>IF(I92=1,IFERROR(VALUE(SUBSTITUTE(_xlfn.XLOOKUP(H92,Rates_Raw!$AF$5:$AF$464,Rates_Raw!$L$5:$L$464,""),"$","")),""),"")</x:f>
        <x:v>149.375</x:v>
      </x:c>
      <x:c r="M92" s="50" t="n">
        <x:f>IF(OR(G92="",L92=""),"",ROUND(G92-L92,4))</x:f>
        <x:v>0</x:v>
      </x:c>
      <x:c r="N92" t="str">
        <x:f>IF(I92=0,"NO MATCH",IF(I92&gt;1,"AMBIGUOUS",IF(EXACT(TRIM(E92),TRIM(J92)),"EXACT","TITLE VARIANT")))</x:f>
        <x:v>EXACT</x:v>
      </x:c>
      <x:c r="O92" t="str">
        <x:f>IF(I92&lt;&gt;1,"NOT TESTED",IF(OR(G92="",L92=""),"MISSING",IF(ABS(M92)&lt;=Guide!$B$16,"PASS","REVIEW")))</x:f>
        <x:v>PASS</x:v>
      </x:c>
      <x:c r="P92" s="52" t="n">
        <x:f>IF(I92=1,IFERROR(VALUE(SUBSTITUTE(SUBSTITUTE(_xlfn.XLOOKUP(H92,Rates_Raw!$AF$5:$AF$464,Rates_Raw!$I$5:$I$464,""),"$",""),",","")),""),"")</x:f>
        <x:v>11950</x:v>
      </x:c>
      <x:c r="Q92" s="52" t="n">
        <x:f>IF(P92="","",P92*Guide!$B$15)</x:f>
        <x:v>310700</x:v>
      </x:c>
      <x:c r="R92" t="str">
        <x:f>IF(I92=0,"UNMATCHED",IF(I92&gt;1,"DUPLICATE KEY",IF(OR(N92="TITLE VARIANT",O92="REVIEW",O92="MISSING"),"REVIEW","VERIFIED")))</x:f>
        <x:v>VERIFIED</x:v>
      </x:c>
      <x:c r="S92" s="46" t="str">
        <x:v>Not Reviewed</x:v>
      </x:c>
      <x:c r="T92" s="48"/>
    </x:row>
    <x:row r="93">
      <x:c r="A93" t="n">
        <x:f>Plan_Raw!A93</x:f>
        <x:v>145</x:v>
      </x:c>
      <x:c r="B93" t="str">
        <x:f>Plan_Raw!D93</x:f>
        <x:v>0489</x:v>
      </x:c>
      <x:c r="C93" t="str">
        <x:f>LEFT(Plan_Raw!B93,10)</x:f>
        <x:v>2026-07-01</x:v>
      </x:c>
      <x:c r="D93" t="str">
        <x:f>Plan_Raw!F93</x:f>
        <x:v>COMMN</x:v>
      </x:c>
      <x:c r="E93" t="str">
        <x:f>Plan_Raw!E93</x:f>
        <x:v>Commander 2</x:v>
      </x:c>
      <x:c r="F93" t="str">
        <x:f>Plan_Raw!C93</x:f>
        <x:v>0489D</x:v>
      </x:c>
      <x:c r="G93" s="50" t="n">
        <x:f>IF(Plan_Raw!G93="","",IFERROR(VALUE(Plan_Raw!G93),""))</x:f>
        <x:v>152.3625</x:v>
      </x:c>
      <x:c r="H93" t="str">
        <x:f>Plan_Raw!AH93</x:f>
        <x:v>0489|COMMN|2026-07-01</x:v>
      </x:c>
      <x:c r="I93" t="n">
        <x:f>COUNTIF(Rates_Raw!$AF$5:$AF$464,H93)</x:f>
        <x:v>0</x:v>
      </x:c>
      <x:c r="J93" t="str">
        <x:f>IF(I93=1,_xlfn.XLOOKUP(H93,Rates_Raw!$AF$5:$AF$464,Rates_Raw!$E$5:$E$464,""),"")</x:f>
      </x:c>
      <x:c r="K93" t="str">
        <x:f>IF(I93=1,_xlfn.XLOOKUP(H93,Rates_Raw!$AF$5:$AF$464,Rates_Raw!$F$5:$F$464,""),"")</x:f>
      </x:c>
      <x:c r="L93" s="50" t="str">
        <x:f>IF(I93=1,IFERROR(VALUE(SUBSTITUTE(_xlfn.XLOOKUP(H93,Rates_Raw!$AF$5:$AF$464,Rates_Raw!$L$5:$L$464,""),"$","")),""),"")</x:f>
      </x:c>
      <x:c r="M93" s="50" t="str">
        <x:f>IF(OR(G93="",L93=""),"",ROUND(G93-L93,4))</x:f>
      </x:c>
      <x:c r="N93" t="str">
        <x:f>IF(I93=0,"NO MATCH",IF(I93&gt;1,"AMBIGUOUS",IF(EXACT(TRIM(E93),TRIM(J93)),"EXACT","TITLE VARIANT")))</x:f>
        <x:v>NO MATCH</x:v>
      </x:c>
      <x:c r="O93" t="str">
        <x:f>IF(I93&lt;&gt;1,"NOT TESTED",IF(OR(G93="",L93=""),"MISSING",IF(ABS(M93)&lt;=Guide!$B$16,"PASS","REVIEW")))</x:f>
        <x:v>NOT TESTED</x:v>
      </x:c>
      <x:c r="P93" s="52" t="str">
        <x:f>IF(I93=1,IFERROR(VALUE(SUBSTITUTE(SUBSTITUTE(_xlfn.XLOOKUP(H93,Rates_Raw!$AF$5:$AF$464,Rates_Raw!$I$5:$I$464,""),"$",""),",","")),""),"")</x:f>
      </x:c>
      <x:c r="Q93" s="52" t="str">
        <x:f>IF(P93="","",P93*Guide!$B$15)</x:f>
      </x:c>
      <x:c r="R93" t="str">
        <x:f>IF(I93=0,"UNMATCHED",IF(I93&gt;1,"DUPLICATE KEY",IF(OR(N93="TITLE VARIANT",O93="REVIEW",O93="MISSING"),"REVIEW","VERIFIED")))</x:f>
        <x:v>UNMATCHED</x:v>
      </x:c>
      <x:c r="S93" s="46" t="str">
        <x:v>Not Reviewed</x:v>
      </x:c>
      <x:c r="T93" s="48"/>
    </x:row>
    <x:row r="94">
      <x:c r="A94" t="n">
        <x:f>Plan_Raw!A94</x:f>
        <x:v>150</x:v>
      </x:c>
      <x:c r="B94" t="str">
        <x:f>Plan_Raw!D94</x:f>
        <x:v>0490</x:v>
      </x:c>
      <x:c r="C94" t="str">
        <x:f>LEFT(Plan_Raw!B94,10)</x:f>
        <x:v>2024-01-06</x:v>
      </x:c>
      <x:c r="D94" t="str">
        <x:f>Plan_Raw!F94</x:f>
        <x:v>COMMN</x:v>
      </x:c>
      <x:c r="E94" t="str">
        <x:f>Plan_Raw!E94</x:f>
        <x:v>Commander III</x:v>
      </x:c>
      <x:c r="F94" t="str">
        <x:f>Plan_Raw!C94</x:f>
        <x:v>0490Y</x:v>
      </x:c>
      <x:c r="G94" s="50" t="n">
        <x:f>IF(Plan_Raw!G94="","",IFERROR(VALUE(Plan_Raw!G94),""))</x:f>
        <x:v>136.5625</x:v>
      </x:c>
      <x:c r="H94" t="str">
        <x:f>Plan_Raw!AH94</x:f>
        <x:v>0490|COMMN|2024-01-06</x:v>
      </x:c>
      <x:c r="I94" t="n">
        <x:f>COUNTIF(Rates_Raw!$AF$5:$AF$464,H94)</x:f>
        <x:v>1</x:v>
      </x:c>
      <x:c r="J94" t="str">
        <x:f>IF(I94=1,_xlfn.XLOOKUP(H94,Rates_Raw!$AF$5:$AF$464,Rates_Raw!$E$5:$E$464,""),"")</x:f>
        <x:v>Commander III</x:v>
      </x:c>
      <x:c r="K94" t="n">
        <x:f>IF(I94=1,_xlfn.XLOOKUP(H94,Rates_Raw!$AF$5:$AF$464,Rates_Raw!$F$5:$F$464,""),"")</x:f>
        <x:v>353</x:v>
      </x:c>
      <x:c r="L94" s="50" t="n">
        <x:f>IF(I94=1,IFERROR(VALUE(SUBSTITUTE(_xlfn.XLOOKUP(H94,Rates_Raw!$AF$5:$AF$464,Rates_Raw!$L$5:$L$464,""),"$","")),""),"")</x:f>
        <x:v>136.5625</x:v>
      </x:c>
      <x:c r="M94" s="50" t="n">
        <x:f>IF(OR(G94="",L94=""),"",ROUND(G94-L94,4))</x:f>
        <x:v>0</x:v>
      </x:c>
      <x:c r="N94" t="str">
        <x:f>IF(I94=0,"NO MATCH",IF(I94&gt;1,"AMBIGUOUS",IF(EXACT(TRIM(E94),TRIM(J94)),"EXACT","TITLE VARIANT")))</x:f>
        <x:v>EXACT</x:v>
      </x:c>
      <x:c r="O94" t="str">
        <x:f>IF(I94&lt;&gt;1,"NOT TESTED",IF(OR(G94="",L94=""),"MISSING",IF(ABS(M94)&lt;=Guide!$B$16,"PASS","REVIEW")))</x:f>
        <x:v>PASS</x:v>
      </x:c>
      <x:c r="P94" s="52" t="n">
        <x:f>IF(I94=1,IFERROR(VALUE(SUBSTITUTE(SUBSTITUTE(_xlfn.XLOOKUP(H94,Rates_Raw!$AF$5:$AF$464,Rates_Raw!$I$5:$I$464,""),"$",""),",","")),""),"")</x:f>
        <x:v>10925</x:v>
      </x:c>
      <x:c r="Q94" s="52" t="n">
        <x:f>IF(P94="","",P94*Guide!$B$15)</x:f>
        <x:v>284050</x:v>
      </x:c>
      <x:c r="R94" t="str">
        <x:f>IF(I94=0,"UNMATCHED",IF(I94&gt;1,"DUPLICATE KEY",IF(OR(N94="TITLE VARIANT",O94="REVIEW",O94="MISSING"),"REVIEW","VERIFIED")))</x:f>
        <x:v>VERIFIED</x:v>
      </x:c>
      <x:c r="S94" s="46" t="str">
        <x:v>Not Reviewed</x:v>
      </x:c>
      <x:c r="T94" s="48"/>
    </x:row>
    <x:row r="95">
      <x:c r="A95" t="n">
        <x:f>Plan_Raw!A95</x:f>
        <x:v>151</x:v>
      </x:c>
      <x:c r="B95" t="str">
        <x:f>Plan_Raw!D95</x:f>
        <x:v>0490</x:v>
      </x:c>
      <x:c r="C95" t="str">
        <x:f>LEFT(Plan_Raw!B95,10)</x:f>
        <x:v>2024-07-01</x:v>
      </x:c>
      <x:c r="D95" t="str">
        <x:f>Plan_Raw!F95</x:f>
        <x:v>COMMN</x:v>
      </x:c>
      <x:c r="E95" t="str">
        <x:f>Plan_Raw!E95</x:f>
        <x:v>Commander III</x:v>
      </x:c>
      <x:c r="F95" t="str">
        <x:f>Plan_Raw!C95</x:f>
        <x:v>0490Z</x:v>
      </x:c>
      <x:c r="G95" s="50" t="n">
        <x:f>IF(Plan_Raw!G95="","",IFERROR(VALUE(Plan_Raw!G95),""))</x:f>
        <x:v>139.3</x:v>
      </x:c>
      <x:c r="H95" t="str">
        <x:f>Plan_Raw!AH95</x:f>
        <x:v>0490|COMMN|2024-07-01</x:v>
      </x:c>
      <x:c r="I95" t="n">
        <x:f>COUNTIF(Rates_Raw!$AF$5:$AF$464,H95)</x:f>
        <x:v>1</x:v>
      </x:c>
      <x:c r="J95" t="str">
        <x:f>IF(I95=1,_xlfn.XLOOKUP(H95,Rates_Raw!$AF$5:$AF$464,Rates_Raw!$E$5:$E$464,""),"")</x:f>
        <x:v>Commander III</x:v>
      </x:c>
      <x:c r="K95" t="n">
        <x:f>IF(I95=1,_xlfn.XLOOKUP(H95,Rates_Raw!$AF$5:$AF$464,Rates_Raw!$F$5:$F$464,""),"")</x:f>
        <x:v>353</x:v>
      </x:c>
      <x:c r="L95" s="50" t="n">
        <x:f>IF(I95=1,IFERROR(VALUE(SUBSTITUTE(_xlfn.XLOOKUP(H95,Rates_Raw!$AF$5:$AF$464,Rates_Raw!$L$5:$L$464,""),"$","")),""),"")</x:f>
        <x:v>139.3</x:v>
      </x:c>
      <x:c r="M95" s="50" t="n">
        <x:f>IF(OR(G95="",L95=""),"",ROUND(G95-L95,4))</x:f>
        <x:v>0</x:v>
      </x:c>
      <x:c r="N95" t="str">
        <x:f>IF(I95=0,"NO MATCH",IF(I95&gt;1,"AMBIGUOUS",IF(EXACT(TRIM(E95),TRIM(J95)),"EXACT","TITLE VARIANT")))</x:f>
        <x:v>EXACT</x:v>
      </x:c>
      <x:c r="O95" t="str">
        <x:f>IF(I95&lt;&gt;1,"NOT TESTED",IF(OR(G95="",L95=""),"MISSING",IF(ABS(M95)&lt;=Guide!$B$16,"PASS","REVIEW")))</x:f>
        <x:v>PASS</x:v>
      </x:c>
      <x:c r="P95" s="52" t="n">
        <x:f>IF(I95=1,IFERROR(VALUE(SUBSTITUTE(SUBSTITUTE(_xlfn.XLOOKUP(H95,Rates_Raw!$AF$5:$AF$464,Rates_Raw!$I$5:$I$464,""),"$",""),",","")),""),"")</x:f>
        <x:v>11144</x:v>
      </x:c>
      <x:c r="Q95" s="52" t="n">
        <x:f>IF(P95="","",P95*Guide!$B$15)</x:f>
        <x:v>289744</x:v>
      </x:c>
      <x:c r="R95" t="str">
        <x:f>IF(I95=0,"UNMATCHED",IF(I95&gt;1,"DUPLICATE KEY",IF(OR(N95="TITLE VARIANT",O95="REVIEW",O95="MISSING"),"REVIEW","VERIFIED")))</x:f>
        <x:v>VERIFIED</x:v>
      </x:c>
      <x:c r="S95" s="46" t="str">
        <x:v>Not Reviewed</x:v>
      </x:c>
      <x:c r="T95" s="48"/>
    </x:row>
    <x:row r="96">
      <x:c r="A96" t="n">
        <x:f>Plan_Raw!A96</x:f>
        <x:v>152</x:v>
      </x:c>
      <x:c r="B96" t="str">
        <x:f>Plan_Raw!D96</x:f>
        <x:v>0490</x:v>
      </x:c>
      <x:c r="C96" t="str">
        <x:f>LEFT(Plan_Raw!B96,10)</x:f>
        <x:v>2025-01-04</x:v>
      </x:c>
      <x:c r="D96" t="str">
        <x:f>Plan_Raw!F96</x:f>
        <x:v>COMMN</x:v>
      </x:c>
      <x:c r="E96" t="str">
        <x:f>Plan_Raw!E96</x:f>
        <x:v>Commander III</x:v>
      </x:c>
      <x:c r="F96" t="str">
        <x:f>Plan_Raw!C96</x:f>
        <x:v>0490A</x:v>
      </x:c>
      <x:c r="G96" s="50" t="n">
        <x:f>IF(Plan_Raw!G96="","",IFERROR(VALUE(Plan_Raw!G96),""))</x:f>
        <x:v>143.475</x:v>
      </x:c>
      <x:c r="H96" t="str">
        <x:f>Plan_Raw!AH96</x:f>
        <x:v>0490|COMMN|2025-01-04</x:v>
      </x:c>
      <x:c r="I96" t="n">
        <x:f>COUNTIF(Rates_Raw!$AF$5:$AF$464,H96)</x:f>
        <x:v>1</x:v>
      </x:c>
      <x:c r="J96" t="str">
        <x:f>IF(I96=1,_xlfn.XLOOKUP(H96,Rates_Raw!$AF$5:$AF$464,Rates_Raw!$E$5:$E$464,""),"")</x:f>
        <x:v>Commander III</x:v>
      </x:c>
      <x:c r="K96" t="n">
        <x:f>IF(I96=1,_xlfn.XLOOKUP(H96,Rates_Raw!$AF$5:$AF$464,Rates_Raw!$F$5:$F$464,""),"")</x:f>
        <x:v>353</x:v>
      </x:c>
      <x:c r="L96" s="50" t="n">
        <x:f>IF(I96=1,IFERROR(VALUE(SUBSTITUTE(_xlfn.XLOOKUP(H96,Rates_Raw!$AF$5:$AF$464,Rates_Raw!$L$5:$L$464,""),"$","")),""),"")</x:f>
        <x:v>143.475</x:v>
      </x:c>
      <x:c r="M96" s="50" t="n">
        <x:f>IF(OR(G96="",L96=""),"",ROUND(G96-L96,4))</x:f>
        <x:v>0</x:v>
      </x:c>
      <x:c r="N96" t="str">
        <x:f>IF(I96=0,"NO MATCH",IF(I96&gt;1,"AMBIGUOUS",IF(EXACT(TRIM(E96),TRIM(J96)),"EXACT","TITLE VARIANT")))</x:f>
        <x:v>EXACT</x:v>
      </x:c>
      <x:c r="O96" t="str">
        <x:f>IF(I96&lt;&gt;1,"NOT TESTED",IF(OR(G96="",L96=""),"MISSING",IF(ABS(M96)&lt;=Guide!$B$16,"PASS","REVIEW")))</x:f>
        <x:v>PASS</x:v>
      </x:c>
      <x:c r="P96" s="52" t="n">
        <x:f>IF(I96=1,IFERROR(VALUE(SUBSTITUTE(SUBSTITUTE(_xlfn.XLOOKUP(H96,Rates_Raw!$AF$5:$AF$464,Rates_Raw!$I$5:$I$464,""),"$",""),",","")),""),"")</x:f>
        <x:v>11478</x:v>
      </x:c>
      <x:c r="Q96" s="52" t="n">
        <x:f>IF(P96="","",P96*Guide!$B$15)</x:f>
        <x:v>298428</x:v>
      </x:c>
      <x:c r="R96" t="str">
        <x:f>IF(I96=0,"UNMATCHED",IF(I96&gt;1,"DUPLICATE KEY",IF(OR(N96="TITLE VARIANT",O96="REVIEW",O96="MISSING"),"REVIEW","VERIFIED")))</x:f>
        <x:v>VERIFIED</x:v>
      </x:c>
      <x:c r="S96" s="46" t="str">
        <x:v>Not Reviewed</x:v>
      </x:c>
      <x:c r="T96" s="48"/>
    </x:row>
    <x:row r="97">
      <x:c r="A97" t="n">
        <x:f>Plan_Raw!A97</x:f>
        <x:v>153</x:v>
      </x:c>
      <x:c r="B97" t="str">
        <x:f>Plan_Raw!D97</x:f>
        <x:v>0490</x:v>
      </x:c>
      <x:c r="C97" t="str">
        <x:f>LEFT(Plan_Raw!B97,10)</x:f>
        <x:v>2025-07-01</x:v>
      </x:c>
      <x:c r="D97" t="str">
        <x:f>Plan_Raw!F97</x:f>
        <x:v>COMMN</x:v>
      </x:c>
      <x:c r="E97" t="str">
        <x:f>Plan_Raw!E97</x:f>
        <x:v>Commander 3</x:v>
      </x:c>
      <x:c r="F97" t="str">
        <x:f>Plan_Raw!C97</x:f>
        <x:v>0490B</x:v>
      </x:c>
      <x:c r="G97" s="50" t="n">
        <x:f>IF(Plan_Raw!G97="","",IFERROR(VALUE(Plan_Raw!G97),""))</x:f>
        <x:v>147.775</x:v>
      </x:c>
      <x:c r="H97" t="str">
        <x:f>Plan_Raw!AH97</x:f>
        <x:v>0490|COMMN|2025-07-01</x:v>
      </x:c>
      <x:c r="I97" t="n">
        <x:f>COUNTIF(Rates_Raw!$AF$5:$AF$464,H97)</x:f>
        <x:v>1</x:v>
      </x:c>
      <x:c r="J97" t="str">
        <x:f>IF(I97=1,_xlfn.XLOOKUP(H97,Rates_Raw!$AF$5:$AF$464,Rates_Raw!$E$5:$E$464,""),"")</x:f>
        <x:v>Commander 3</x:v>
      </x:c>
      <x:c r="K97" t="n">
        <x:f>IF(I97=1,_xlfn.XLOOKUP(H97,Rates_Raw!$AF$5:$AF$464,Rates_Raw!$F$5:$F$464,""),"")</x:f>
        <x:v>353</x:v>
      </x:c>
      <x:c r="L97" s="50" t="n">
        <x:f>IF(I97=1,IFERROR(VALUE(SUBSTITUTE(_xlfn.XLOOKUP(H97,Rates_Raw!$AF$5:$AF$464,Rates_Raw!$L$5:$L$464,""),"$","")),""),"")</x:f>
        <x:v>147.775</x:v>
      </x:c>
      <x:c r="M97" s="50" t="n">
        <x:f>IF(OR(G97="",L97=""),"",ROUND(G97-L97,4))</x:f>
        <x:v>0</x:v>
      </x:c>
      <x:c r="N97" t="str">
        <x:f>IF(I97=0,"NO MATCH",IF(I97&gt;1,"AMBIGUOUS",IF(EXACT(TRIM(E97),TRIM(J97)),"EXACT","TITLE VARIANT")))</x:f>
        <x:v>EXACT</x:v>
      </x:c>
      <x:c r="O97" t="str">
        <x:f>IF(I97&lt;&gt;1,"NOT TESTED",IF(OR(G97="",L97=""),"MISSING",IF(ABS(M97)&lt;=Guide!$B$16,"PASS","REVIEW")))</x:f>
        <x:v>PASS</x:v>
      </x:c>
      <x:c r="P97" s="52" t="n">
        <x:f>IF(I97=1,IFERROR(VALUE(SUBSTITUTE(SUBSTITUTE(_xlfn.XLOOKUP(H97,Rates_Raw!$AF$5:$AF$464,Rates_Raw!$I$5:$I$464,""),"$",""),",","")),""),"")</x:f>
        <x:v>11822</x:v>
      </x:c>
      <x:c r="Q97" s="52" t="n">
        <x:f>IF(P97="","",P97*Guide!$B$15)</x:f>
        <x:v>307372</x:v>
      </x:c>
      <x:c r="R97" t="str">
        <x:f>IF(I97=0,"UNMATCHED",IF(I97&gt;1,"DUPLICATE KEY",IF(OR(N97="TITLE VARIANT",O97="REVIEW",O97="MISSING"),"REVIEW","VERIFIED")))</x:f>
        <x:v>VERIFIED</x:v>
      </x:c>
      <x:c r="S97" s="46" t="str">
        <x:v>Not Reviewed</x:v>
      </x:c>
      <x:c r="T97" s="48"/>
    </x:row>
    <x:row r="98">
      <x:c r="A98" t="n">
        <x:f>Plan_Raw!A98</x:f>
        <x:v>154</x:v>
      </x:c>
      <x:c r="B98" t="str">
        <x:f>Plan_Raw!D98</x:f>
        <x:v>0490</x:v>
      </x:c>
      <x:c r="C98" t="str">
        <x:f>LEFT(Plan_Raw!B98,10)</x:f>
        <x:v>2026-01-03</x:v>
      </x:c>
      <x:c r="D98" t="str">
        <x:f>Plan_Raw!F98</x:f>
        <x:v>COMMN</x:v>
      </x:c>
      <x:c r="E98" t="str">
        <x:f>Plan_Raw!E98</x:f>
        <x:v>Commander 3</x:v>
      </x:c>
      <x:c r="F98" t="str">
        <x:f>Plan_Raw!C98</x:f>
        <x:v>0490C</x:v>
      </x:c>
      <x:c r="G98" s="50" t="n">
        <x:f>IF(Plan_Raw!G98="","",IFERROR(VALUE(Plan_Raw!G98),""))</x:f>
        <x:v>152.2125</x:v>
      </x:c>
      <x:c r="H98" t="str">
        <x:f>Plan_Raw!AH98</x:f>
        <x:v>0490|COMMN|2026-01-03</x:v>
      </x:c>
      <x:c r="I98" t="n">
        <x:f>COUNTIF(Rates_Raw!$AF$5:$AF$464,H98)</x:f>
        <x:v>1</x:v>
      </x:c>
      <x:c r="J98" t="str">
        <x:f>IF(I98=1,_xlfn.XLOOKUP(H98,Rates_Raw!$AF$5:$AF$464,Rates_Raw!$E$5:$E$464,""),"")</x:f>
        <x:v>Commander 3</x:v>
      </x:c>
      <x:c r="K98" t="n">
        <x:f>IF(I98=1,_xlfn.XLOOKUP(H98,Rates_Raw!$AF$5:$AF$464,Rates_Raw!$F$5:$F$464,""),"")</x:f>
        <x:v>353</x:v>
      </x:c>
      <x:c r="L98" s="50" t="n">
        <x:f>IF(I98=1,IFERROR(VALUE(SUBSTITUTE(_xlfn.XLOOKUP(H98,Rates_Raw!$AF$5:$AF$464,Rates_Raw!$L$5:$L$464,""),"$","")),""),"")</x:f>
        <x:v>152.2125</x:v>
      </x:c>
      <x:c r="M98" s="50" t="n">
        <x:f>IF(OR(G98="",L98=""),"",ROUND(G98-L98,4))</x:f>
        <x:v>0</x:v>
      </x:c>
      <x:c r="N98" t="str">
        <x:f>IF(I98=0,"NO MATCH",IF(I98&gt;1,"AMBIGUOUS",IF(EXACT(TRIM(E98),TRIM(J98)),"EXACT","TITLE VARIANT")))</x:f>
        <x:v>EXACT</x:v>
      </x:c>
      <x:c r="O98" t="str">
        <x:f>IF(I98&lt;&gt;1,"NOT TESTED",IF(OR(G98="",L98=""),"MISSING",IF(ABS(M98)&lt;=Guide!$B$16,"PASS","REVIEW")))</x:f>
        <x:v>PASS</x:v>
      </x:c>
      <x:c r="P98" s="52" t="n">
        <x:f>IF(I98=1,IFERROR(VALUE(SUBSTITUTE(SUBSTITUTE(_xlfn.XLOOKUP(H98,Rates_Raw!$AF$5:$AF$464,Rates_Raw!$I$5:$I$464,""),"$",""),",","")),""),"")</x:f>
        <x:v>12177</x:v>
      </x:c>
      <x:c r="Q98" s="52" t="n">
        <x:f>IF(P98="","",P98*Guide!$B$15)</x:f>
        <x:v>316602</x:v>
      </x:c>
      <x:c r="R98" t="str">
        <x:f>IF(I98=0,"UNMATCHED",IF(I98&gt;1,"DUPLICATE KEY",IF(OR(N98="TITLE VARIANT",O98="REVIEW",O98="MISSING"),"REVIEW","VERIFIED")))</x:f>
        <x:v>VERIFIED</x:v>
      </x:c>
      <x:c r="S98" s="46" t="str">
        <x:v>Not Reviewed</x:v>
      </x:c>
      <x:c r="T98" s="48"/>
    </x:row>
    <x:row r="99">
      <x:c r="A99" t="n">
        <x:f>Plan_Raw!A99</x:f>
        <x:v>155</x:v>
      </x:c>
      <x:c r="B99" t="str">
        <x:f>Plan_Raw!D99</x:f>
        <x:v>0490</x:v>
      </x:c>
      <x:c r="C99" t="str">
        <x:f>LEFT(Plan_Raw!B99,10)</x:f>
        <x:v>2026-07-01</x:v>
      </x:c>
      <x:c r="D99" t="str">
        <x:f>Plan_Raw!F99</x:f>
        <x:v>COMMN</x:v>
      </x:c>
      <x:c r="E99" t="str">
        <x:f>Plan_Raw!E99</x:f>
        <x:v>Commander 3</x:v>
      </x:c>
      <x:c r="F99" t="str">
        <x:f>Plan_Raw!C99</x:f>
        <x:v>0490D</x:v>
      </x:c>
      <x:c r="G99" s="50" t="n">
        <x:f>IF(Plan_Raw!G99="","",IFERROR(VALUE(Plan_Raw!G99),""))</x:f>
        <x:v>155.2625</x:v>
      </x:c>
      <x:c r="H99" t="str">
        <x:f>Plan_Raw!AH99</x:f>
        <x:v>0490|COMMN|2026-07-01</x:v>
      </x:c>
      <x:c r="I99" t="n">
        <x:f>COUNTIF(Rates_Raw!$AF$5:$AF$464,H99)</x:f>
        <x:v>0</x:v>
      </x:c>
      <x:c r="J99" t="str">
        <x:f>IF(I99=1,_xlfn.XLOOKUP(H99,Rates_Raw!$AF$5:$AF$464,Rates_Raw!$E$5:$E$464,""),"")</x:f>
      </x:c>
      <x:c r="K99" t="str">
        <x:f>IF(I99=1,_xlfn.XLOOKUP(H99,Rates_Raw!$AF$5:$AF$464,Rates_Raw!$F$5:$F$464,""),"")</x:f>
      </x:c>
      <x:c r="L99" s="50" t="str">
        <x:f>IF(I99=1,IFERROR(VALUE(SUBSTITUTE(_xlfn.XLOOKUP(H99,Rates_Raw!$AF$5:$AF$464,Rates_Raw!$L$5:$L$464,""),"$","")),""),"")</x:f>
      </x:c>
      <x:c r="M99" s="50" t="str">
        <x:f>IF(OR(G99="",L99=""),"",ROUND(G99-L99,4))</x:f>
      </x:c>
      <x:c r="N99" t="str">
        <x:f>IF(I99=0,"NO MATCH",IF(I99&gt;1,"AMBIGUOUS",IF(EXACT(TRIM(E99),TRIM(J99)),"EXACT","TITLE VARIANT")))</x:f>
        <x:v>NO MATCH</x:v>
      </x:c>
      <x:c r="O99" t="str">
        <x:f>IF(I99&lt;&gt;1,"NOT TESTED",IF(OR(G99="",L99=""),"MISSING",IF(ABS(M99)&lt;=Guide!$B$16,"PASS","REVIEW")))</x:f>
        <x:v>NOT TESTED</x:v>
      </x:c>
      <x:c r="P99" s="52" t="str">
        <x:f>IF(I99=1,IFERROR(VALUE(SUBSTITUTE(SUBSTITUTE(_xlfn.XLOOKUP(H99,Rates_Raw!$AF$5:$AF$464,Rates_Raw!$I$5:$I$464,""),"$",""),",","")),""),"")</x:f>
      </x:c>
      <x:c r="Q99" s="52" t="str">
        <x:f>IF(P99="","",P99*Guide!$B$15)</x:f>
      </x:c>
      <x:c r="R99" t="str">
        <x:f>IF(I99=0,"UNMATCHED",IF(I99&gt;1,"DUPLICATE KEY",IF(OR(N99="TITLE VARIANT",O99="REVIEW",O99="MISSING"),"REVIEW","VERIFIED")))</x:f>
        <x:v>UNMATCHED</x:v>
      </x:c>
      <x:c r="S99" s="46" t="str">
        <x:v>Not Reviewed</x:v>
      </x:c>
      <x:c r="T99" s="48"/>
    </x:row>
    <x:row r="100">
      <x:c r="A100" t="n">
        <x:f>Plan_Raw!A100</x:f>
        <x:v>161</x:v>
      </x:c>
      <x:c r="B100" t="str">
        <x:f>Plan_Raw!D100</x:f>
        <x:v>0720</x:v>
      </x:c>
      <x:c r="C100" t="str">
        <x:f>LEFT(Plan_Raw!B100,10)</x:f>
        <x:v>2024-01-06</x:v>
      </x:c>
      <x:c r="D100" t="str">
        <x:f>Plan_Raw!F100</x:f>
        <x:v>COMMN</x:v>
      </x:c>
      <x:c r="E100" t="str">
        <x:f>Plan_Raw!E100</x:f>
        <x:v>Member, Board Of Supervisors</x:v>
      </x:c>
      <x:c r="F100" t="str">
        <x:f>Plan_Raw!C100</x:f>
        <x:v>0720Y</x:v>
      </x:c>
      <x:c r="G100" s="50" t="n">
        <x:f>IF(Plan_Raw!G100="","",IFERROR(VALUE(Plan_Raw!G100),""))</x:f>
        <x:v>78.7875</x:v>
      </x:c>
      <x:c r="H100" t="str">
        <x:f>Plan_Raw!AH100</x:f>
        <x:v>0720|COMMN|2024-01-06</x:v>
      </x:c>
      <x:c r="I100" t="n">
        <x:f>COUNTIF(Rates_Raw!$AF$5:$AF$464,H100)</x:f>
        <x:v>1</x:v>
      </x:c>
      <x:c r="J100" t="str">
        <x:f>IF(I100=1,_xlfn.XLOOKUP(H100,Rates_Raw!$AF$5:$AF$464,Rates_Raw!$E$5:$E$464,""),"")</x:f>
        <x:v>Member, Board Of Supervisors</x:v>
      </x:c>
      <x:c r="K100" t="n">
        <x:f>IF(I100=1,_xlfn.XLOOKUP(H100,Rates_Raw!$AF$5:$AF$464,Rates_Raw!$F$5:$F$464,""),"")</x:f>
        <x:v>257</x:v>
      </x:c>
      <x:c r="L100" s="50" t="n">
        <x:f>IF(I100=1,IFERROR(VALUE(SUBSTITUTE(_xlfn.XLOOKUP(H100,Rates_Raw!$AF$5:$AF$464,Rates_Raw!$L$5:$L$464,""),"$","")),""),"")</x:f>
        <x:v>78.7875</x:v>
      </x:c>
      <x:c r="M100" s="50" t="n">
        <x:f>IF(OR(G100="",L100=""),"",ROUND(G100-L100,4))</x:f>
        <x:v>0</x:v>
      </x:c>
      <x:c r="N100" t="str">
        <x:f>IF(I100=0,"NO MATCH",IF(I100&gt;1,"AMBIGUOUS",IF(EXACT(TRIM(E100),TRIM(J100)),"EXACT","TITLE VARIANT")))</x:f>
        <x:v>EXACT</x:v>
      </x:c>
      <x:c r="O100" t="str">
        <x:f>IF(I100&lt;&gt;1,"NOT TESTED",IF(OR(G100="",L100=""),"MISSING",IF(ABS(M100)&lt;=Guide!$B$16,"PASS","REVIEW")))</x:f>
        <x:v>PASS</x:v>
      </x:c>
      <x:c r="P100" s="52" t="n">
        <x:f>IF(I100=1,IFERROR(VALUE(SUBSTITUTE(SUBSTITUTE(_xlfn.XLOOKUP(H100,Rates_Raw!$AF$5:$AF$464,Rates_Raw!$I$5:$I$464,""),"$",""),",","")),""),"")</x:f>
        <x:v>6303</x:v>
      </x:c>
      <x:c r="Q100" s="52" t="n">
        <x:f>IF(P100="","",P100*Guide!$B$15)</x:f>
        <x:v>163878</x:v>
      </x:c>
      <x:c r="R100" t="str">
        <x:f>IF(I100=0,"UNMATCHED",IF(I100&gt;1,"DUPLICATE KEY",IF(OR(N100="TITLE VARIANT",O100="REVIEW",O100="MISSING"),"REVIEW","VERIFIED")))</x:f>
        <x:v>VERIFIED</x:v>
      </x:c>
      <x:c r="S100" s="46" t="str">
        <x:v>Not Reviewed</x:v>
      </x:c>
      <x:c r="T100" s="48"/>
    </x:row>
    <x:row r="101">
      <x:c r="A101" t="n">
        <x:f>Plan_Raw!A101</x:f>
        <x:v>162</x:v>
      </x:c>
      <x:c r="B101" t="str">
        <x:f>Plan_Raw!D101</x:f>
        <x:v>0720</x:v>
      </x:c>
      <x:c r="C101" t="str">
        <x:f>LEFT(Plan_Raw!B101,10)</x:f>
        <x:v>2024-07-01</x:v>
      </x:c>
      <x:c r="D101" t="str">
        <x:f>Plan_Raw!F101</x:f>
        <x:v>COMMN</x:v>
      </x:c>
      <x:c r="E101" t="str">
        <x:f>Plan_Raw!E101</x:f>
        <x:v>Member, Board Of Supervisors</x:v>
      </x:c>
      <x:c r="F101" t="str">
        <x:f>Plan_Raw!C101</x:f>
        <x:v>0720Z</x:v>
      </x:c>
      <x:c r="G101" s="50" t="n">
        <x:f>IF(Plan_Raw!G101="","",IFERROR(VALUE(Plan_Raw!G101),""))</x:f>
        <x:v>81.9375</x:v>
      </x:c>
      <x:c r="H101" t="str">
        <x:f>Plan_Raw!AH101</x:f>
        <x:v>0720|COMMN|2024-07-01</x:v>
      </x:c>
      <x:c r="I101" t="n">
        <x:f>COUNTIF(Rates_Raw!$AF$5:$AF$464,H101)</x:f>
        <x:v>1</x:v>
      </x:c>
      <x:c r="J101" t="str">
        <x:f>IF(I101=1,_xlfn.XLOOKUP(H101,Rates_Raw!$AF$5:$AF$464,Rates_Raw!$E$5:$E$464,""),"")</x:f>
        <x:v>Member, Board Of Supervisors</x:v>
      </x:c>
      <x:c r="K101" t="n">
        <x:f>IF(I101=1,_xlfn.XLOOKUP(H101,Rates_Raw!$AF$5:$AF$464,Rates_Raw!$F$5:$F$464,""),"")</x:f>
        <x:v>257</x:v>
      </x:c>
      <x:c r="L101" s="50" t="n">
        <x:f>IF(I101=1,IFERROR(VALUE(SUBSTITUTE(_xlfn.XLOOKUP(H101,Rates_Raw!$AF$5:$AF$464,Rates_Raw!$L$5:$L$464,""),"$","")),""),"")</x:f>
        <x:v>81.9375</x:v>
      </x:c>
      <x:c r="M101" s="50" t="n">
        <x:f>IF(OR(G101="",L101=""),"",ROUND(G101-L101,4))</x:f>
        <x:v>0</x:v>
      </x:c>
      <x:c r="N101" t="str">
        <x:f>IF(I101=0,"NO MATCH",IF(I101&gt;1,"AMBIGUOUS",IF(EXACT(TRIM(E101),TRIM(J101)),"EXACT","TITLE VARIANT")))</x:f>
        <x:v>EXACT</x:v>
      </x:c>
      <x:c r="O101" t="str">
        <x:f>IF(I101&lt;&gt;1,"NOT TESTED",IF(OR(G101="",L101=""),"MISSING",IF(ABS(M101)&lt;=Guide!$B$16,"PASS","REVIEW")))</x:f>
        <x:v>PASS</x:v>
      </x:c>
      <x:c r="P101" s="52" t="n">
        <x:f>IF(I101=1,IFERROR(VALUE(SUBSTITUTE(SUBSTITUTE(_xlfn.XLOOKUP(H101,Rates_Raw!$AF$5:$AF$464,Rates_Raw!$I$5:$I$464,""),"$",""),",","")),""),"")</x:f>
        <x:v>6555</x:v>
      </x:c>
      <x:c r="Q101" s="52" t="n">
        <x:f>IF(P101="","",P101*Guide!$B$15)</x:f>
        <x:v>170430</x:v>
      </x:c>
      <x:c r="R101" t="str">
        <x:f>IF(I101=0,"UNMATCHED",IF(I101&gt;1,"DUPLICATE KEY",IF(OR(N101="TITLE VARIANT",O101="REVIEW",O101="MISSING"),"REVIEW","VERIFIED")))</x:f>
        <x:v>VERIFIED</x:v>
      </x:c>
      <x:c r="S101" s="46" t="str">
        <x:v>Not Reviewed</x:v>
      </x:c>
      <x:c r="T101" s="48"/>
    </x:row>
    <x:row r="102">
      <x:c r="A102" t="n">
        <x:f>Plan_Raw!A102</x:f>
        <x:v>163</x:v>
      </x:c>
      <x:c r="B102" t="str">
        <x:f>Plan_Raw!D102</x:f>
        <x:v>0720</x:v>
      </x:c>
      <x:c r="C102" t="str">
        <x:f>LEFT(Plan_Raw!B102,10)</x:f>
        <x:v>2025-01-04</x:v>
      </x:c>
      <x:c r="D102" t="str">
        <x:f>Plan_Raw!F102</x:f>
        <x:v>COMMN</x:v>
      </x:c>
      <x:c r="E102" t="str">
        <x:f>Plan_Raw!E102</x:f>
        <x:v>Member, Board Of Supervisors</x:v>
      </x:c>
      <x:c r="F102" t="str">
        <x:f>Plan_Raw!C102</x:f>
        <x:v>0720A</x:v>
      </x:c>
      <x:c r="G102" s="50" t="n">
        <x:f>IF(Plan_Raw!G102="","",IFERROR(VALUE(Plan_Raw!G102),""))</x:f>
        <x:v>81.9375</x:v>
      </x:c>
      <x:c r="H102" t="str">
        <x:f>Plan_Raw!AH102</x:f>
        <x:v>0720|COMMN|2025-01-04</x:v>
      </x:c>
      <x:c r="I102" t="n">
        <x:f>COUNTIF(Rates_Raw!$AF$5:$AF$464,H102)</x:f>
        <x:v>1</x:v>
      </x:c>
      <x:c r="J102" t="str">
        <x:f>IF(I102=1,_xlfn.XLOOKUP(H102,Rates_Raw!$AF$5:$AF$464,Rates_Raw!$E$5:$E$464,""),"")</x:f>
        <x:v>Member, Board Of Supervisors</x:v>
      </x:c>
      <x:c r="K102" t="n">
        <x:f>IF(I102=1,_xlfn.XLOOKUP(H102,Rates_Raw!$AF$5:$AF$464,Rates_Raw!$F$5:$F$464,""),"")</x:f>
        <x:v>257</x:v>
      </x:c>
      <x:c r="L102" s="50" t="n">
        <x:f>IF(I102=1,IFERROR(VALUE(SUBSTITUTE(_xlfn.XLOOKUP(H102,Rates_Raw!$AF$5:$AF$464,Rates_Raw!$L$5:$L$464,""),"$","")),""),"")</x:f>
        <x:v>81.9375</x:v>
      </x:c>
      <x:c r="M102" s="50" t="n">
        <x:f>IF(OR(G102="",L102=""),"",ROUND(G102-L102,4))</x:f>
        <x:v>0</x:v>
      </x:c>
      <x:c r="N102" t="str">
        <x:f>IF(I102=0,"NO MATCH",IF(I102&gt;1,"AMBIGUOUS",IF(EXACT(TRIM(E102),TRIM(J102)),"EXACT","TITLE VARIANT")))</x:f>
        <x:v>EXACT</x:v>
      </x:c>
      <x:c r="O102" t="str">
        <x:f>IF(I102&lt;&gt;1,"NOT TESTED",IF(OR(G102="",L102=""),"MISSING",IF(ABS(M102)&lt;=Guide!$B$16,"PASS","REVIEW")))</x:f>
        <x:v>PASS</x:v>
      </x:c>
      <x:c r="P102" s="52" t="n">
        <x:f>IF(I102=1,IFERROR(VALUE(SUBSTITUTE(SUBSTITUTE(_xlfn.XLOOKUP(H102,Rates_Raw!$AF$5:$AF$464,Rates_Raw!$I$5:$I$464,""),"$",""),",","")),""),"")</x:f>
        <x:v>6555</x:v>
      </x:c>
      <x:c r="Q102" s="52" t="n">
        <x:f>IF(P102="","",P102*Guide!$B$15)</x:f>
        <x:v>170430</x:v>
      </x:c>
      <x:c r="R102" t="str">
        <x:f>IF(I102=0,"UNMATCHED",IF(I102&gt;1,"DUPLICATE KEY",IF(OR(N102="TITLE VARIANT",O102="REVIEW",O102="MISSING"),"REVIEW","VERIFIED")))</x:f>
        <x:v>VERIFIED</x:v>
      </x:c>
      <x:c r="S102" s="46" t="str">
        <x:v>Not Reviewed</x:v>
      </x:c>
      <x:c r="T102" s="48"/>
    </x:row>
    <x:row r="103">
      <x:c r="A103" t="n">
        <x:f>Plan_Raw!A103</x:f>
        <x:v>164</x:v>
      </x:c>
      <x:c r="B103" t="str">
        <x:f>Plan_Raw!D103</x:f>
        <x:v>0720</x:v>
      </x:c>
      <x:c r="C103" t="str">
        <x:f>LEFT(Plan_Raw!B103,10)</x:f>
        <x:v>2025-07-01</x:v>
      </x:c>
      <x:c r="D103" t="str">
        <x:f>Plan_Raw!F103</x:f>
        <x:v>COMMN</x:v>
      </x:c>
      <x:c r="E103" t="str">
        <x:f>Plan_Raw!E103</x:f>
        <x:v>Member, Board of Supervisors</x:v>
      </x:c>
      <x:c r="F103" t="str">
        <x:f>Plan_Raw!C103</x:f>
        <x:v>0720B</x:v>
      </x:c>
      <x:c r="G103" s="50" t="n">
        <x:f>IF(Plan_Raw!G103="","",IFERROR(VALUE(Plan_Raw!G103),""))</x:f>
        <x:v>84.3125</x:v>
      </x:c>
      <x:c r="H103" t="str">
        <x:f>Plan_Raw!AH103</x:f>
        <x:v>0720|COMMN|2025-07-01</x:v>
      </x:c>
      <x:c r="I103" t="n">
        <x:f>COUNTIF(Rates_Raw!$AF$5:$AF$464,H103)</x:f>
        <x:v>1</x:v>
      </x:c>
      <x:c r="J103" t="str">
        <x:f>IF(I103=1,_xlfn.XLOOKUP(H103,Rates_Raw!$AF$5:$AF$464,Rates_Raw!$E$5:$E$464,""),"")</x:f>
        <x:v>Member, Board of Supervisors</x:v>
      </x:c>
      <x:c r="K103" t="n">
        <x:f>IF(I103=1,_xlfn.XLOOKUP(H103,Rates_Raw!$AF$5:$AF$464,Rates_Raw!$F$5:$F$464,""),"")</x:f>
        <x:v>257</x:v>
      </x:c>
      <x:c r="L103" s="50" t="n">
        <x:f>IF(I103=1,IFERROR(VALUE(SUBSTITUTE(_xlfn.XLOOKUP(H103,Rates_Raw!$AF$5:$AF$464,Rates_Raw!$L$5:$L$464,""),"$","")),""),"")</x:f>
        <x:v>84.3125</x:v>
      </x:c>
      <x:c r="M103" s="50" t="n">
        <x:f>IF(OR(G103="",L103=""),"",ROUND(G103-L103,4))</x:f>
        <x:v>0</x:v>
      </x:c>
      <x:c r="N103" t="str">
        <x:f>IF(I103=0,"NO MATCH",IF(I103&gt;1,"AMBIGUOUS",IF(EXACT(TRIM(E103),TRIM(J103)),"EXACT","TITLE VARIANT")))</x:f>
        <x:v>EXACT</x:v>
      </x:c>
      <x:c r="O103" t="str">
        <x:f>IF(I103&lt;&gt;1,"NOT TESTED",IF(OR(G103="",L103=""),"MISSING",IF(ABS(M103)&lt;=Guide!$B$16,"PASS","REVIEW")))</x:f>
        <x:v>PASS</x:v>
      </x:c>
      <x:c r="P103" s="52" t="n">
        <x:f>IF(I103=1,IFERROR(VALUE(SUBSTITUTE(SUBSTITUTE(_xlfn.XLOOKUP(H103,Rates_Raw!$AF$5:$AF$464,Rates_Raw!$I$5:$I$464,""),"$",""),",","")),""),"")</x:f>
        <x:v>6745</x:v>
      </x:c>
      <x:c r="Q103" s="52" t="n">
        <x:f>IF(P103="","",P103*Guide!$B$15)</x:f>
        <x:v>175370</x:v>
      </x:c>
      <x:c r="R103" t="str">
        <x:f>IF(I103=0,"UNMATCHED",IF(I103&gt;1,"DUPLICATE KEY",IF(OR(N103="TITLE VARIANT",O103="REVIEW",O103="MISSING"),"REVIEW","VERIFIED")))</x:f>
        <x:v>VERIFIED</x:v>
      </x:c>
      <x:c r="S103" s="46" t="str">
        <x:v>Not Reviewed</x:v>
      </x:c>
      <x:c r="T103" s="48"/>
    </x:row>
    <x:row r="104">
      <x:c r="A104" t="n">
        <x:f>Plan_Raw!A104</x:f>
        <x:v>165</x:v>
      </x:c>
      <x:c r="B104" t="str">
        <x:f>Plan_Raw!D104</x:f>
        <x:v>0720</x:v>
      </x:c>
      <x:c r="C104" t="str">
        <x:f>LEFT(Plan_Raw!B104,10)</x:f>
        <x:v>2026-07-01</x:v>
      </x:c>
      <x:c r="D104" t="str">
        <x:f>Plan_Raw!F104</x:f>
        <x:v>COMMN</x:v>
      </x:c>
      <x:c r="E104" t="str">
        <x:f>Plan_Raw!E104</x:f>
        <x:v>Member, Board of Supervisors</x:v>
      </x:c>
      <x:c r="F104" t="str">
        <x:f>Plan_Raw!C104</x:f>
        <x:v>0720D</x:v>
      </x:c>
      <x:c r="G104" s="50" t="n">
        <x:f>IF(Plan_Raw!G104="","",IFERROR(VALUE(Plan_Raw!G104),""))</x:f>
        <x:v>86.5875</x:v>
      </x:c>
      <x:c r="H104" t="str">
        <x:f>Plan_Raw!AH104</x:f>
        <x:v>0720|COMMN|2026-07-01</x:v>
      </x:c>
      <x:c r="I104" t="n">
        <x:f>COUNTIF(Rates_Raw!$AF$5:$AF$464,H104)</x:f>
        <x:v>0</x:v>
      </x:c>
      <x:c r="J104" t="str">
        <x:f>IF(I104=1,_xlfn.XLOOKUP(H104,Rates_Raw!$AF$5:$AF$464,Rates_Raw!$E$5:$E$464,""),"")</x:f>
      </x:c>
      <x:c r="K104" t="str">
        <x:f>IF(I104=1,_xlfn.XLOOKUP(H104,Rates_Raw!$AF$5:$AF$464,Rates_Raw!$F$5:$F$464,""),"")</x:f>
      </x:c>
      <x:c r="L104" s="50" t="str">
        <x:f>IF(I104=1,IFERROR(VALUE(SUBSTITUTE(_xlfn.XLOOKUP(H104,Rates_Raw!$AF$5:$AF$464,Rates_Raw!$L$5:$L$464,""),"$","")),""),"")</x:f>
      </x:c>
      <x:c r="M104" s="50" t="str">
        <x:f>IF(OR(G104="",L104=""),"",ROUND(G104-L104,4))</x:f>
      </x:c>
      <x:c r="N104" t="str">
        <x:f>IF(I104=0,"NO MATCH",IF(I104&gt;1,"AMBIGUOUS",IF(EXACT(TRIM(E104),TRIM(J104)),"EXACT","TITLE VARIANT")))</x:f>
        <x:v>NO MATCH</x:v>
      </x:c>
      <x:c r="O104" t="str">
        <x:f>IF(I104&lt;&gt;1,"NOT TESTED",IF(OR(G104="",L104=""),"MISSING",IF(ABS(M104)&lt;=Guide!$B$16,"PASS","REVIEW")))</x:f>
        <x:v>NOT TESTED</x:v>
      </x:c>
      <x:c r="P104" s="52" t="str">
        <x:f>IF(I104=1,IFERROR(VALUE(SUBSTITUTE(SUBSTITUTE(_xlfn.XLOOKUP(H104,Rates_Raw!$AF$5:$AF$464,Rates_Raw!$I$5:$I$464,""),"$",""),",","")),""),"")</x:f>
      </x:c>
      <x:c r="Q104" s="52" t="str">
        <x:f>IF(P104="","",P104*Guide!$B$15)</x:f>
      </x:c>
      <x:c r="R104" t="str">
        <x:f>IF(I104=0,"UNMATCHED",IF(I104&gt;1,"DUPLICATE KEY",IF(OR(N104="TITLE VARIANT",O104="REVIEW",O104="MISSING"),"REVIEW","VERIFIED")))</x:f>
        <x:v>UNMATCHED</x:v>
      </x:c>
      <x:c r="S104" s="46" t="str">
        <x:v>Not Reviewed</x:v>
      </x:c>
      <x:c r="T104" s="48"/>
    </x:row>
    <x:row r="105">
      <x:c r="A105" t="n">
        <x:f>Plan_Raw!A105</x:f>
        <x:v>172</x:v>
      </x:c>
      <x:c r="B105" t="str">
        <x:f>Plan_Raw!D105</x:f>
        <x:v>0881</x:v>
      </x:c>
      <x:c r="C105" t="str">
        <x:f>LEFT(Plan_Raw!B105,10)</x:f>
        <x:v>2024-01-06</x:v>
      </x:c>
      <x:c r="D105" t="str">
        <x:f>Plan_Raw!F105</x:f>
        <x:v>COMMN</x:v>
      </x:c>
      <x:c r="E105" t="str">
        <x:f>Plan_Raw!E105</x:f>
        <x:v>Mayoral Staff I</x:v>
      </x:c>
      <x:c r="F105" t="str">
        <x:f>Plan_Raw!C105</x:f>
        <x:v>0881Y</x:v>
      </x:c>
      <x:c r="G105" s="50" t="n">
        <x:f>IF(Plan_Raw!G105="","",IFERROR(VALUE(Plan_Raw!G105),""))</x:f>
        <x:v>26.0125</x:v>
      </x:c>
      <x:c r="H105" t="str">
        <x:f>Plan_Raw!AH105</x:f>
        <x:v>0881|COMMN|2024-01-06</x:v>
      </x:c>
      <x:c r="I105" t="n">
        <x:f>COUNTIF(Rates_Raw!$AF$5:$AF$464,H105)</x:f>
        <x:v>1</x:v>
      </x:c>
      <x:c r="J105" t="str">
        <x:f>IF(I105=1,_xlfn.XLOOKUP(H105,Rates_Raw!$AF$5:$AF$464,Rates_Raw!$E$5:$E$464,""),"")</x:f>
        <x:v>Mayoral Staff I</x:v>
      </x:c>
      <x:c r="K105" t="n">
        <x:f>IF(I105=1,_xlfn.XLOOKUP(H105,Rates_Raw!$AF$5:$AF$464,Rates_Raw!$F$5:$F$464,""),"")</x:f>
        <x:v>2</x:v>
      </x:c>
      <x:c r="L105" s="50" t="n">
        <x:f>IF(I105=1,IFERROR(VALUE(SUBSTITUTE(_xlfn.XLOOKUP(H105,Rates_Raw!$AF$5:$AF$464,Rates_Raw!$L$5:$L$464,""),"$","")),""),"")</x:f>
        <x:v>26.0125</x:v>
      </x:c>
      <x:c r="M105" s="50" t="n">
        <x:f>IF(OR(G105="",L105=""),"",ROUND(G105-L105,4))</x:f>
        <x:v>0</x:v>
      </x:c>
      <x:c r="N105" t="str">
        <x:f>IF(I105=0,"NO MATCH",IF(I105&gt;1,"AMBIGUOUS",IF(EXACT(TRIM(E105),TRIM(J105)),"EXACT","TITLE VARIANT")))</x:f>
        <x:v>EXACT</x:v>
      </x:c>
      <x:c r="O105" t="str">
        <x:f>IF(I105&lt;&gt;1,"NOT TESTED",IF(OR(G105="",L105=""),"MISSING",IF(ABS(M105)&lt;=Guide!$B$16,"PASS","REVIEW")))</x:f>
        <x:v>PASS</x:v>
      </x:c>
      <x:c r="P105" s="52" t="n">
        <x:f>IF(I105=1,IFERROR(VALUE(SUBSTITUTE(SUBSTITUTE(_xlfn.XLOOKUP(H105,Rates_Raw!$AF$5:$AF$464,Rates_Raw!$I$5:$I$464,""),"$",""),",","")),""),"")</x:f>
        <x:v>2081</x:v>
      </x:c>
      <x:c r="Q105" s="52" t="n">
        <x:f>IF(P105="","",P105*Guide!$B$15)</x:f>
        <x:v>54106</x:v>
      </x:c>
      <x:c r="R105" t="str">
        <x:f>IF(I105=0,"UNMATCHED",IF(I105&gt;1,"DUPLICATE KEY",IF(OR(N105="TITLE VARIANT",O105="REVIEW",O105="MISSING"),"REVIEW","VERIFIED")))</x:f>
        <x:v>VERIFIED</x:v>
      </x:c>
      <x:c r="S105" s="46" t="str">
        <x:v>Not Reviewed</x:v>
      </x:c>
      <x:c r="T105" s="48"/>
    </x:row>
    <x:row r="106">
      <x:c r="A106" t="n">
        <x:f>Plan_Raw!A106</x:f>
        <x:v>173</x:v>
      </x:c>
      <x:c r="B106" t="str">
        <x:f>Plan_Raw!D106</x:f>
        <x:v>0881</x:v>
      </x:c>
      <x:c r="C106" t="str">
        <x:f>LEFT(Plan_Raw!B106,10)</x:f>
        <x:v>2024-07-01</x:v>
      </x:c>
      <x:c r="D106" t="str">
        <x:f>Plan_Raw!F106</x:f>
        <x:v>COMMN</x:v>
      </x:c>
      <x:c r="E106" t="str">
        <x:f>Plan_Raw!E106</x:f>
        <x:v>Mayoral Staff I</x:v>
      </x:c>
      <x:c r="F106" t="str">
        <x:f>Plan_Raw!C106</x:f>
        <x:v>0881Z</x:v>
      </x:c>
      <x:c r="G106" s="50" t="n">
        <x:f>IF(Plan_Raw!G106="","",IFERROR(VALUE(Plan_Raw!G106),""))</x:f>
        <x:v>26.4</x:v>
      </x:c>
      <x:c r="H106" t="str">
        <x:f>Plan_Raw!AH106</x:f>
        <x:v>0881|COMMN|2024-07-01</x:v>
      </x:c>
      <x:c r="I106" t="n">
        <x:f>COUNTIF(Rates_Raw!$AF$5:$AF$464,H106)</x:f>
        <x:v>1</x:v>
      </x:c>
      <x:c r="J106" t="str">
        <x:f>IF(I106=1,_xlfn.XLOOKUP(H106,Rates_Raw!$AF$5:$AF$464,Rates_Raw!$E$5:$E$464,""),"")</x:f>
        <x:v>Mayoral Staff I</x:v>
      </x:c>
      <x:c r="K106" t="n">
        <x:f>IF(I106=1,_xlfn.XLOOKUP(H106,Rates_Raw!$AF$5:$AF$464,Rates_Raw!$F$5:$F$464,""),"")</x:f>
        <x:v>2</x:v>
      </x:c>
      <x:c r="L106" s="50" t="n">
        <x:f>IF(I106=1,IFERROR(VALUE(SUBSTITUTE(_xlfn.XLOOKUP(H106,Rates_Raw!$AF$5:$AF$464,Rates_Raw!$L$5:$L$464,""),"$","")),""),"")</x:f>
        <x:v>26.4</x:v>
      </x:c>
      <x:c r="M106" s="50" t="n">
        <x:f>IF(OR(G106="",L106=""),"",ROUND(G106-L106,4))</x:f>
        <x:v>0</x:v>
      </x:c>
      <x:c r="N106" t="str">
        <x:f>IF(I106=0,"NO MATCH",IF(I106&gt;1,"AMBIGUOUS",IF(EXACT(TRIM(E106),TRIM(J106)),"EXACT","TITLE VARIANT")))</x:f>
        <x:v>EXACT</x:v>
      </x:c>
      <x:c r="O106" t="str">
        <x:f>IF(I106&lt;&gt;1,"NOT TESTED",IF(OR(G106="",L106=""),"MISSING",IF(ABS(M106)&lt;=Guide!$B$16,"PASS","REVIEW")))</x:f>
        <x:v>PASS</x:v>
      </x:c>
      <x:c r="P106" s="52" t="n">
        <x:f>IF(I106=1,IFERROR(VALUE(SUBSTITUTE(SUBSTITUTE(_xlfn.XLOOKUP(H106,Rates_Raw!$AF$5:$AF$464,Rates_Raw!$I$5:$I$464,""),"$",""),",","")),""),"")</x:f>
        <x:v>2112</x:v>
      </x:c>
      <x:c r="Q106" s="52" t="n">
        <x:f>IF(P106="","",P106*Guide!$B$15)</x:f>
        <x:v>54912</x:v>
      </x:c>
      <x:c r="R106" t="str">
        <x:f>IF(I106=0,"UNMATCHED",IF(I106&gt;1,"DUPLICATE KEY",IF(OR(N106="TITLE VARIANT",O106="REVIEW",O106="MISSING"),"REVIEW","VERIFIED")))</x:f>
        <x:v>VERIFIED</x:v>
      </x:c>
      <x:c r="S106" s="46" t="str">
        <x:v>Not Reviewed</x:v>
      </x:c>
      <x:c r="T106" s="48"/>
    </x:row>
    <x:row r="107">
      <x:c r="A107" t="n">
        <x:f>Plan_Raw!A107</x:f>
        <x:v>174</x:v>
      </x:c>
      <x:c r="B107" t="str">
        <x:f>Plan_Raw!D107</x:f>
        <x:v>0881</x:v>
      </x:c>
      <x:c r="C107" t="str">
        <x:f>LEFT(Plan_Raw!B107,10)</x:f>
        <x:v>2025-01-04</x:v>
      </x:c>
      <x:c r="D107" t="str">
        <x:f>Plan_Raw!F107</x:f>
        <x:v>COMMN</x:v>
      </x:c>
      <x:c r="E107" t="str">
        <x:f>Plan_Raw!E107</x:f>
        <x:v>Mayoral Staff I</x:v>
      </x:c>
      <x:c r="F107" t="str">
        <x:f>Plan_Raw!C107</x:f>
        <x:v>0881A</x:v>
      </x:c>
      <x:c r="G107" s="50" t="n">
        <x:f>IF(Plan_Raw!G107="","",IFERROR(VALUE(Plan_Raw!G107),""))</x:f>
        <x:v>26.8</x:v>
      </x:c>
      <x:c r="H107" t="str">
        <x:f>Plan_Raw!AH107</x:f>
        <x:v>0881|COMMN|2025-01-04</x:v>
      </x:c>
      <x:c r="I107" t="n">
        <x:f>COUNTIF(Rates_Raw!$AF$5:$AF$464,H107)</x:f>
        <x:v>1</x:v>
      </x:c>
      <x:c r="J107" t="str">
        <x:f>IF(I107=1,_xlfn.XLOOKUP(H107,Rates_Raw!$AF$5:$AF$464,Rates_Raw!$E$5:$E$464,""),"")</x:f>
        <x:v>Mayoral Staff I</x:v>
      </x:c>
      <x:c r="K107" t="n">
        <x:f>IF(I107=1,_xlfn.XLOOKUP(H107,Rates_Raw!$AF$5:$AF$464,Rates_Raw!$F$5:$F$464,""),"")</x:f>
        <x:v>2</x:v>
      </x:c>
      <x:c r="L107" s="50" t="n">
        <x:f>IF(I107=1,IFERROR(VALUE(SUBSTITUTE(_xlfn.XLOOKUP(H107,Rates_Raw!$AF$5:$AF$464,Rates_Raw!$L$5:$L$464,""),"$","")),""),"")</x:f>
        <x:v>26.8</x:v>
      </x:c>
      <x:c r="M107" s="50" t="n">
        <x:f>IF(OR(G107="",L107=""),"",ROUND(G107-L107,4))</x:f>
        <x:v>0</x:v>
      </x:c>
      <x:c r="N107" t="str">
        <x:f>IF(I107=0,"NO MATCH",IF(I107&gt;1,"AMBIGUOUS",IF(EXACT(TRIM(E107),TRIM(J107)),"EXACT","TITLE VARIANT")))</x:f>
        <x:v>EXACT</x:v>
      </x:c>
      <x:c r="O107" t="str">
        <x:f>IF(I107&lt;&gt;1,"NOT TESTED",IF(OR(G107="",L107=""),"MISSING",IF(ABS(M107)&lt;=Guide!$B$16,"PASS","REVIEW")))</x:f>
        <x:v>PASS</x:v>
      </x:c>
      <x:c r="P107" s="52" t="n">
        <x:f>IF(I107=1,IFERROR(VALUE(SUBSTITUTE(SUBSTITUTE(_xlfn.XLOOKUP(H107,Rates_Raw!$AF$5:$AF$464,Rates_Raw!$I$5:$I$464,""),"$",""),",","")),""),"")</x:f>
        <x:v>2144</x:v>
      </x:c>
      <x:c r="Q107" s="52" t="n">
        <x:f>IF(P107="","",P107*Guide!$B$15)</x:f>
        <x:v>55744</x:v>
      </x:c>
      <x:c r="R107" t="str">
        <x:f>IF(I107=0,"UNMATCHED",IF(I107&gt;1,"DUPLICATE KEY",IF(OR(N107="TITLE VARIANT",O107="REVIEW",O107="MISSING"),"REVIEW","VERIFIED")))</x:f>
        <x:v>VERIFIED</x:v>
      </x:c>
      <x:c r="S107" s="46" t="str">
        <x:v>Not Reviewed</x:v>
      </x:c>
      <x:c r="T107" s="48"/>
    </x:row>
    <x:row r="108">
      <x:c r="A108" t="n">
        <x:f>Plan_Raw!A108</x:f>
        <x:v>175</x:v>
      </x:c>
      <x:c r="B108" t="str">
        <x:f>Plan_Raw!D108</x:f>
        <x:v>0881</x:v>
      </x:c>
      <x:c r="C108" t="str">
        <x:f>LEFT(Plan_Raw!B108,10)</x:f>
        <x:v>2025-07-01</x:v>
      </x:c>
      <x:c r="D108" t="str">
        <x:f>Plan_Raw!F108</x:f>
        <x:v>COMMN</x:v>
      </x:c>
      <x:c r="E108" t="str">
        <x:f>Plan_Raw!E108</x:f>
        <x:v>Mayoral Staff I</x:v>
      </x:c>
      <x:c r="F108" t="str">
        <x:f>Plan_Raw!C108</x:f>
        <x:v>0881B</x:v>
      </x:c>
      <x:c r="G108" s="50" t="n">
        <x:f>IF(Plan_Raw!G108="","",IFERROR(VALUE(Plan_Raw!G108),""))</x:f>
        <x:v>27.3375</x:v>
      </x:c>
      <x:c r="H108" t="str">
        <x:f>Plan_Raw!AH108</x:f>
        <x:v>0881|COMMN|2025-07-01</x:v>
      </x:c>
      <x:c r="I108" t="n">
        <x:f>COUNTIF(Rates_Raw!$AF$5:$AF$464,H108)</x:f>
        <x:v>1</x:v>
      </x:c>
      <x:c r="J108" t="str">
        <x:f>IF(I108=1,_xlfn.XLOOKUP(H108,Rates_Raw!$AF$5:$AF$464,Rates_Raw!$E$5:$E$464,""),"")</x:f>
        <x:v>Mayoral Staff I</x:v>
      </x:c>
      <x:c r="K108" t="n">
        <x:f>IF(I108=1,_xlfn.XLOOKUP(H108,Rates_Raw!$AF$5:$AF$464,Rates_Raw!$F$5:$F$464,""),"")</x:f>
        <x:v>2</x:v>
      </x:c>
      <x:c r="L108" s="50" t="n">
        <x:f>IF(I108=1,IFERROR(VALUE(SUBSTITUTE(_xlfn.XLOOKUP(H108,Rates_Raw!$AF$5:$AF$464,Rates_Raw!$L$5:$L$464,""),"$","")),""),"")</x:f>
        <x:v>27.3375</x:v>
      </x:c>
      <x:c r="M108" s="50" t="n">
        <x:f>IF(OR(G108="",L108=""),"",ROUND(G108-L108,4))</x:f>
        <x:v>0</x:v>
      </x:c>
      <x:c r="N108" t="str">
        <x:f>IF(I108=0,"NO MATCH",IF(I108&gt;1,"AMBIGUOUS",IF(EXACT(TRIM(E108),TRIM(J108)),"EXACT","TITLE VARIANT")))</x:f>
        <x:v>EXACT</x:v>
      </x:c>
      <x:c r="O108" t="str">
        <x:f>IF(I108&lt;&gt;1,"NOT TESTED",IF(OR(G108="",L108=""),"MISSING",IF(ABS(M108)&lt;=Guide!$B$16,"PASS","REVIEW")))</x:f>
        <x:v>PASS</x:v>
      </x:c>
      <x:c r="P108" s="52" t="n">
        <x:f>IF(I108=1,IFERROR(VALUE(SUBSTITUTE(SUBSTITUTE(_xlfn.XLOOKUP(H108,Rates_Raw!$AF$5:$AF$464,Rates_Raw!$I$5:$I$464,""),"$",""),",","")),""),"")</x:f>
        <x:v>2187</x:v>
      </x:c>
      <x:c r="Q108" s="52" t="n">
        <x:f>IF(P108="","",P108*Guide!$B$15)</x:f>
        <x:v>56862</x:v>
      </x:c>
      <x:c r="R108" t="str">
        <x:f>IF(I108=0,"UNMATCHED",IF(I108&gt;1,"DUPLICATE KEY",IF(OR(N108="TITLE VARIANT",O108="REVIEW",O108="MISSING"),"REVIEW","VERIFIED")))</x:f>
        <x:v>VERIFIED</x:v>
      </x:c>
      <x:c r="S108" s="46" t="str">
        <x:v>Not Reviewed</x:v>
      </x:c>
      <x:c r="T108" s="48"/>
    </x:row>
    <x:row r="109">
      <x:c r="A109" t="n">
        <x:f>Plan_Raw!A109</x:f>
        <x:v>176</x:v>
      </x:c>
      <x:c r="B109" t="str">
        <x:f>Plan_Raw!D109</x:f>
        <x:v>0881</x:v>
      </x:c>
      <x:c r="C109" t="str">
        <x:f>LEFT(Plan_Raw!B109,10)</x:f>
        <x:v>2026-01-03</x:v>
      </x:c>
      <x:c r="D109" t="str">
        <x:f>Plan_Raw!F109</x:f>
        <x:v>COMMN</x:v>
      </x:c>
      <x:c r="E109" t="str">
        <x:f>Plan_Raw!E109</x:f>
        <x:v>Mayoral Staff I</x:v>
      </x:c>
      <x:c r="F109" t="str">
        <x:f>Plan_Raw!C109</x:f>
        <x:v>0881C</x:v>
      </x:c>
      <x:c r="G109" s="50" t="n">
        <x:f>IF(Plan_Raw!G109="","",IFERROR(VALUE(Plan_Raw!G109),""))</x:f>
        <x:v>27.75</x:v>
      </x:c>
      <x:c r="H109" t="str">
        <x:f>Plan_Raw!AH109</x:f>
        <x:v>0881|COMMN|2026-01-03</x:v>
      </x:c>
      <x:c r="I109" t="n">
        <x:f>COUNTIF(Rates_Raw!$AF$5:$AF$464,H109)</x:f>
        <x:v>1</x:v>
      </x:c>
      <x:c r="J109" t="str">
        <x:f>IF(I109=1,_xlfn.XLOOKUP(H109,Rates_Raw!$AF$5:$AF$464,Rates_Raw!$E$5:$E$464,""),"")</x:f>
        <x:v>Mayoral Staff I</x:v>
      </x:c>
      <x:c r="K109" t="n">
        <x:f>IF(I109=1,_xlfn.XLOOKUP(H109,Rates_Raw!$AF$5:$AF$464,Rates_Raw!$F$5:$F$464,""),"")</x:f>
        <x:v>2</x:v>
      </x:c>
      <x:c r="L109" s="50" t="n">
        <x:f>IF(I109=1,IFERROR(VALUE(SUBSTITUTE(_xlfn.XLOOKUP(H109,Rates_Raw!$AF$5:$AF$464,Rates_Raw!$L$5:$L$464,""),"$","")),""),"")</x:f>
        <x:v>27.75</x:v>
      </x:c>
      <x:c r="M109" s="50" t="n">
        <x:f>IF(OR(G109="",L109=""),"",ROUND(G109-L109,4))</x:f>
        <x:v>0</x:v>
      </x:c>
      <x:c r="N109" t="str">
        <x:f>IF(I109=0,"NO MATCH",IF(I109&gt;1,"AMBIGUOUS",IF(EXACT(TRIM(E109),TRIM(J109)),"EXACT","TITLE VARIANT")))</x:f>
        <x:v>EXACT</x:v>
      </x:c>
      <x:c r="O109" t="str">
        <x:f>IF(I109&lt;&gt;1,"NOT TESTED",IF(OR(G109="",L109=""),"MISSING",IF(ABS(M109)&lt;=Guide!$B$16,"PASS","REVIEW")))</x:f>
        <x:v>PASS</x:v>
      </x:c>
      <x:c r="P109" s="52" t="n">
        <x:f>IF(I109=1,IFERROR(VALUE(SUBSTITUTE(SUBSTITUTE(_xlfn.XLOOKUP(H109,Rates_Raw!$AF$5:$AF$464,Rates_Raw!$I$5:$I$464,""),"$",""),",","")),""),"")</x:f>
        <x:v>2220</x:v>
      </x:c>
      <x:c r="Q109" s="52" t="n">
        <x:f>IF(P109="","",P109*Guide!$B$15)</x:f>
        <x:v>57720</x:v>
      </x:c>
      <x:c r="R109" t="str">
        <x:f>IF(I109=0,"UNMATCHED",IF(I109&gt;1,"DUPLICATE KEY",IF(OR(N109="TITLE VARIANT",O109="REVIEW",O109="MISSING"),"REVIEW","VERIFIED")))</x:f>
        <x:v>VERIFIED</x:v>
      </x:c>
      <x:c r="S109" s="46" t="str">
        <x:v>Not Reviewed</x:v>
      </x:c>
      <x:c r="T109" s="48"/>
    </x:row>
    <x:row r="110">
      <x:c r="A110" t="n">
        <x:f>Plan_Raw!A110</x:f>
        <x:v>177</x:v>
      </x:c>
      <x:c r="B110" t="str">
        <x:f>Plan_Raw!D110</x:f>
        <x:v>0881</x:v>
      </x:c>
      <x:c r="C110" t="str">
        <x:f>LEFT(Plan_Raw!B110,10)</x:f>
        <x:v>2026-07-01</x:v>
      </x:c>
      <x:c r="D110" t="str">
        <x:f>Plan_Raw!F110</x:f>
        <x:v>COMMN</x:v>
      </x:c>
      <x:c r="E110" t="str">
        <x:f>Plan_Raw!E110</x:f>
        <x:v>Mayoral Staff I</x:v>
      </x:c>
      <x:c r="F110" t="str">
        <x:f>Plan_Raw!C110</x:f>
        <x:v>0881D</x:v>
      </x:c>
      <x:c r="G110" s="50" t="n">
        <x:f>IF(Plan_Raw!G110="","",IFERROR(VALUE(Plan_Raw!G110),""))</x:f>
        <x:v>28.3</x:v>
      </x:c>
      <x:c r="H110" t="str">
        <x:f>Plan_Raw!AH110</x:f>
        <x:v>0881|COMMN|2026-07-01</x:v>
      </x:c>
      <x:c r="I110" t="n">
        <x:f>COUNTIF(Rates_Raw!$AF$5:$AF$464,H110)</x:f>
        <x:v>0</x:v>
      </x:c>
      <x:c r="J110" t="str">
        <x:f>IF(I110=1,_xlfn.XLOOKUP(H110,Rates_Raw!$AF$5:$AF$464,Rates_Raw!$E$5:$E$464,""),"")</x:f>
      </x:c>
      <x:c r="K110" t="str">
        <x:f>IF(I110=1,_xlfn.XLOOKUP(H110,Rates_Raw!$AF$5:$AF$464,Rates_Raw!$F$5:$F$464,""),"")</x:f>
      </x:c>
      <x:c r="L110" s="50" t="str">
        <x:f>IF(I110=1,IFERROR(VALUE(SUBSTITUTE(_xlfn.XLOOKUP(H110,Rates_Raw!$AF$5:$AF$464,Rates_Raw!$L$5:$L$464,""),"$","")),""),"")</x:f>
      </x:c>
      <x:c r="M110" s="50" t="str">
        <x:f>IF(OR(G110="",L110=""),"",ROUND(G110-L110,4))</x:f>
      </x:c>
      <x:c r="N110" t="str">
        <x:f>IF(I110=0,"NO MATCH",IF(I110&gt;1,"AMBIGUOUS",IF(EXACT(TRIM(E110),TRIM(J110)),"EXACT","TITLE VARIANT")))</x:f>
        <x:v>NO MATCH</x:v>
      </x:c>
      <x:c r="O110" t="str">
        <x:f>IF(I110&lt;&gt;1,"NOT TESTED",IF(OR(G110="",L110=""),"MISSING",IF(ABS(M110)&lt;=Guide!$B$16,"PASS","REVIEW")))</x:f>
        <x:v>NOT TESTED</x:v>
      </x:c>
      <x:c r="P110" s="52" t="str">
        <x:f>IF(I110=1,IFERROR(VALUE(SUBSTITUTE(SUBSTITUTE(_xlfn.XLOOKUP(H110,Rates_Raw!$AF$5:$AF$464,Rates_Raw!$I$5:$I$464,""),"$",""),",","")),""),"")</x:f>
      </x:c>
      <x:c r="Q110" s="52" t="str">
        <x:f>IF(P110="","",P110*Guide!$B$15)</x:f>
      </x:c>
      <x:c r="R110" t="str">
        <x:f>IF(I110=0,"UNMATCHED",IF(I110&gt;1,"DUPLICATE KEY",IF(OR(N110="TITLE VARIANT",O110="REVIEW",O110="MISSING"),"REVIEW","VERIFIED")))</x:f>
        <x:v>UNMATCHED</x:v>
      </x:c>
      <x:c r="S110" s="46" t="str">
        <x:v>Not Reviewed</x:v>
      </x:c>
      <x:c r="T110" s="48"/>
    </x:row>
    <x:row r="111">
      <x:c r="A111" t="n">
        <x:f>Plan_Raw!A111</x:f>
        <x:v>184</x:v>
      </x:c>
      <x:c r="B111" t="str">
        <x:f>Plan_Raw!D111</x:f>
        <x:v>0882</x:v>
      </x:c>
      <x:c r="C111" t="str">
        <x:f>LEFT(Plan_Raw!B111,10)</x:f>
        <x:v>2024-01-06</x:v>
      </x:c>
      <x:c r="D111" t="str">
        <x:f>Plan_Raw!F111</x:f>
        <x:v>COMMN</x:v>
      </x:c>
      <x:c r="E111" t="str">
        <x:f>Plan_Raw!E111</x:f>
        <x:v>Mayoral Staff II</x:v>
      </x:c>
      <x:c r="F111" t="str">
        <x:f>Plan_Raw!C111</x:f>
        <x:v>0882Y</x:v>
      </x:c>
      <x:c r="G111" s="50" t="n">
        <x:f>IF(Plan_Raw!G111="","",IFERROR(VALUE(Plan_Raw!G111),""))</x:f>
        <x:v>27.9625</x:v>
      </x:c>
      <x:c r="H111" t="str">
        <x:f>Plan_Raw!AH111</x:f>
        <x:v>0882|COMMN|2024-01-06</x:v>
      </x:c>
      <x:c r="I111" t="n">
        <x:f>COUNTIF(Rates_Raw!$AF$5:$AF$464,H111)</x:f>
        <x:v>1</x:v>
      </x:c>
      <x:c r="J111" t="str">
        <x:f>IF(I111=1,_xlfn.XLOOKUP(H111,Rates_Raw!$AF$5:$AF$464,Rates_Raw!$E$5:$E$464,""),"")</x:f>
        <x:v>Mayoral Staff II</x:v>
      </x:c>
      <x:c r="K111" t="n">
        <x:f>IF(I111=1,_xlfn.XLOOKUP(H111,Rates_Raw!$AF$5:$AF$464,Rates_Raw!$F$5:$F$464,""),"")</x:f>
        <x:v>2</x:v>
      </x:c>
      <x:c r="L111" s="50" t="n">
        <x:f>IF(I111=1,IFERROR(VALUE(SUBSTITUTE(_xlfn.XLOOKUP(H111,Rates_Raw!$AF$5:$AF$464,Rates_Raw!$L$5:$L$464,""),"$","")),""),"")</x:f>
        <x:v>27.9625</x:v>
      </x:c>
      <x:c r="M111" s="50" t="n">
        <x:f>IF(OR(G111="",L111=""),"",ROUND(G111-L111,4))</x:f>
        <x:v>0</x:v>
      </x:c>
      <x:c r="N111" t="str">
        <x:f>IF(I111=0,"NO MATCH",IF(I111&gt;1,"AMBIGUOUS",IF(EXACT(TRIM(E111),TRIM(J111)),"EXACT","TITLE VARIANT")))</x:f>
        <x:v>EXACT</x:v>
      </x:c>
      <x:c r="O111" t="str">
        <x:f>IF(I111&lt;&gt;1,"NOT TESTED",IF(OR(G111="",L111=""),"MISSING",IF(ABS(M111)&lt;=Guide!$B$16,"PASS","REVIEW")))</x:f>
        <x:v>PASS</x:v>
      </x:c>
      <x:c r="P111" s="52" t="n">
        <x:f>IF(I111=1,IFERROR(VALUE(SUBSTITUTE(SUBSTITUTE(_xlfn.XLOOKUP(H111,Rates_Raw!$AF$5:$AF$464,Rates_Raw!$I$5:$I$464,""),"$",""),",","")),""),"")</x:f>
        <x:v>2237</x:v>
      </x:c>
      <x:c r="Q111" s="52" t="n">
        <x:f>IF(P111="","",P111*Guide!$B$15)</x:f>
        <x:v>58162</x:v>
      </x:c>
      <x:c r="R111" t="str">
        <x:f>IF(I111=0,"UNMATCHED",IF(I111&gt;1,"DUPLICATE KEY",IF(OR(N111="TITLE VARIANT",O111="REVIEW",O111="MISSING"),"REVIEW","VERIFIED")))</x:f>
        <x:v>VERIFIED</x:v>
      </x:c>
      <x:c r="S111" s="46" t="str">
        <x:v>Not Reviewed</x:v>
      </x:c>
      <x:c r="T111" s="48"/>
    </x:row>
    <x:row r="112">
      <x:c r="A112" t="n">
        <x:f>Plan_Raw!A112</x:f>
        <x:v>185</x:v>
      </x:c>
      <x:c r="B112" t="str">
        <x:f>Plan_Raw!D112</x:f>
        <x:v>0882</x:v>
      </x:c>
      <x:c r="C112" t="str">
        <x:f>LEFT(Plan_Raw!B112,10)</x:f>
        <x:v>2024-07-01</x:v>
      </x:c>
      <x:c r="D112" t="str">
        <x:f>Plan_Raw!F112</x:f>
        <x:v>COMMN</x:v>
      </x:c>
      <x:c r="E112" t="str">
        <x:f>Plan_Raw!E112</x:f>
        <x:v>Mayoral Staff II</x:v>
      </x:c>
      <x:c r="F112" t="str">
        <x:f>Plan_Raw!C112</x:f>
        <x:v>0882Z</x:v>
      </x:c>
      <x:c r="G112" s="50" t="n">
        <x:f>IF(Plan_Raw!G112="","",IFERROR(VALUE(Plan_Raw!G112),""))</x:f>
        <x:v>28.3875</x:v>
      </x:c>
      <x:c r="H112" t="str">
        <x:f>Plan_Raw!AH112</x:f>
        <x:v>0882|COMMN|2024-07-01</x:v>
      </x:c>
      <x:c r="I112" t="n">
        <x:f>COUNTIF(Rates_Raw!$AF$5:$AF$464,H112)</x:f>
        <x:v>1</x:v>
      </x:c>
      <x:c r="J112" t="str">
        <x:f>IF(I112=1,_xlfn.XLOOKUP(H112,Rates_Raw!$AF$5:$AF$464,Rates_Raw!$E$5:$E$464,""),"")</x:f>
        <x:v>Mayoral Staff II</x:v>
      </x:c>
      <x:c r="K112" t="n">
        <x:f>IF(I112=1,_xlfn.XLOOKUP(H112,Rates_Raw!$AF$5:$AF$464,Rates_Raw!$F$5:$F$464,""),"")</x:f>
        <x:v>2</x:v>
      </x:c>
      <x:c r="L112" s="50" t="n">
        <x:f>IF(I112=1,IFERROR(VALUE(SUBSTITUTE(_xlfn.XLOOKUP(H112,Rates_Raw!$AF$5:$AF$464,Rates_Raw!$L$5:$L$464,""),"$","")),""),"")</x:f>
        <x:v>28.3875</x:v>
      </x:c>
      <x:c r="M112" s="50" t="n">
        <x:f>IF(OR(G112="",L112=""),"",ROUND(G112-L112,4))</x:f>
        <x:v>0</x:v>
      </x:c>
      <x:c r="N112" t="str">
        <x:f>IF(I112=0,"NO MATCH",IF(I112&gt;1,"AMBIGUOUS",IF(EXACT(TRIM(E112),TRIM(J112)),"EXACT","TITLE VARIANT")))</x:f>
        <x:v>EXACT</x:v>
      </x:c>
      <x:c r="O112" t="str">
        <x:f>IF(I112&lt;&gt;1,"NOT TESTED",IF(OR(G112="",L112=""),"MISSING",IF(ABS(M112)&lt;=Guide!$B$16,"PASS","REVIEW")))</x:f>
        <x:v>PASS</x:v>
      </x:c>
      <x:c r="P112" s="52" t="n">
        <x:f>IF(I112=1,IFERROR(VALUE(SUBSTITUTE(SUBSTITUTE(_xlfn.XLOOKUP(H112,Rates_Raw!$AF$5:$AF$464,Rates_Raw!$I$5:$I$464,""),"$",""),",","")),""),"")</x:f>
        <x:v>2271</x:v>
      </x:c>
      <x:c r="Q112" s="52" t="n">
        <x:f>IF(P112="","",P112*Guide!$B$15)</x:f>
        <x:v>59046</x:v>
      </x:c>
      <x:c r="R112" t="str">
        <x:f>IF(I112=0,"UNMATCHED",IF(I112&gt;1,"DUPLICATE KEY",IF(OR(N112="TITLE VARIANT",O112="REVIEW",O112="MISSING"),"REVIEW","VERIFIED")))</x:f>
        <x:v>VERIFIED</x:v>
      </x:c>
      <x:c r="S112" s="46" t="str">
        <x:v>Not Reviewed</x:v>
      </x:c>
      <x:c r="T112" s="48"/>
    </x:row>
    <x:row r="113">
      <x:c r="A113" t="n">
        <x:f>Plan_Raw!A113</x:f>
        <x:v>186</x:v>
      </x:c>
      <x:c r="B113" t="str">
        <x:f>Plan_Raw!D113</x:f>
        <x:v>0882</x:v>
      </x:c>
      <x:c r="C113" t="str">
        <x:f>LEFT(Plan_Raw!B113,10)</x:f>
        <x:v>2025-01-04</x:v>
      </x:c>
      <x:c r="D113" t="str">
        <x:f>Plan_Raw!F113</x:f>
        <x:v>COMMN</x:v>
      </x:c>
      <x:c r="E113" t="str">
        <x:f>Plan_Raw!E113</x:f>
        <x:v>Mayoral Staff II</x:v>
      </x:c>
      <x:c r="F113" t="str">
        <x:f>Plan_Raw!C113</x:f>
        <x:v>0882A</x:v>
      </x:c>
      <x:c r="G113" s="50" t="n">
        <x:f>IF(Plan_Raw!G113="","",IFERROR(VALUE(Plan_Raw!G113),""))</x:f>
        <x:v>28.8125</x:v>
      </x:c>
      <x:c r="H113" t="str">
        <x:f>Plan_Raw!AH113</x:f>
        <x:v>0882|COMMN|2025-01-04</x:v>
      </x:c>
      <x:c r="I113" t="n">
        <x:f>COUNTIF(Rates_Raw!$AF$5:$AF$464,H113)</x:f>
        <x:v>1</x:v>
      </x:c>
      <x:c r="J113" t="str">
        <x:f>IF(I113=1,_xlfn.XLOOKUP(H113,Rates_Raw!$AF$5:$AF$464,Rates_Raw!$E$5:$E$464,""),"")</x:f>
        <x:v>Mayoral Staff II</x:v>
      </x:c>
      <x:c r="K113" t="n">
        <x:f>IF(I113=1,_xlfn.XLOOKUP(H113,Rates_Raw!$AF$5:$AF$464,Rates_Raw!$F$5:$F$464,""),"")</x:f>
        <x:v>2</x:v>
      </x:c>
      <x:c r="L113" s="50" t="n">
        <x:f>IF(I113=1,IFERROR(VALUE(SUBSTITUTE(_xlfn.XLOOKUP(H113,Rates_Raw!$AF$5:$AF$464,Rates_Raw!$L$5:$L$464,""),"$","")),""),"")</x:f>
        <x:v>28.8125</x:v>
      </x:c>
      <x:c r="M113" s="50" t="n">
        <x:f>IF(OR(G113="",L113=""),"",ROUND(G113-L113,4))</x:f>
        <x:v>0</x:v>
      </x:c>
      <x:c r="N113" t="str">
        <x:f>IF(I113=0,"NO MATCH",IF(I113&gt;1,"AMBIGUOUS",IF(EXACT(TRIM(E113),TRIM(J113)),"EXACT","TITLE VARIANT")))</x:f>
        <x:v>EXACT</x:v>
      </x:c>
      <x:c r="O113" t="str">
        <x:f>IF(I113&lt;&gt;1,"NOT TESTED",IF(OR(G113="",L113=""),"MISSING",IF(ABS(M113)&lt;=Guide!$B$16,"PASS","REVIEW")))</x:f>
        <x:v>PASS</x:v>
      </x:c>
      <x:c r="P113" s="52" t="n">
        <x:f>IF(I113=1,IFERROR(VALUE(SUBSTITUTE(SUBSTITUTE(_xlfn.XLOOKUP(H113,Rates_Raw!$AF$5:$AF$464,Rates_Raw!$I$5:$I$464,""),"$",""),",","")),""),"")</x:f>
        <x:v>2305</x:v>
      </x:c>
      <x:c r="Q113" s="52" t="n">
        <x:f>IF(P113="","",P113*Guide!$B$15)</x:f>
        <x:v>59930</x:v>
      </x:c>
      <x:c r="R113" t="str">
        <x:f>IF(I113=0,"UNMATCHED",IF(I113&gt;1,"DUPLICATE KEY",IF(OR(N113="TITLE VARIANT",O113="REVIEW",O113="MISSING"),"REVIEW","VERIFIED")))</x:f>
        <x:v>VERIFIED</x:v>
      </x:c>
      <x:c r="S113" s="46" t="str">
        <x:v>Not Reviewed</x:v>
      </x:c>
      <x:c r="T113" s="48"/>
    </x:row>
    <x:row r="114">
      <x:c r="A114" t="n">
        <x:f>Plan_Raw!A114</x:f>
        <x:v>187</x:v>
      </x:c>
      <x:c r="B114" t="str">
        <x:f>Plan_Raw!D114</x:f>
        <x:v>0882</x:v>
      </x:c>
      <x:c r="C114" t="str">
        <x:f>LEFT(Plan_Raw!B114,10)</x:f>
        <x:v>2025-07-01</x:v>
      </x:c>
      <x:c r="D114" t="str">
        <x:f>Plan_Raw!F114</x:f>
        <x:v>COMMN</x:v>
      </x:c>
      <x:c r="E114" t="str">
        <x:f>Plan_Raw!E114</x:f>
        <x:v>Mayoral Staff II</x:v>
      </x:c>
      <x:c r="F114" t="str">
        <x:f>Plan_Raw!C114</x:f>
        <x:v>0882B</x:v>
      </x:c>
      <x:c r="G114" s="50" t="n">
        <x:f>IF(Plan_Raw!G114="","",IFERROR(VALUE(Plan_Raw!G114),""))</x:f>
        <x:v>29.3875</x:v>
      </x:c>
      <x:c r="H114" t="str">
        <x:f>Plan_Raw!AH114</x:f>
        <x:v>0882|COMMN|2025-07-01</x:v>
      </x:c>
      <x:c r="I114" t="n">
        <x:f>COUNTIF(Rates_Raw!$AF$5:$AF$464,H114)</x:f>
        <x:v>1</x:v>
      </x:c>
      <x:c r="J114" t="str">
        <x:f>IF(I114=1,_xlfn.XLOOKUP(H114,Rates_Raw!$AF$5:$AF$464,Rates_Raw!$E$5:$E$464,""),"")</x:f>
        <x:v>Mayoral Staff II</x:v>
      </x:c>
      <x:c r="K114" t="n">
        <x:f>IF(I114=1,_xlfn.XLOOKUP(H114,Rates_Raw!$AF$5:$AF$464,Rates_Raw!$F$5:$F$464,""),"")</x:f>
        <x:v>2</x:v>
      </x:c>
      <x:c r="L114" s="50" t="n">
        <x:f>IF(I114=1,IFERROR(VALUE(SUBSTITUTE(_xlfn.XLOOKUP(H114,Rates_Raw!$AF$5:$AF$464,Rates_Raw!$L$5:$L$464,""),"$","")),""),"")</x:f>
        <x:v>29.3875</x:v>
      </x:c>
      <x:c r="M114" s="50" t="n">
        <x:f>IF(OR(G114="",L114=""),"",ROUND(G114-L114,4))</x:f>
        <x:v>0</x:v>
      </x:c>
      <x:c r="N114" t="str">
        <x:f>IF(I114=0,"NO MATCH",IF(I114&gt;1,"AMBIGUOUS",IF(EXACT(TRIM(E114),TRIM(J114)),"EXACT","TITLE VARIANT")))</x:f>
        <x:v>EXACT</x:v>
      </x:c>
      <x:c r="O114" t="str">
        <x:f>IF(I114&lt;&gt;1,"NOT TESTED",IF(OR(G114="",L114=""),"MISSING",IF(ABS(M114)&lt;=Guide!$B$16,"PASS","REVIEW")))</x:f>
        <x:v>PASS</x:v>
      </x:c>
      <x:c r="P114" s="52" t="n">
        <x:f>IF(I114=1,IFERROR(VALUE(SUBSTITUTE(SUBSTITUTE(_xlfn.XLOOKUP(H114,Rates_Raw!$AF$5:$AF$464,Rates_Raw!$I$5:$I$464,""),"$",""),",","")),""),"")</x:f>
        <x:v>2351</x:v>
      </x:c>
      <x:c r="Q114" s="52" t="n">
        <x:f>IF(P114="","",P114*Guide!$B$15)</x:f>
        <x:v>61126</x:v>
      </x:c>
      <x:c r="R114" t="str">
        <x:f>IF(I114=0,"UNMATCHED",IF(I114&gt;1,"DUPLICATE KEY",IF(OR(N114="TITLE VARIANT",O114="REVIEW",O114="MISSING"),"REVIEW","VERIFIED")))</x:f>
        <x:v>VERIFIED</x:v>
      </x:c>
      <x:c r="S114" s="46" t="str">
        <x:v>Not Reviewed</x:v>
      </x:c>
      <x:c r="T114" s="48"/>
    </x:row>
    <x:row r="115">
      <x:c r="A115" t="n">
        <x:f>Plan_Raw!A115</x:f>
        <x:v>188</x:v>
      </x:c>
      <x:c r="B115" t="str">
        <x:f>Plan_Raw!D115</x:f>
        <x:v>0882</x:v>
      </x:c>
      <x:c r="C115" t="str">
        <x:f>LEFT(Plan_Raw!B115,10)</x:f>
        <x:v>2026-01-03</x:v>
      </x:c>
      <x:c r="D115" t="str">
        <x:f>Plan_Raw!F115</x:f>
        <x:v>COMMN</x:v>
      </x:c>
      <x:c r="E115" t="str">
        <x:f>Plan_Raw!E115</x:f>
        <x:v>Mayoral Staff II</x:v>
      </x:c>
      <x:c r="F115" t="str">
        <x:f>Plan_Raw!C115</x:f>
        <x:v>0882C</x:v>
      </x:c>
      <x:c r="G115" s="50" t="n">
        <x:f>IF(Plan_Raw!G115="","",IFERROR(VALUE(Plan_Raw!G115),""))</x:f>
        <x:v>29.825</x:v>
      </x:c>
      <x:c r="H115" t="str">
        <x:f>Plan_Raw!AH115</x:f>
        <x:v>0882|COMMN|2026-01-03</x:v>
      </x:c>
      <x:c r="I115" t="n">
        <x:f>COUNTIF(Rates_Raw!$AF$5:$AF$464,H115)</x:f>
        <x:v>1</x:v>
      </x:c>
      <x:c r="J115" t="str">
        <x:f>IF(I115=1,_xlfn.XLOOKUP(H115,Rates_Raw!$AF$5:$AF$464,Rates_Raw!$E$5:$E$464,""),"")</x:f>
        <x:v>Mayoral Staff II</x:v>
      </x:c>
      <x:c r="K115" t="n">
        <x:f>IF(I115=1,_xlfn.XLOOKUP(H115,Rates_Raw!$AF$5:$AF$464,Rates_Raw!$F$5:$F$464,""),"")</x:f>
        <x:v>2</x:v>
      </x:c>
      <x:c r="L115" s="50" t="n">
        <x:f>IF(I115=1,IFERROR(VALUE(SUBSTITUTE(_xlfn.XLOOKUP(H115,Rates_Raw!$AF$5:$AF$464,Rates_Raw!$L$5:$L$464,""),"$","")),""),"")</x:f>
        <x:v>29.825</x:v>
      </x:c>
      <x:c r="M115" s="50" t="n">
        <x:f>IF(OR(G115="",L115=""),"",ROUND(G115-L115,4))</x:f>
        <x:v>0</x:v>
      </x:c>
      <x:c r="N115" t="str">
        <x:f>IF(I115=0,"NO MATCH",IF(I115&gt;1,"AMBIGUOUS",IF(EXACT(TRIM(E115),TRIM(J115)),"EXACT","TITLE VARIANT")))</x:f>
        <x:v>EXACT</x:v>
      </x:c>
      <x:c r="O115" t="str">
        <x:f>IF(I115&lt;&gt;1,"NOT TESTED",IF(OR(G115="",L115=""),"MISSING",IF(ABS(M115)&lt;=Guide!$B$16,"PASS","REVIEW")))</x:f>
        <x:v>PASS</x:v>
      </x:c>
      <x:c r="P115" s="52" t="n">
        <x:f>IF(I115=1,IFERROR(VALUE(SUBSTITUTE(SUBSTITUTE(_xlfn.XLOOKUP(H115,Rates_Raw!$AF$5:$AF$464,Rates_Raw!$I$5:$I$464,""),"$",""),",","")),""),"")</x:f>
        <x:v>2386</x:v>
      </x:c>
      <x:c r="Q115" s="52" t="n">
        <x:f>IF(P115="","",P115*Guide!$B$15)</x:f>
        <x:v>62036</x:v>
      </x:c>
      <x:c r="R115" t="str">
        <x:f>IF(I115=0,"UNMATCHED",IF(I115&gt;1,"DUPLICATE KEY",IF(OR(N115="TITLE VARIANT",O115="REVIEW",O115="MISSING"),"REVIEW","VERIFIED")))</x:f>
        <x:v>VERIFIED</x:v>
      </x:c>
      <x:c r="S115" s="46" t="str">
        <x:v>Not Reviewed</x:v>
      </x:c>
      <x:c r="T115" s="48"/>
    </x:row>
    <x:row r="116">
      <x:c r="A116" t="n">
        <x:f>Plan_Raw!A116</x:f>
        <x:v>189</x:v>
      </x:c>
      <x:c r="B116" t="str">
        <x:f>Plan_Raw!D116</x:f>
        <x:v>0882</x:v>
      </x:c>
      <x:c r="C116" t="str">
        <x:f>LEFT(Plan_Raw!B116,10)</x:f>
        <x:v>2026-07-01</x:v>
      </x:c>
      <x:c r="D116" t="str">
        <x:f>Plan_Raw!F116</x:f>
        <x:v>COMMN</x:v>
      </x:c>
      <x:c r="E116" t="str">
        <x:f>Plan_Raw!E116</x:f>
        <x:v>Mayoral Staff II</x:v>
      </x:c>
      <x:c r="F116" t="str">
        <x:f>Plan_Raw!C116</x:f>
        <x:v>0882D</x:v>
      </x:c>
      <x:c r="G116" s="50" t="n">
        <x:f>IF(Plan_Raw!G116="","",IFERROR(VALUE(Plan_Raw!G116),""))</x:f>
        <x:v>30.425</x:v>
      </x:c>
      <x:c r="H116" t="str">
        <x:f>Plan_Raw!AH116</x:f>
        <x:v>0882|COMMN|2026-07-01</x:v>
      </x:c>
      <x:c r="I116" t="n">
        <x:f>COUNTIF(Rates_Raw!$AF$5:$AF$464,H116)</x:f>
        <x:v>0</x:v>
      </x:c>
      <x:c r="J116" t="str">
        <x:f>IF(I116=1,_xlfn.XLOOKUP(H116,Rates_Raw!$AF$5:$AF$464,Rates_Raw!$E$5:$E$464,""),"")</x:f>
      </x:c>
      <x:c r="K116" t="str">
        <x:f>IF(I116=1,_xlfn.XLOOKUP(H116,Rates_Raw!$AF$5:$AF$464,Rates_Raw!$F$5:$F$464,""),"")</x:f>
      </x:c>
      <x:c r="L116" s="50" t="str">
        <x:f>IF(I116=1,IFERROR(VALUE(SUBSTITUTE(_xlfn.XLOOKUP(H116,Rates_Raw!$AF$5:$AF$464,Rates_Raw!$L$5:$L$464,""),"$","")),""),"")</x:f>
      </x:c>
      <x:c r="M116" s="50" t="str">
        <x:f>IF(OR(G116="",L116=""),"",ROUND(G116-L116,4))</x:f>
      </x:c>
      <x:c r="N116" t="str">
        <x:f>IF(I116=0,"NO MATCH",IF(I116&gt;1,"AMBIGUOUS",IF(EXACT(TRIM(E116),TRIM(J116)),"EXACT","TITLE VARIANT")))</x:f>
        <x:v>NO MATCH</x:v>
      </x:c>
      <x:c r="O116" t="str">
        <x:f>IF(I116&lt;&gt;1,"NOT TESTED",IF(OR(G116="",L116=""),"MISSING",IF(ABS(M116)&lt;=Guide!$B$16,"PASS","REVIEW")))</x:f>
        <x:v>NOT TESTED</x:v>
      </x:c>
      <x:c r="P116" s="52" t="str">
        <x:f>IF(I116=1,IFERROR(VALUE(SUBSTITUTE(SUBSTITUTE(_xlfn.XLOOKUP(H116,Rates_Raw!$AF$5:$AF$464,Rates_Raw!$I$5:$I$464,""),"$",""),",","")),""),"")</x:f>
      </x:c>
      <x:c r="Q116" s="52" t="str">
        <x:f>IF(P116="","",P116*Guide!$B$15)</x:f>
      </x:c>
      <x:c r="R116" t="str">
        <x:f>IF(I116=0,"UNMATCHED",IF(I116&gt;1,"DUPLICATE KEY",IF(OR(N116="TITLE VARIANT",O116="REVIEW",O116="MISSING"),"REVIEW","VERIFIED")))</x:f>
        <x:v>UNMATCHED</x:v>
      </x:c>
      <x:c r="S116" s="46" t="str">
        <x:v>Not Reviewed</x:v>
      </x:c>
      <x:c r="T116" s="48"/>
    </x:row>
    <x:row r="117">
      <x:c r="A117" t="n">
        <x:f>Plan_Raw!A117</x:f>
        <x:v>196</x:v>
      </x:c>
      <x:c r="B117" t="str">
        <x:f>Plan_Raw!D117</x:f>
        <x:v>0883</x:v>
      </x:c>
      <x:c r="C117" t="str">
        <x:f>LEFT(Plan_Raw!B117,10)</x:f>
        <x:v>2024-01-06</x:v>
      </x:c>
      <x:c r="D117" t="str">
        <x:f>Plan_Raw!F117</x:f>
        <x:v>COMMN</x:v>
      </x:c>
      <x:c r="E117" t="str">
        <x:f>Plan_Raw!E117</x:f>
        <x:v>Mayoral Staff III</x:v>
      </x:c>
      <x:c r="F117" t="str">
        <x:f>Plan_Raw!C117</x:f>
        <x:v>0883Y</x:v>
      </x:c>
      <x:c r="G117" s="50" t="n">
        <x:f>IF(Plan_Raw!G117="","",IFERROR(VALUE(Plan_Raw!G117),""))</x:f>
        <x:v>30.075</x:v>
      </x:c>
      <x:c r="H117" t="str">
        <x:f>Plan_Raw!AH117</x:f>
        <x:v>0883|COMMN|2024-01-06</x:v>
      </x:c>
      <x:c r="I117" t="n">
        <x:f>COUNTIF(Rates_Raw!$AF$5:$AF$464,H117)</x:f>
        <x:v>1</x:v>
      </x:c>
      <x:c r="J117" t="str">
        <x:f>IF(I117=1,_xlfn.XLOOKUP(H117,Rates_Raw!$AF$5:$AF$464,Rates_Raw!$E$5:$E$464,""),"")</x:f>
        <x:v>Mayoral Staff III</x:v>
      </x:c>
      <x:c r="K117" t="n">
        <x:f>IF(I117=1,_xlfn.XLOOKUP(H117,Rates_Raw!$AF$5:$AF$464,Rates_Raw!$F$5:$F$464,""),"")</x:f>
        <x:v>2</x:v>
      </x:c>
      <x:c r="L117" s="50" t="n">
        <x:f>IF(I117=1,IFERROR(VALUE(SUBSTITUTE(_xlfn.XLOOKUP(H117,Rates_Raw!$AF$5:$AF$464,Rates_Raw!$L$5:$L$464,""),"$","")),""),"")</x:f>
        <x:v>30.075</x:v>
      </x:c>
      <x:c r="M117" s="50" t="n">
        <x:f>IF(OR(G117="",L117=""),"",ROUND(G117-L117,4))</x:f>
        <x:v>0</x:v>
      </x:c>
      <x:c r="N117" t="str">
        <x:f>IF(I117=0,"NO MATCH",IF(I117&gt;1,"AMBIGUOUS",IF(EXACT(TRIM(E117),TRIM(J117)),"EXACT","TITLE VARIANT")))</x:f>
        <x:v>EXACT</x:v>
      </x:c>
      <x:c r="O117" t="str">
        <x:f>IF(I117&lt;&gt;1,"NOT TESTED",IF(OR(G117="",L117=""),"MISSING",IF(ABS(M117)&lt;=Guide!$B$16,"PASS","REVIEW")))</x:f>
        <x:v>PASS</x:v>
      </x:c>
      <x:c r="P117" s="52" t="n">
        <x:f>IF(I117=1,IFERROR(VALUE(SUBSTITUTE(SUBSTITUTE(_xlfn.XLOOKUP(H117,Rates_Raw!$AF$5:$AF$464,Rates_Raw!$I$5:$I$464,""),"$",""),",","")),""),"")</x:f>
        <x:v>2406</x:v>
      </x:c>
      <x:c r="Q117" s="52" t="n">
        <x:f>IF(P117="","",P117*Guide!$B$15)</x:f>
        <x:v>62556</x:v>
      </x:c>
      <x:c r="R117" t="str">
        <x:f>IF(I117=0,"UNMATCHED",IF(I117&gt;1,"DUPLICATE KEY",IF(OR(N117="TITLE VARIANT",O117="REVIEW",O117="MISSING"),"REVIEW","VERIFIED")))</x:f>
        <x:v>VERIFIED</x:v>
      </x:c>
      <x:c r="S117" s="46" t="str">
        <x:v>Not Reviewed</x:v>
      </x:c>
      <x:c r="T117" s="48"/>
    </x:row>
    <x:row r="118">
      <x:c r="A118" t="n">
        <x:f>Plan_Raw!A118</x:f>
        <x:v>197</x:v>
      </x:c>
      <x:c r="B118" t="str">
        <x:f>Plan_Raw!D118</x:f>
        <x:v>0883</x:v>
      </x:c>
      <x:c r="C118" t="str">
        <x:f>LEFT(Plan_Raw!B118,10)</x:f>
        <x:v>2024-07-01</x:v>
      </x:c>
      <x:c r="D118" t="str">
        <x:f>Plan_Raw!F118</x:f>
        <x:v>COMMN</x:v>
      </x:c>
      <x:c r="E118" t="str">
        <x:f>Plan_Raw!E118</x:f>
        <x:v>Mayoral Staff III</x:v>
      </x:c>
      <x:c r="F118" t="str">
        <x:f>Plan_Raw!C118</x:f>
        <x:v>0883Z</x:v>
      </x:c>
      <x:c r="G118" s="50" t="n">
        <x:f>IF(Plan_Raw!G118="","",IFERROR(VALUE(Plan_Raw!G118),""))</x:f>
        <x:v>30.525</x:v>
      </x:c>
      <x:c r="H118" t="str">
        <x:f>Plan_Raw!AH118</x:f>
        <x:v>0883|COMMN|2024-07-01</x:v>
      </x:c>
      <x:c r="I118" t="n">
        <x:f>COUNTIF(Rates_Raw!$AF$5:$AF$464,H118)</x:f>
        <x:v>1</x:v>
      </x:c>
      <x:c r="J118" t="str">
        <x:f>IF(I118=1,_xlfn.XLOOKUP(H118,Rates_Raw!$AF$5:$AF$464,Rates_Raw!$E$5:$E$464,""),"")</x:f>
        <x:v>Mayoral Staff III</x:v>
      </x:c>
      <x:c r="K118" t="n">
        <x:f>IF(I118=1,_xlfn.XLOOKUP(H118,Rates_Raw!$AF$5:$AF$464,Rates_Raw!$F$5:$F$464,""),"")</x:f>
        <x:v>2</x:v>
      </x:c>
      <x:c r="L118" s="50" t="n">
        <x:f>IF(I118=1,IFERROR(VALUE(SUBSTITUTE(_xlfn.XLOOKUP(H118,Rates_Raw!$AF$5:$AF$464,Rates_Raw!$L$5:$L$464,""),"$","")),""),"")</x:f>
        <x:v>30.525</x:v>
      </x:c>
      <x:c r="M118" s="50" t="n">
        <x:f>IF(OR(G118="",L118=""),"",ROUND(G118-L118,4))</x:f>
        <x:v>0</x:v>
      </x:c>
      <x:c r="N118" t="str">
        <x:f>IF(I118=0,"NO MATCH",IF(I118&gt;1,"AMBIGUOUS",IF(EXACT(TRIM(E118),TRIM(J118)),"EXACT","TITLE VARIANT")))</x:f>
        <x:v>EXACT</x:v>
      </x:c>
      <x:c r="O118" t="str">
        <x:f>IF(I118&lt;&gt;1,"NOT TESTED",IF(OR(G118="",L118=""),"MISSING",IF(ABS(M118)&lt;=Guide!$B$16,"PASS","REVIEW")))</x:f>
        <x:v>PASS</x:v>
      </x:c>
      <x:c r="P118" s="52" t="n">
        <x:f>IF(I118=1,IFERROR(VALUE(SUBSTITUTE(SUBSTITUTE(_xlfn.XLOOKUP(H118,Rates_Raw!$AF$5:$AF$464,Rates_Raw!$I$5:$I$464,""),"$",""),",","")),""),"")</x:f>
        <x:v>2442</x:v>
      </x:c>
      <x:c r="Q118" s="52" t="n">
        <x:f>IF(P118="","",P118*Guide!$B$15)</x:f>
        <x:v>63492</x:v>
      </x:c>
      <x:c r="R118" t="str">
        <x:f>IF(I118=0,"UNMATCHED",IF(I118&gt;1,"DUPLICATE KEY",IF(OR(N118="TITLE VARIANT",O118="REVIEW",O118="MISSING"),"REVIEW","VERIFIED")))</x:f>
        <x:v>VERIFIED</x:v>
      </x:c>
      <x:c r="S118" s="46" t="str">
        <x:v>Not Reviewed</x:v>
      </x:c>
      <x:c r="T118" s="48"/>
    </x:row>
    <x:row r="119">
      <x:c r="A119" t="n">
        <x:f>Plan_Raw!A119</x:f>
        <x:v>198</x:v>
      </x:c>
      <x:c r="B119" t="str">
        <x:f>Plan_Raw!D119</x:f>
        <x:v>0883</x:v>
      </x:c>
      <x:c r="C119" t="str">
        <x:f>LEFT(Plan_Raw!B119,10)</x:f>
        <x:v>2025-01-04</x:v>
      </x:c>
      <x:c r="D119" t="str">
        <x:f>Plan_Raw!F119</x:f>
        <x:v>COMMN</x:v>
      </x:c>
      <x:c r="E119" t="str">
        <x:f>Plan_Raw!E119</x:f>
        <x:v>Mayoral Staff III</x:v>
      </x:c>
      <x:c r="F119" t="str">
        <x:f>Plan_Raw!C119</x:f>
        <x:v>0883A</x:v>
      </x:c>
      <x:c r="G119" s="50" t="n">
        <x:f>IF(Plan_Raw!G119="","",IFERROR(VALUE(Plan_Raw!G119),""))</x:f>
        <x:v>30.9875</x:v>
      </x:c>
      <x:c r="H119" t="str">
        <x:f>Plan_Raw!AH119</x:f>
        <x:v>0883|COMMN|2025-01-04</x:v>
      </x:c>
      <x:c r="I119" t="n">
        <x:f>COUNTIF(Rates_Raw!$AF$5:$AF$464,H119)</x:f>
        <x:v>1</x:v>
      </x:c>
      <x:c r="J119" t="str">
        <x:f>IF(I119=1,_xlfn.XLOOKUP(H119,Rates_Raw!$AF$5:$AF$464,Rates_Raw!$E$5:$E$464,""),"")</x:f>
        <x:v>Mayoral Staff III</x:v>
      </x:c>
      <x:c r="K119" t="n">
        <x:f>IF(I119=1,_xlfn.XLOOKUP(H119,Rates_Raw!$AF$5:$AF$464,Rates_Raw!$F$5:$F$464,""),"")</x:f>
        <x:v>2</x:v>
      </x:c>
      <x:c r="L119" s="50" t="n">
        <x:f>IF(I119=1,IFERROR(VALUE(SUBSTITUTE(_xlfn.XLOOKUP(H119,Rates_Raw!$AF$5:$AF$464,Rates_Raw!$L$5:$L$464,""),"$","")),""),"")</x:f>
        <x:v>30.9875</x:v>
      </x:c>
      <x:c r="M119" s="50" t="n">
        <x:f>IF(OR(G119="",L119=""),"",ROUND(G119-L119,4))</x:f>
        <x:v>0</x:v>
      </x:c>
      <x:c r="N119" t="str">
        <x:f>IF(I119=0,"NO MATCH",IF(I119&gt;1,"AMBIGUOUS",IF(EXACT(TRIM(E119),TRIM(J119)),"EXACT","TITLE VARIANT")))</x:f>
        <x:v>EXACT</x:v>
      </x:c>
      <x:c r="O119" t="str">
        <x:f>IF(I119&lt;&gt;1,"NOT TESTED",IF(OR(G119="",L119=""),"MISSING",IF(ABS(M119)&lt;=Guide!$B$16,"PASS","REVIEW")))</x:f>
        <x:v>PASS</x:v>
      </x:c>
      <x:c r="P119" s="52" t="n">
        <x:f>IF(I119=1,IFERROR(VALUE(SUBSTITUTE(SUBSTITUTE(_xlfn.XLOOKUP(H119,Rates_Raw!$AF$5:$AF$464,Rates_Raw!$I$5:$I$464,""),"$",""),",","")),""),"")</x:f>
        <x:v>2479</x:v>
      </x:c>
      <x:c r="Q119" s="52" t="n">
        <x:f>IF(P119="","",P119*Guide!$B$15)</x:f>
        <x:v>64454</x:v>
      </x:c>
      <x:c r="R119" t="str">
        <x:f>IF(I119=0,"UNMATCHED",IF(I119&gt;1,"DUPLICATE KEY",IF(OR(N119="TITLE VARIANT",O119="REVIEW",O119="MISSING"),"REVIEW","VERIFIED")))</x:f>
        <x:v>VERIFIED</x:v>
      </x:c>
      <x:c r="S119" s="46" t="str">
        <x:v>Not Reviewed</x:v>
      </x:c>
      <x:c r="T119" s="48"/>
    </x:row>
    <x:row r="120">
      <x:c r="A120" t="n">
        <x:f>Plan_Raw!A120</x:f>
        <x:v>199</x:v>
      </x:c>
      <x:c r="B120" t="str">
        <x:f>Plan_Raw!D120</x:f>
        <x:v>0883</x:v>
      </x:c>
      <x:c r="C120" t="str">
        <x:f>LEFT(Plan_Raw!B120,10)</x:f>
        <x:v>2025-07-01</x:v>
      </x:c>
      <x:c r="D120" t="str">
        <x:f>Plan_Raw!F120</x:f>
        <x:v>COMMN</x:v>
      </x:c>
      <x:c r="E120" t="str">
        <x:f>Plan_Raw!E120</x:f>
        <x:v>Mayoral Staff III</x:v>
      </x:c>
      <x:c r="F120" t="str">
        <x:f>Plan_Raw!C120</x:f>
        <x:v>0883B</x:v>
      </x:c>
      <x:c r="G120" s="50" t="n">
        <x:f>IF(Plan_Raw!G120="","",IFERROR(VALUE(Plan_Raw!G120),""))</x:f>
        <x:v>31.6125</x:v>
      </x:c>
      <x:c r="H120" t="str">
        <x:f>Plan_Raw!AH120</x:f>
        <x:v>0883|COMMN|2025-07-01</x:v>
      </x:c>
      <x:c r="I120" t="n">
        <x:f>COUNTIF(Rates_Raw!$AF$5:$AF$464,H120)</x:f>
        <x:v>1</x:v>
      </x:c>
      <x:c r="J120" t="str">
        <x:f>IF(I120=1,_xlfn.XLOOKUP(H120,Rates_Raw!$AF$5:$AF$464,Rates_Raw!$E$5:$E$464,""),"")</x:f>
        <x:v>Mayoral Staff III</x:v>
      </x:c>
      <x:c r="K120" t="n">
        <x:f>IF(I120=1,_xlfn.XLOOKUP(H120,Rates_Raw!$AF$5:$AF$464,Rates_Raw!$F$5:$F$464,""),"")</x:f>
        <x:v>2</x:v>
      </x:c>
      <x:c r="L120" s="50" t="n">
        <x:f>IF(I120=1,IFERROR(VALUE(SUBSTITUTE(_xlfn.XLOOKUP(H120,Rates_Raw!$AF$5:$AF$464,Rates_Raw!$L$5:$L$464,""),"$","")),""),"")</x:f>
        <x:v>31.6125</x:v>
      </x:c>
      <x:c r="M120" s="50" t="n">
        <x:f>IF(OR(G120="",L120=""),"",ROUND(G120-L120,4))</x:f>
        <x:v>0</x:v>
      </x:c>
      <x:c r="N120" t="str">
        <x:f>IF(I120=0,"NO MATCH",IF(I120&gt;1,"AMBIGUOUS",IF(EXACT(TRIM(E120),TRIM(J120)),"EXACT","TITLE VARIANT")))</x:f>
        <x:v>EXACT</x:v>
      </x:c>
      <x:c r="O120" t="str">
        <x:f>IF(I120&lt;&gt;1,"NOT TESTED",IF(OR(G120="",L120=""),"MISSING",IF(ABS(M120)&lt;=Guide!$B$16,"PASS","REVIEW")))</x:f>
        <x:v>PASS</x:v>
      </x:c>
      <x:c r="P120" s="52" t="n">
        <x:f>IF(I120=1,IFERROR(VALUE(SUBSTITUTE(SUBSTITUTE(_xlfn.XLOOKUP(H120,Rates_Raw!$AF$5:$AF$464,Rates_Raw!$I$5:$I$464,""),"$",""),",","")),""),"")</x:f>
        <x:v>2529</x:v>
      </x:c>
      <x:c r="Q120" s="52" t="n">
        <x:f>IF(P120="","",P120*Guide!$B$15)</x:f>
        <x:v>65754</x:v>
      </x:c>
      <x:c r="R120" t="str">
        <x:f>IF(I120=0,"UNMATCHED",IF(I120&gt;1,"DUPLICATE KEY",IF(OR(N120="TITLE VARIANT",O120="REVIEW",O120="MISSING"),"REVIEW","VERIFIED")))</x:f>
        <x:v>VERIFIED</x:v>
      </x:c>
      <x:c r="S120" s="46" t="str">
        <x:v>Not Reviewed</x:v>
      </x:c>
      <x:c r="T120" s="48"/>
    </x:row>
    <x:row r="121">
      <x:c r="A121" t="n">
        <x:f>Plan_Raw!A121</x:f>
        <x:v>200</x:v>
      </x:c>
      <x:c r="B121" t="str">
        <x:f>Plan_Raw!D121</x:f>
        <x:v>0883</x:v>
      </x:c>
      <x:c r="C121" t="str">
        <x:f>LEFT(Plan_Raw!B121,10)</x:f>
        <x:v>2026-01-03</x:v>
      </x:c>
      <x:c r="D121" t="str">
        <x:f>Plan_Raw!F121</x:f>
        <x:v>COMMN</x:v>
      </x:c>
      <x:c r="E121" t="str">
        <x:f>Plan_Raw!E121</x:f>
        <x:v>Mayoral Staff III</x:v>
      </x:c>
      <x:c r="F121" t="str">
        <x:f>Plan_Raw!C121</x:f>
        <x:v>0883C</x:v>
      </x:c>
      <x:c r="G121" s="50" t="n">
        <x:f>IF(Plan_Raw!G121="","",IFERROR(VALUE(Plan_Raw!G121),""))</x:f>
        <x:v>32.0875</x:v>
      </x:c>
      <x:c r="H121" t="str">
        <x:f>Plan_Raw!AH121</x:f>
        <x:v>0883|COMMN|2026-01-03</x:v>
      </x:c>
      <x:c r="I121" t="n">
        <x:f>COUNTIF(Rates_Raw!$AF$5:$AF$464,H121)</x:f>
        <x:v>1</x:v>
      </x:c>
      <x:c r="J121" t="str">
        <x:f>IF(I121=1,_xlfn.XLOOKUP(H121,Rates_Raw!$AF$5:$AF$464,Rates_Raw!$E$5:$E$464,""),"")</x:f>
        <x:v>Mayoral Staff III</x:v>
      </x:c>
      <x:c r="K121" t="n">
        <x:f>IF(I121=1,_xlfn.XLOOKUP(H121,Rates_Raw!$AF$5:$AF$464,Rates_Raw!$F$5:$F$464,""),"")</x:f>
        <x:v>2</x:v>
      </x:c>
      <x:c r="L121" s="50" t="n">
        <x:f>IF(I121=1,IFERROR(VALUE(SUBSTITUTE(_xlfn.XLOOKUP(H121,Rates_Raw!$AF$5:$AF$464,Rates_Raw!$L$5:$L$464,""),"$","")),""),"")</x:f>
        <x:v>32.0875</x:v>
      </x:c>
      <x:c r="M121" s="50" t="n">
        <x:f>IF(OR(G121="",L121=""),"",ROUND(G121-L121,4))</x:f>
        <x:v>0</x:v>
      </x:c>
      <x:c r="N121" t="str">
        <x:f>IF(I121=0,"NO MATCH",IF(I121&gt;1,"AMBIGUOUS",IF(EXACT(TRIM(E121),TRIM(J121)),"EXACT","TITLE VARIANT")))</x:f>
        <x:v>EXACT</x:v>
      </x:c>
      <x:c r="O121" t="str">
        <x:f>IF(I121&lt;&gt;1,"NOT TESTED",IF(OR(G121="",L121=""),"MISSING",IF(ABS(M121)&lt;=Guide!$B$16,"PASS","REVIEW")))</x:f>
        <x:v>PASS</x:v>
      </x:c>
      <x:c r="P121" s="52" t="n">
        <x:f>IF(I121=1,IFERROR(VALUE(SUBSTITUTE(SUBSTITUTE(_xlfn.XLOOKUP(H121,Rates_Raw!$AF$5:$AF$464,Rates_Raw!$I$5:$I$464,""),"$",""),",","")),""),"")</x:f>
        <x:v>2567</x:v>
      </x:c>
      <x:c r="Q121" s="52" t="n">
        <x:f>IF(P121="","",P121*Guide!$B$15)</x:f>
        <x:v>66742</x:v>
      </x:c>
      <x:c r="R121" t="str">
        <x:f>IF(I121=0,"UNMATCHED",IF(I121&gt;1,"DUPLICATE KEY",IF(OR(N121="TITLE VARIANT",O121="REVIEW",O121="MISSING"),"REVIEW","VERIFIED")))</x:f>
        <x:v>VERIFIED</x:v>
      </x:c>
      <x:c r="S121" s="46" t="str">
        <x:v>Not Reviewed</x:v>
      </x:c>
      <x:c r="T121" s="48"/>
    </x:row>
    <x:row r="122">
      <x:c r="A122" t="n">
        <x:f>Plan_Raw!A122</x:f>
        <x:v>201</x:v>
      </x:c>
      <x:c r="B122" t="str">
        <x:f>Plan_Raw!D122</x:f>
        <x:v>0883</x:v>
      </x:c>
      <x:c r="C122" t="str">
        <x:f>LEFT(Plan_Raw!B122,10)</x:f>
        <x:v>2026-07-01</x:v>
      </x:c>
      <x:c r="D122" t="str">
        <x:f>Plan_Raw!F122</x:f>
        <x:v>COMMN</x:v>
      </x:c>
      <x:c r="E122" t="str">
        <x:f>Plan_Raw!E122</x:f>
        <x:v>Mayoral Staff III</x:v>
      </x:c>
      <x:c r="F122" t="str">
        <x:f>Plan_Raw!C122</x:f>
        <x:v>0883D</x:v>
      </x:c>
      <x:c r="G122" s="50" t="n">
        <x:f>IF(Plan_Raw!G122="","",IFERROR(VALUE(Plan_Raw!G122),""))</x:f>
        <x:v>32.725</x:v>
      </x:c>
      <x:c r="H122" t="str">
        <x:f>Plan_Raw!AH122</x:f>
        <x:v>0883|COMMN|2026-07-01</x:v>
      </x:c>
      <x:c r="I122" t="n">
        <x:f>COUNTIF(Rates_Raw!$AF$5:$AF$464,H122)</x:f>
        <x:v>0</x:v>
      </x:c>
      <x:c r="J122" t="str">
        <x:f>IF(I122=1,_xlfn.XLOOKUP(H122,Rates_Raw!$AF$5:$AF$464,Rates_Raw!$E$5:$E$464,""),"")</x:f>
      </x:c>
      <x:c r="K122" t="str">
        <x:f>IF(I122=1,_xlfn.XLOOKUP(H122,Rates_Raw!$AF$5:$AF$464,Rates_Raw!$F$5:$F$464,""),"")</x:f>
      </x:c>
      <x:c r="L122" s="50" t="str">
        <x:f>IF(I122=1,IFERROR(VALUE(SUBSTITUTE(_xlfn.XLOOKUP(H122,Rates_Raw!$AF$5:$AF$464,Rates_Raw!$L$5:$L$464,""),"$","")),""),"")</x:f>
      </x:c>
      <x:c r="M122" s="50" t="str">
        <x:f>IF(OR(G122="",L122=""),"",ROUND(G122-L122,4))</x:f>
      </x:c>
      <x:c r="N122" t="str">
        <x:f>IF(I122=0,"NO MATCH",IF(I122&gt;1,"AMBIGUOUS",IF(EXACT(TRIM(E122),TRIM(J122)),"EXACT","TITLE VARIANT")))</x:f>
        <x:v>NO MATCH</x:v>
      </x:c>
      <x:c r="O122" t="str">
        <x:f>IF(I122&lt;&gt;1,"NOT TESTED",IF(OR(G122="",L122=""),"MISSING",IF(ABS(M122)&lt;=Guide!$B$16,"PASS","REVIEW")))</x:f>
        <x:v>NOT TESTED</x:v>
      </x:c>
      <x:c r="P122" s="52" t="str">
        <x:f>IF(I122=1,IFERROR(VALUE(SUBSTITUTE(SUBSTITUTE(_xlfn.XLOOKUP(H122,Rates_Raw!$AF$5:$AF$464,Rates_Raw!$I$5:$I$464,""),"$",""),",","")),""),"")</x:f>
      </x:c>
      <x:c r="Q122" s="52" t="str">
        <x:f>IF(P122="","",P122*Guide!$B$15)</x:f>
      </x:c>
      <x:c r="R122" t="str">
        <x:f>IF(I122=0,"UNMATCHED",IF(I122&gt;1,"DUPLICATE KEY",IF(OR(N122="TITLE VARIANT",O122="REVIEW",O122="MISSING"),"REVIEW","VERIFIED")))</x:f>
        <x:v>UNMATCHED</x:v>
      </x:c>
      <x:c r="S122" s="46" t="str">
        <x:v>Not Reviewed</x:v>
      </x:c>
      <x:c r="T122" s="48"/>
    </x:row>
    <x:row r="123">
      <x:c r="A123" t="n">
        <x:f>Plan_Raw!A123</x:f>
        <x:v>208</x:v>
      </x:c>
      <x:c r="B123" t="str">
        <x:f>Plan_Raw!D123</x:f>
        <x:v>0884</x:v>
      </x:c>
      <x:c r="C123" t="str">
        <x:f>LEFT(Plan_Raw!B123,10)</x:f>
        <x:v>2024-01-06</x:v>
      </x:c>
      <x:c r="D123" t="str">
        <x:f>Plan_Raw!F123</x:f>
        <x:v>COMMN</x:v>
      </x:c>
      <x:c r="E123" t="str">
        <x:f>Plan_Raw!E123</x:f>
        <x:v>Mayoral Staff IV</x:v>
      </x:c>
      <x:c r="F123" t="str">
        <x:f>Plan_Raw!C123</x:f>
        <x:v>0884Y</x:v>
      </x:c>
      <x:c r="G123" s="50" t="n">
        <x:f>IF(Plan_Raw!G123="","",IFERROR(VALUE(Plan_Raw!G123),""))</x:f>
        <x:v>32.3875</x:v>
      </x:c>
      <x:c r="H123" t="str">
        <x:f>Plan_Raw!AH123</x:f>
        <x:v>0884|COMMN|2024-01-06</x:v>
      </x:c>
      <x:c r="I123" t="n">
        <x:f>COUNTIF(Rates_Raw!$AF$5:$AF$464,H123)</x:f>
        <x:v>1</x:v>
      </x:c>
      <x:c r="J123" t="str">
        <x:f>IF(I123=1,_xlfn.XLOOKUP(H123,Rates_Raw!$AF$5:$AF$464,Rates_Raw!$E$5:$E$464,""),"")</x:f>
        <x:v>Mayoral Staff IV</x:v>
      </x:c>
      <x:c r="K123" t="n">
        <x:f>IF(I123=1,_xlfn.XLOOKUP(H123,Rates_Raw!$AF$5:$AF$464,Rates_Raw!$F$5:$F$464,""),"")</x:f>
        <x:v>2</x:v>
      </x:c>
      <x:c r="L123" s="50" t="n">
        <x:f>IF(I123=1,IFERROR(VALUE(SUBSTITUTE(_xlfn.XLOOKUP(H123,Rates_Raw!$AF$5:$AF$464,Rates_Raw!$L$5:$L$464,""),"$","")),""),"")</x:f>
        <x:v>32.3875</x:v>
      </x:c>
      <x:c r="M123" s="50" t="n">
        <x:f>IF(OR(G123="",L123=""),"",ROUND(G123-L123,4))</x:f>
        <x:v>0</x:v>
      </x:c>
      <x:c r="N123" t="str">
        <x:f>IF(I123=0,"NO MATCH",IF(I123&gt;1,"AMBIGUOUS",IF(EXACT(TRIM(E123),TRIM(J123)),"EXACT","TITLE VARIANT")))</x:f>
        <x:v>EXACT</x:v>
      </x:c>
      <x:c r="O123" t="str">
        <x:f>IF(I123&lt;&gt;1,"NOT TESTED",IF(OR(G123="",L123=""),"MISSING",IF(ABS(M123)&lt;=Guide!$B$16,"PASS","REVIEW")))</x:f>
        <x:v>PASS</x:v>
      </x:c>
      <x:c r="P123" s="52" t="n">
        <x:f>IF(I123=1,IFERROR(VALUE(SUBSTITUTE(SUBSTITUTE(_xlfn.XLOOKUP(H123,Rates_Raw!$AF$5:$AF$464,Rates_Raw!$I$5:$I$464,""),"$",""),",","")),""),"")</x:f>
        <x:v>2591</x:v>
      </x:c>
      <x:c r="Q123" s="52" t="n">
        <x:f>IF(P123="","",P123*Guide!$B$15)</x:f>
        <x:v>67366</x:v>
      </x:c>
      <x:c r="R123" t="str">
        <x:f>IF(I123=0,"UNMATCHED",IF(I123&gt;1,"DUPLICATE KEY",IF(OR(N123="TITLE VARIANT",O123="REVIEW",O123="MISSING"),"REVIEW","VERIFIED")))</x:f>
        <x:v>VERIFIED</x:v>
      </x:c>
      <x:c r="S123" s="46" t="str">
        <x:v>Not Reviewed</x:v>
      </x:c>
      <x:c r="T123" s="48"/>
    </x:row>
    <x:row r="124">
      <x:c r="A124" t="n">
        <x:f>Plan_Raw!A124</x:f>
        <x:v>209</x:v>
      </x:c>
      <x:c r="B124" t="str">
        <x:f>Plan_Raw!D124</x:f>
        <x:v>0884</x:v>
      </x:c>
      <x:c r="C124" t="str">
        <x:f>LEFT(Plan_Raw!B124,10)</x:f>
        <x:v>2024-07-01</x:v>
      </x:c>
      <x:c r="D124" t="str">
        <x:f>Plan_Raw!F124</x:f>
        <x:v>COMMN</x:v>
      </x:c>
      <x:c r="E124" t="str">
        <x:f>Plan_Raw!E124</x:f>
        <x:v>Mayoral Staff IV</x:v>
      </x:c>
      <x:c r="F124" t="str">
        <x:f>Plan_Raw!C124</x:f>
        <x:v>0884Z</x:v>
      </x:c>
      <x:c r="G124" s="50" t="n">
        <x:f>IF(Plan_Raw!G124="","",IFERROR(VALUE(Plan_Raw!G124),""))</x:f>
        <x:v>32.875</x:v>
      </x:c>
      <x:c r="H124" t="str">
        <x:f>Plan_Raw!AH124</x:f>
        <x:v>0884|COMMN|2024-07-01</x:v>
      </x:c>
      <x:c r="I124" t="n">
        <x:f>COUNTIF(Rates_Raw!$AF$5:$AF$464,H124)</x:f>
        <x:v>1</x:v>
      </x:c>
      <x:c r="J124" t="str">
        <x:f>IF(I124=1,_xlfn.XLOOKUP(H124,Rates_Raw!$AF$5:$AF$464,Rates_Raw!$E$5:$E$464,""),"")</x:f>
        <x:v>Mayoral Staff IV</x:v>
      </x:c>
      <x:c r="K124" t="n">
        <x:f>IF(I124=1,_xlfn.XLOOKUP(H124,Rates_Raw!$AF$5:$AF$464,Rates_Raw!$F$5:$F$464,""),"")</x:f>
        <x:v>2</x:v>
      </x:c>
      <x:c r="L124" s="50" t="n">
        <x:f>IF(I124=1,IFERROR(VALUE(SUBSTITUTE(_xlfn.XLOOKUP(H124,Rates_Raw!$AF$5:$AF$464,Rates_Raw!$L$5:$L$464,""),"$","")),""),"")</x:f>
        <x:v>32.875</x:v>
      </x:c>
      <x:c r="M124" s="50" t="n">
        <x:f>IF(OR(G124="",L124=""),"",ROUND(G124-L124,4))</x:f>
        <x:v>0</x:v>
      </x:c>
      <x:c r="N124" t="str">
        <x:f>IF(I124=0,"NO MATCH",IF(I124&gt;1,"AMBIGUOUS",IF(EXACT(TRIM(E124),TRIM(J124)),"EXACT","TITLE VARIANT")))</x:f>
        <x:v>EXACT</x:v>
      </x:c>
      <x:c r="O124" t="str">
        <x:f>IF(I124&lt;&gt;1,"NOT TESTED",IF(OR(G124="",L124=""),"MISSING",IF(ABS(M124)&lt;=Guide!$B$16,"PASS","REVIEW")))</x:f>
        <x:v>PASS</x:v>
      </x:c>
      <x:c r="P124" s="52" t="n">
        <x:f>IF(I124=1,IFERROR(VALUE(SUBSTITUTE(SUBSTITUTE(_xlfn.XLOOKUP(H124,Rates_Raw!$AF$5:$AF$464,Rates_Raw!$I$5:$I$464,""),"$",""),",","")),""),"")</x:f>
        <x:v>2630</x:v>
      </x:c>
      <x:c r="Q124" s="52" t="n">
        <x:f>IF(P124="","",P124*Guide!$B$15)</x:f>
        <x:v>68380</x:v>
      </x:c>
      <x:c r="R124" t="str">
        <x:f>IF(I124=0,"UNMATCHED",IF(I124&gt;1,"DUPLICATE KEY",IF(OR(N124="TITLE VARIANT",O124="REVIEW",O124="MISSING"),"REVIEW","VERIFIED")))</x:f>
        <x:v>VERIFIED</x:v>
      </x:c>
      <x:c r="S124" s="46" t="str">
        <x:v>Not Reviewed</x:v>
      </x:c>
      <x:c r="T124" s="48"/>
    </x:row>
    <x:row r="125">
      <x:c r="A125" t="n">
        <x:f>Plan_Raw!A125</x:f>
        <x:v>210</x:v>
      </x:c>
      <x:c r="B125" t="str">
        <x:f>Plan_Raw!D125</x:f>
        <x:v>0884</x:v>
      </x:c>
      <x:c r="C125" t="str">
        <x:f>LEFT(Plan_Raw!B125,10)</x:f>
        <x:v>2025-01-04</x:v>
      </x:c>
      <x:c r="D125" t="str">
        <x:f>Plan_Raw!F125</x:f>
        <x:v>COMMN</x:v>
      </x:c>
      <x:c r="E125" t="str">
        <x:f>Plan_Raw!E125</x:f>
        <x:v>Mayoral Staff IV</x:v>
      </x:c>
      <x:c r="F125" t="str">
        <x:f>Plan_Raw!C125</x:f>
        <x:v>0884A</x:v>
      </x:c>
      <x:c r="G125" s="50" t="n">
        <x:f>IF(Plan_Raw!G125="","",IFERROR(VALUE(Plan_Raw!G125),""))</x:f>
        <x:v>33.3625</x:v>
      </x:c>
      <x:c r="H125" t="str">
        <x:f>Plan_Raw!AH125</x:f>
        <x:v>0884|COMMN|2025-01-04</x:v>
      </x:c>
      <x:c r="I125" t="n">
        <x:f>COUNTIF(Rates_Raw!$AF$5:$AF$464,H125)</x:f>
        <x:v>1</x:v>
      </x:c>
      <x:c r="J125" t="str">
        <x:f>IF(I125=1,_xlfn.XLOOKUP(H125,Rates_Raw!$AF$5:$AF$464,Rates_Raw!$E$5:$E$464,""),"")</x:f>
        <x:v>Mayoral Staff IV</x:v>
      </x:c>
      <x:c r="K125" t="n">
        <x:f>IF(I125=1,_xlfn.XLOOKUP(H125,Rates_Raw!$AF$5:$AF$464,Rates_Raw!$F$5:$F$464,""),"")</x:f>
        <x:v>2</x:v>
      </x:c>
      <x:c r="L125" s="50" t="n">
        <x:f>IF(I125=1,IFERROR(VALUE(SUBSTITUTE(_xlfn.XLOOKUP(H125,Rates_Raw!$AF$5:$AF$464,Rates_Raw!$L$5:$L$464,""),"$","")),""),"")</x:f>
        <x:v>33.3625</x:v>
      </x:c>
      <x:c r="M125" s="50" t="n">
        <x:f>IF(OR(G125="",L125=""),"",ROUND(G125-L125,4))</x:f>
        <x:v>0</x:v>
      </x:c>
      <x:c r="N125" t="str">
        <x:f>IF(I125=0,"NO MATCH",IF(I125&gt;1,"AMBIGUOUS",IF(EXACT(TRIM(E125),TRIM(J125)),"EXACT","TITLE VARIANT")))</x:f>
        <x:v>EXACT</x:v>
      </x:c>
      <x:c r="O125" t="str">
        <x:f>IF(I125&lt;&gt;1,"NOT TESTED",IF(OR(G125="",L125=""),"MISSING",IF(ABS(M125)&lt;=Guide!$B$16,"PASS","REVIEW")))</x:f>
        <x:v>PASS</x:v>
      </x:c>
      <x:c r="P125" s="52" t="n">
        <x:f>IF(I125=1,IFERROR(VALUE(SUBSTITUTE(SUBSTITUTE(_xlfn.XLOOKUP(H125,Rates_Raw!$AF$5:$AF$464,Rates_Raw!$I$5:$I$464,""),"$",""),",","")),""),"")</x:f>
        <x:v>2669</x:v>
      </x:c>
      <x:c r="Q125" s="52" t="n">
        <x:f>IF(P125="","",P125*Guide!$B$15)</x:f>
        <x:v>69394</x:v>
      </x:c>
      <x:c r="R125" t="str">
        <x:f>IF(I125=0,"UNMATCHED",IF(I125&gt;1,"DUPLICATE KEY",IF(OR(N125="TITLE VARIANT",O125="REVIEW",O125="MISSING"),"REVIEW","VERIFIED")))</x:f>
        <x:v>VERIFIED</x:v>
      </x:c>
      <x:c r="S125" s="46" t="str">
        <x:v>Not Reviewed</x:v>
      </x:c>
      <x:c r="T125" s="48"/>
    </x:row>
    <x:row r="126">
      <x:c r="A126" t="n">
        <x:f>Plan_Raw!A126</x:f>
        <x:v>211</x:v>
      </x:c>
      <x:c r="B126" t="str">
        <x:f>Plan_Raw!D126</x:f>
        <x:v>0884</x:v>
      </x:c>
      <x:c r="C126" t="str">
        <x:f>LEFT(Plan_Raw!B126,10)</x:f>
        <x:v>2025-07-01</x:v>
      </x:c>
      <x:c r="D126" t="str">
        <x:f>Plan_Raw!F126</x:f>
        <x:v>COMMN</x:v>
      </x:c>
      <x:c r="E126" t="str">
        <x:f>Plan_Raw!E126</x:f>
        <x:v>Mayoral Staff IV</x:v>
      </x:c>
      <x:c r="F126" t="str">
        <x:f>Plan_Raw!C126</x:f>
        <x:v>0884B</x:v>
      </x:c>
      <x:c r="G126" s="50" t="n">
        <x:f>IF(Plan_Raw!G126="","",IFERROR(VALUE(Plan_Raw!G126),""))</x:f>
        <x:v>34.0375</x:v>
      </x:c>
      <x:c r="H126" t="str">
        <x:f>Plan_Raw!AH126</x:f>
        <x:v>0884|COMMN|2025-07-01</x:v>
      </x:c>
      <x:c r="I126" t="n">
        <x:f>COUNTIF(Rates_Raw!$AF$5:$AF$464,H126)</x:f>
        <x:v>1</x:v>
      </x:c>
      <x:c r="J126" t="str">
        <x:f>IF(I126=1,_xlfn.XLOOKUP(H126,Rates_Raw!$AF$5:$AF$464,Rates_Raw!$E$5:$E$464,""),"")</x:f>
        <x:v>Mayoral Staff IV</x:v>
      </x:c>
      <x:c r="K126" t="n">
        <x:f>IF(I126=1,_xlfn.XLOOKUP(H126,Rates_Raw!$AF$5:$AF$464,Rates_Raw!$F$5:$F$464,""),"")</x:f>
        <x:v>2</x:v>
      </x:c>
      <x:c r="L126" s="50" t="n">
        <x:f>IF(I126=1,IFERROR(VALUE(SUBSTITUTE(_xlfn.XLOOKUP(H126,Rates_Raw!$AF$5:$AF$464,Rates_Raw!$L$5:$L$464,""),"$","")),""),"")</x:f>
        <x:v>34.0375</x:v>
      </x:c>
      <x:c r="M126" s="50" t="n">
        <x:f>IF(OR(G126="",L126=""),"",ROUND(G126-L126,4))</x:f>
        <x:v>0</x:v>
      </x:c>
      <x:c r="N126" t="str">
        <x:f>IF(I126=0,"NO MATCH",IF(I126&gt;1,"AMBIGUOUS",IF(EXACT(TRIM(E126),TRIM(J126)),"EXACT","TITLE VARIANT")))</x:f>
        <x:v>EXACT</x:v>
      </x:c>
      <x:c r="O126" t="str">
        <x:f>IF(I126&lt;&gt;1,"NOT TESTED",IF(OR(G126="",L126=""),"MISSING",IF(ABS(M126)&lt;=Guide!$B$16,"PASS","REVIEW")))</x:f>
        <x:v>PASS</x:v>
      </x:c>
      <x:c r="P126" s="52" t="n">
        <x:f>IF(I126=1,IFERROR(VALUE(SUBSTITUTE(SUBSTITUTE(_xlfn.XLOOKUP(H126,Rates_Raw!$AF$5:$AF$464,Rates_Raw!$I$5:$I$464,""),"$",""),",","")),""),"")</x:f>
        <x:v>2723</x:v>
      </x:c>
      <x:c r="Q126" s="52" t="n">
        <x:f>IF(P126="","",P126*Guide!$B$15)</x:f>
        <x:v>70798</x:v>
      </x:c>
      <x:c r="R126" t="str">
        <x:f>IF(I126=0,"UNMATCHED",IF(I126&gt;1,"DUPLICATE KEY",IF(OR(N126="TITLE VARIANT",O126="REVIEW",O126="MISSING"),"REVIEW","VERIFIED")))</x:f>
        <x:v>VERIFIED</x:v>
      </x:c>
      <x:c r="S126" s="46" t="str">
        <x:v>Not Reviewed</x:v>
      </x:c>
      <x:c r="T126" s="48"/>
    </x:row>
    <x:row r="127">
      <x:c r="A127" t="n">
        <x:f>Plan_Raw!A127</x:f>
        <x:v>212</x:v>
      </x:c>
      <x:c r="B127" t="str">
        <x:f>Plan_Raw!D127</x:f>
        <x:v>0884</x:v>
      </x:c>
      <x:c r="C127" t="str">
        <x:f>LEFT(Plan_Raw!B127,10)</x:f>
        <x:v>2026-01-03</x:v>
      </x:c>
      <x:c r="D127" t="str">
        <x:f>Plan_Raw!F127</x:f>
        <x:v>COMMN</x:v>
      </x:c>
      <x:c r="E127" t="str">
        <x:f>Plan_Raw!E127</x:f>
        <x:v>Mayoral Staff IV</x:v>
      </x:c>
      <x:c r="F127" t="str">
        <x:f>Plan_Raw!C127</x:f>
        <x:v>0884C</x:v>
      </x:c>
      <x:c r="G127" s="50" t="n">
        <x:f>IF(Plan_Raw!G127="","",IFERROR(VALUE(Plan_Raw!G127),""))</x:f>
        <x:v>34.55</x:v>
      </x:c>
      <x:c r="H127" t="str">
        <x:f>Plan_Raw!AH127</x:f>
        <x:v>0884|COMMN|2026-01-03</x:v>
      </x:c>
      <x:c r="I127" t="n">
        <x:f>COUNTIF(Rates_Raw!$AF$5:$AF$464,H127)</x:f>
        <x:v>1</x:v>
      </x:c>
      <x:c r="J127" t="str">
        <x:f>IF(I127=1,_xlfn.XLOOKUP(H127,Rates_Raw!$AF$5:$AF$464,Rates_Raw!$E$5:$E$464,""),"")</x:f>
        <x:v>Mayoral Staff IV</x:v>
      </x:c>
      <x:c r="K127" t="n">
        <x:f>IF(I127=1,_xlfn.XLOOKUP(H127,Rates_Raw!$AF$5:$AF$464,Rates_Raw!$F$5:$F$464,""),"")</x:f>
        <x:v>2</x:v>
      </x:c>
      <x:c r="L127" s="50" t="n">
        <x:f>IF(I127=1,IFERROR(VALUE(SUBSTITUTE(_xlfn.XLOOKUP(H127,Rates_Raw!$AF$5:$AF$464,Rates_Raw!$L$5:$L$464,""),"$","")),""),"")</x:f>
        <x:v>34.55</x:v>
      </x:c>
      <x:c r="M127" s="50" t="n">
        <x:f>IF(OR(G127="",L127=""),"",ROUND(G127-L127,4))</x:f>
        <x:v>0</x:v>
      </x:c>
      <x:c r="N127" t="str">
        <x:f>IF(I127=0,"NO MATCH",IF(I127&gt;1,"AMBIGUOUS",IF(EXACT(TRIM(E127),TRIM(J127)),"EXACT","TITLE VARIANT")))</x:f>
        <x:v>EXACT</x:v>
      </x:c>
      <x:c r="O127" t="str">
        <x:f>IF(I127&lt;&gt;1,"NOT TESTED",IF(OR(G127="",L127=""),"MISSING",IF(ABS(M127)&lt;=Guide!$B$16,"PASS","REVIEW")))</x:f>
        <x:v>PASS</x:v>
      </x:c>
      <x:c r="P127" s="52" t="n">
        <x:f>IF(I127=1,IFERROR(VALUE(SUBSTITUTE(SUBSTITUTE(_xlfn.XLOOKUP(H127,Rates_Raw!$AF$5:$AF$464,Rates_Raw!$I$5:$I$464,""),"$",""),",","")),""),"")</x:f>
        <x:v>2764</x:v>
      </x:c>
      <x:c r="Q127" s="52" t="n">
        <x:f>IF(P127="","",P127*Guide!$B$15)</x:f>
        <x:v>71864</x:v>
      </x:c>
      <x:c r="R127" t="str">
        <x:f>IF(I127=0,"UNMATCHED",IF(I127&gt;1,"DUPLICATE KEY",IF(OR(N127="TITLE VARIANT",O127="REVIEW",O127="MISSING"),"REVIEW","VERIFIED")))</x:f>
        <x:v>VERIFIED</x:v>
      </x:c>
      <x:c r="S127" s="46" t="str">
        <x:v>Not Reviewed</x:v>
      </x:c>
      <x:c r="T127" s="48"/>
    </x:row>
    <x:row r="128">
      <x:c r="A128" t="n">
        <x:f>Plan_Raw!A128</x:f>
        <x:v>213</x:v>
      </x:c>
      <x:c r="B128" t="str">
        <x:f>Plan_Raw!D128</x:f>
        <x:v>0884</x:v>
      </x:c>
      <x:c r="C128" t="str">
        <x:f>LEFT(Plan_Raw!B128,10)</x:f>
        <x:v>2026-07-01</x:v>
      </x:c>
      <x:c r="D128" t="str">
        <x:f>Plan_Raw!F128</x:f>
        <x:v>COMMN</x:v>
      </x:c>
      <x:c r="E128" t="str">
        <x:f>Plan_Raw!E128</x:f>
        <x:v>Mayoral Staff IV</x:v>
      </x:c>
      <x:c r="F128" t="str">
        <x:f>Plan_Raw!C128</x:f>
        <x:v>0884D</x:v>
      </x:c>
      <x:c r="G128" s="50" t="n">
        <x:f>IF(Plan_Raw!G128="","",IFERROR(VALUE(Plan_Raw!G128),""))</x:f>
        <x:v>35.2375</x:v>
      </x:c>
      <x:c r="H128" t="str">
        <x:f>Plan_Raw!AH128</x:f>
        <x:v>0884|COMMN|2026-07-01</x:v>
      </x:c>
      <x:c r="I128" t="n">
        <x:f>COUNTIF(Rates_Raw!$AF$5:$AF$464,H128)</x:f>
        <x:v>0</x:v>
      </x:c>
      <x:c r="J128" t="str">
        <x:f>IF(I128=1,_xlfn.XLOOKUP(H128,Rates_Raw!$AF$5:$AF$464,Rates_Raw!$E$5:$E$464,""),"")</x:f>
      </x:c>
      <x:c r="K128" t="str">
        <x:f>IF(I128=1,_xlfn.XLOOKUP(H128,Rates_Raw!$AF$5:$AF$464,Rates_Raw!$F$5:$F$464,""),"")</x:f>
      </x:c>
      <x:c r="L128" s="50" t="str">
        <x:f>IF(I128=1,IFERROR(VALUE(SUBSTITUTE(_xlfn.XLOOKUP(H128,Rates_Raw!$AF$5:$AF$464,Rates_Raw!$L$5:$L$464,""),"$","")),""),"")</x:f>
      </x:c>
      <x:c r="M128" s="50" t="str">
        <x:f>IF(OR(G128="",L128=""),"",ROUND(G128-L128,4))</x:f>
      </x:c>
      <x:c r="N128" t="str">
        <x:f>IF(I128=0,"NO MATCH",IF(I128&gt;1,"AMBIGUOUS",IF(EXACT(TRIM(E128),TRIM(J128)),"EXACT","TITLE VARIANT")))</x:f>
        <x:v>NO MATCH</x:v>
      </x:c>
      <x:c r="O128" t="str">
        <x:f>IF(I128&lt;&gt;1,"NOT TESTED",IF(OR(G128="",L128=""),"MISSING",IF(ABS(M128)&lt;=Guide!$B$16,"PASS","REVIEW")))</x:f>
        <x:v>NOT TESTED</x:v>
      </x:c>
      <x:c r="P128" s="52" t="str">
        <x:f>IF(I128=1,IFERROR(VALUE(SUBSTITUTE(SUBSTITUTE(_xlfn.XLOOKUP(H128,Rates_Raw!$AF$5:$AF$464,Rates_Raw!$I$5:$I$464,""),"$",""),",","")),""),"")</x:f>
      </x:c>
      <x:c r="Q128" s="52" t="str">
        <x:f>IF(P128="","",P128*Guide!$B$15)</x:f>
      </x:c>
      <x:c r="R128" t="str">
        <x:f>IF(I128=0,"UNMATCHED",IF(I128&gt;1,"DUPLICATE KEY",IF(OR(N128="TITLE VARIANT",O128="REVIEW",O128="MISSING"),"REVIEW","VERIFIED")))</x:f>
        <x:v>UNMATCHED</x:v>
      </x:c>
      <x:c r="S128" s="46" t="str">
        <x:v>Not Reviewed</x:v>
      </x:c>
      <x:c r="T128" s="48"/>
    </x:row>
    <x:row r="129">
      <x:c r="A129" t="n">
        <x:f>Plan_Raw!A129</x:f>
        <x:v>219</x:v>
      </x:c>
      <x:c r="B129" t="str">
        <x:f>Plan_Raw!D129</x:f>
        <x:v>0885</x:v>
      </x:c>
      <x:c r="C129" t="str">
        <x:f>LEFT(Plan_Raw!B129,10)</x:f>
        <x:v>2024-01-06</x:v>
      </x:c>
      <x:c r="D129" t="str">
        <x:f>Plan_Raw!F129</x:f>
        <x:v>COMMN</x:v>
      </x:c>
      <x:c r="E129" t="str">
        <x:f>Plan_Raw!E129</x:f>
        <x:v>Mayoral Staff V</x:v>
      </x:c>
      <x:c r="F129" t="str">
        <x:f>Plan_Raw!C129</x:f>
        <x:v>0885Y</x:v>
      </x:c>
      <x:c r="G129" s="50" t="n">
        <x:f>IF(Plan_Raw!G129="","",IFERROR(VALUE(Plan_Raw!G129),""))</x:f>
        <x:v>33.8125</x:v>
      </x:c>
      <x:c r="H129" t="str">
        <x:f>Plan_Raw!AH129</x:f>
        <x:v>0885|COMMN|2024-01-06</x:v>
      </x:c>
      <x:c r="I129" t="n">
        <x:f>COUNTIF(Rates_Raw!$AF$5:$AF$464,H129)</x:f>
        <x:v>1</x:v>
      </x:c>
      <x:c r="J129" t="str">
        <x:f>IF(I129=1,_xlfn.XLOOKUP(H129,Rates_Raw!$AF$5:$AF$464,Rates_Raw!$E$5:$E$464,""),"")</x:f>
        <x:v>Mayoral Staff V</x:v>
      </x:c>
      <x:c r="K129" t="n">
        <x:f>IF(I129=1,_xlfn.XLOOKUP(H129,Rates_Raw!$AF$5:$AF$464,Rates_Raw!$F$5:$F$464,""),"")</x:f>
        <x:v>2</x:v>
      </x:c>
      <x:c r="L129" s="50" t="n">
        <x:f>IF(I129=1,IFERROR(VALUE(SUBSTITUTE(_xlfn.XLOOKUP(H129,Rates_Raw!$AF$5:$AF$464,Rates_Raw!$L$5:$L$464,""),"$","")),""),"")</x:f>
        <x:v>33.8125</x:v>
      </x:c>
      <x:c r="M129" s="50" t="n">
        <x:f>IF(OR(G129="",L129=""),"",ROUND(G129-L129,4))</x:f>
        <x:v>0</x:v>
      </x:c>
      <x:c r="N129" t="str">
        <x:f>IF(I129=0,"NO MATCH",IF(I129&gt;1,"AMBIGUOUS",IF(EXACT(TRIM(E129),TRIM(J129)),"EXACT","TITLE VARIANT")))</x:f>
        <x:v>EXACT</x:v>
      </x:c>
      <x:c r="O129" t="str">
        <x:f>IF(I129&lt;&gt;1,"NOT TESTED",IF(OR(G129="",L129=""),"MISSING",IF(ABS(M129)&lt;=Guide!$B$16,"PASS","REVIEW")))</x:f>
        <x:v>PASS</x:v>
      </x:c>
      <x:c r="P129" s="52" t="n">
        <x:f>IF(I129=1,IFERROR(VALUE(SUBSTITUTE(SUBSTITUTE(_xlfn.XLOOKUP(H129,Rates_Raw!$AF$5:$AF$464,Rates_Raw!$I$5:$I$464,""),"$",""),",","")),""),"")</x:f>
        <x:v>2705</x:v>
      </x:c>
      <x:c r="Q129" s="52" t="n">
        <x:f>IF(P129="","",P129*Guide!$B$15)</x:f>
        <x:v>70330</x:v>
      </x:c>
      <x:c r="R129" t="str">
        <x:f>IF(I129=0,"UNMATCHED",IF(I129&gt;1,"DUPLICATE KEY",IF(OR(N129="TITLE VARIANT",O129="REVIEW",O129="MISSING"),"REVIEW","VERIFIED")))</x:f>
        <x:v>VERIFIED</x:v>
      </x:c>
      <x:c r="S129" s="46" t="str">
        <x:v>Not Reviewed</x:v>
      </x:c>
      <x:c r="T129" s="48"/>
    </x:row>
    <x:row r="130">
      <x:c r="A130" t="n">
        <x:f>Plan_Raw!A130</x:f>
        <x:v>220</x:v>
      </x:c>
      <x:c r="B130" t="str">
        <x:f>Plan_Raw!D130</x:f>
        <x:v>0885</x:v>
      </x:c>
      <x:c r="C130" t="str">
        <x:f>LEFT(Plan_Raw!B130,10)</x:f>
        <x:v>2024-07-01</x:v>
      </x:c>
      <x:c r="D130" t="str">
        <x:f>Plan_Raw!F130</x:f>
        <x:v>COMMN</x:v>
      </x:c>
      <x:c r="E130" t="str">
        <x:f>Plan_Raw!E130</x:f>
        <x:v>Mayoral Staff V</x:v>
      </x:c>
      <x:c r="F130" t="str">
        <x:f>Plan_Raw!C130</x:f>
        <x:v>0885Z</x:v>
      </x:c>
      <x:c r="G130" s="50" t="n">
        <x:f>IF(Plan_Raw!G130="","",IFERROR(VALUE(Plan_Raw!G130),""))</x:f>
        <x:v>34.325</x:v>
      </x:c>
      <x:c r="H130" t="str">
        <x:f>Plan_Raw!AH130</x:f>
        <x:v>0885|COMMN|2024-07-01</x:v>
      </x:c>
      <x:c r="I130" t="n">
        <x:f>COUNTIF(Rates_Raw!$AF$5:$AF$464,H130)</x:f>
        <x:v>1</x:v>
      </x:c>
      <x:c r="J130" t="str">
        <x:f>IF(I130=1,_xlfn.XLOOKUP(H130,Rates_Raw!$AF$5:$AF$464,Rates_Raw!$E$5:$E$464,""),"")</x:f>
        <x:v>Mayoral Staff V</x:v>
      </x:c>
      <x:c r="K130" t="n">
        <x:f>IF(I130=1,_xlfn.XLOOKUP(H130,Rates_Raw!$AF$5:$AF$464,Rates_Raw!$F$5:$F$464,""),"")</x:f>
        <x:v>2</x:v>
      </x:c>
      <x:c r="L130" s="50" t="n">
        <x:f>IF(I130=1,IFERROR(VALUE(SUBSTITUTE(_xlfn.XLOOKUP(H130,Rates_Raw!$AF$5:$AF$464,Rates_Raw!$L$5:$L$464,""),"$","")),""),"")</x:f>
        <x:v>34.325</x:v>
      </x:c>
      <x:c r="M130" s="50" t="n">
        <x:f>IF(OR(G130="",L130=""),"",ROUND(G130-L130,4))</x:f>
        <x:v>0</x:v>
      </x:c>
      <x:c r="N130" t="str">
        <x:f>IF(I130=0,"NO MATCH",IF(I130&gt;1,"AMBIGUOUS",IF(EXACT(TRIM(E130),TRIM(J130)),"EXACT","TITLE VARIANT")))</x:f>
        <x:v>EXACT</x:v>
      </x:c>
      <x:c r="O130" t="str">
        <x:f>IF(I130&lt;&gt;1,"NOT TESTED",IF(OR(G130="",L130=""),"MISSING",IF(ABS(M130)&lt;=Guide!$B$16,"PASS","REVIEW")))</x:f>
        <x:v>PASS</x:v>
      </x:c>
      <x:c r="P130" s="52" t="n">
        <x:f>IF(I130=1,IFERROR(VALUE(SUBSTITUTE(SUBSTITUTE(_xlfn.XLOOKUP(H130,Rates_Raw!$AF$5:$AF$464,Rates_Raw!$I$5:$I$464,""),"$",""),",","")),""),"")</x:f>
        <x:v>2746</x:v>
      </x:c>
      <x:c r="Q130" s="52" t="n">
        <x:f>IF(P130="","",P130*Guide!$B$15)</x:f>
        <x:v>71396</x:v>
      </x:c>
      <x:c r="R130" t="str">
        <x:f>IF(I130=0,"UNMATCHED",IF(I130&gt;1,"DUPLICATE KEY",IF(OR(N130="TITLE VARIANT",O130="REVIEW",O130="MISSING"),"REVIEW","VERIFIED")))</x:f>
        <x:v>VERIFIED</x:v>
      </x:c>
      <x:c r="S130" s="46" t="str">
        <x:v>Not Reviewed</x:v>
      </x:c>
      <x:c r="T130" s="48"/>
    </x:row>
    <x:row r="131">
      <x:c r="A131" t="n">
        <x:f>Plan_Raw!A131</x:f>
        <x:v>221</x:v>
      </x:c>
      <x:c r="B131" t="str">
        <x:f>Plan_Raw!D131</x:f>
        <x:v>0885</x:v>
      </x:c>
      <x:c r="C131" t="str">
        <x:f>LEFT(Plan_Raw!B131,10)</x:f>
        <x:v>2025-01-04</x:v>
      </x:c>
      <x:c r="D131" t="str">
        <x:f>Plan_Raw!F131</x:f>
        <x:v>COMMN</x:v>
      </x:c>
      <x:c r="E131" t="str">
        <x:f>Plan_Raw!E131</x:f>
        <x:v>Mayoral Staff V</x:v>
      </x:c>
      <x:c r="F131" t="str">
        <x:f>Plan_Raw!C131</x:f>
        <x:v>0885A</x:v>
      </x:c>
      <x:c r="G131" s="50" t="n">
        <x:f>IF(Plan_Raw!G131="","",IFERROR(VALUE(Plan_Raw!G131),""))</x:f>
        <x:v>34.8375</x:v>
      </x:c>
      <x:c r="H131" t="str">
        <x:f>Plan_Raw!AH131</x:f>
        <x:v>0885|COMMN|2025-01-04</x:v>
      </x:c>
      <x:c r="I131" t="n">
        <x:f>COUNTIF(Rates_Raw!$AF$5:$AF$464,H131)</x:f>
        <x:v>1</x:v>
      </x:c>
      <x:c r="J131" t="str">
        <x:f>IF(I131=1,_xlfn.XLOOKUP(H131,Rates_Raw!$AF$5:$AF$464,Rates_Raw!$E$5:$E$464,""),"")</x:f>
        <x:v>Mayoral Staff V</x:v>
      </x:c>
      <x:c r="K131" t="n">
        <x:f>IF(I131=1,_xlfn.XLOOKUP(H131,Rates_Raw!$AF$5:$AF$464,Rates_Raw!$F$5:$F$464,""),"")</x:f>
        <x:v>2</x:v>
      </x:c>
      <x:c r="L131" s="50" t="n">
        <x:f>IF(I131=1,IFERROR(VALUE(SUBSTITUTE(_xlfn.XLOOKUP(H131,Rates_Raw!$AF$5:$AF$464,Rates_Raw!$L$5:$L$464,""),"$","")),""),"")</x:f>
        <x:v>34.8375</x:v>
      </x:c>
      <x:c r="M131" s="50" t="n">
        <x:f>IF(OR(G131="",L131=""),"",ROUND(G131-L131,4))</x:f>
        <x:v>0</x:v>
      </x:c>
      <x:c r="N131" t="str">
        <x:f>IF(I131=0,"NO MATCH",IF(I131&gt;1,"AMBIGUOUS",IF(EXACT(TRIM(E131),TRIM(J131)),"EXACT","TITLE VARIANT")))</x:f>
        <x:v>EXACT</x:v>
      </x:c>
      <x:c r="O131" t="str">
        <x:f>IF(I131&lt;&gt;1,"NOT TESTED",IF(OR(G131="",L131=""),"MISSING",IF(ABS(M131)&lt;=Guide!$B$16,"PASS","REVIEW")))</x:f>
        <x:v>PASS</x:v>
      </x:c>
      <x:c r="P131" s="52" t="n">
        <x:f>IF(I131=1,IFERROR(VALUE(SUBSTITUTE(SUBSTITUTE(_xlfn.XLOOKUP(H131,Rates_Raw!$AF$5:$AF$464,Rates_Raw!$I$5:$I$464,""),"$",""),",","")),""),"")</x:f>
        <x:v>2787</x:v>
      </x:c>
      <x:c r="Q131" s="52" t="n">
        <x:f>IF(P131="","",P131*Guide!$B$15)</x:f>
        <x:v>72462</x:v>
      </x:c>
      <x:c r="R131" t="str">
        <x:f>IF(I131=0,"UNMATCHED",IF(I131&gt;1,"DUPLICATE KEY",IF(OR(N131="TITLE VARIANT",O131="REVIEW",O131="MISSING"),"REVIEW","VERIFIED")))</x:f>
        <x:v>VERIFIED</x:v>
      </x:c>
      <x:c r="S131" s="46" t="str">
        <x:v>Not Reviewed</x:v>
      </x:c>
      <x:c r="T131" s="48"/>
    </x:row>
    <x:row r="132">
      <x:c r="A132" t="n">
        <x:f>Plan_Raw!A132</x:f>
        <x:v>222</x:v>
      </x:c>
      <x:c r="B132" t="str">
        <x:f>Plan_Raw!D132</x:f>
        <x:v>0885</x:v>
      </x:c>
      <x:c r="C132" t="str">
        <x:f>LEFT(Plan_Raw!B132,10)</x:f>
        <x:v>2025-07-01</x:v>
      </x:c>
      <x:c r="D132" t="str">
        <x:f>Plan_Raw!F132</x:f>
        <x:v>COMMN</x:v>
      </x:c>
      <x:c r="E132" t="str">
        <x:f>Plan_Raw!E132</x:f>
        <x:v>Mayoral Staff V</x:v>
      </x:c>
      <x:c r="F132" t="str">
        <x:f>Plan_Raw!C132</x:f>
        <x:v>0885B</x:v>
      </x:c>
      <x:c r="G132" s="50" t="n">
        <x:f>IF(Plan_Raw!G132="","",IFERROR(VALUE(Plan_Raw!G132),""))</x:f>
        <x:v>35.5375</x:v>
      </x:c>
      <x:c r="H132" t="str">
        <x:f>Plan_Raw!AH132</x:f>
        <x:v>0885|COMMN|2025-07-01</x:v>
      </x:c>
      <x:c r="I132" t="n">
        <x:f>COUNTIF(Rates_Raw!$AF$5:$AF$464,H132)</x:f>
        <x:v>1</x:v>
      </x:c>
      <x:c r="J132" t="str">
        <x:f>IF(I132=1,_xlfn.XLOOKUP(H132,Rates_Raw!$AF$5:$AF$464,Rates_Raw!$E$5:$E$464,""),"")</x:f>
        <x:v>Mayoral Staff V</x:v>
      </x:c>
      <x:c r="K132" t="n">
        <x:f>IF(I132=1,_xlfn.XLOOKUP(H132,Rates_Raw!$AF$5:$AF$464,Rates_Raw!$F$5:$F$464,""),"")</x:f>
        <x:v>2</x:v>
      </x:c>
      <x:c r="L132" s="50" t="n">
        <x:f>IF(I132=1,IFERROR(VALUE(SUBSTITUTE(_xlfn.XLOOKUP(H132,Rates_Raw!$AF$5:$AF$464,Rates_Raw!$L$5:$L$464,""),"$","")),""),"")</x:f>
        <x:v>35.5375</x:v>
      </x:c>
      <x:c r="M132" s="50" t="n">
        <x:f>IF(OR(G132="",L132=""),"",ROUND(G132-L132,4))</x:f>
        <x:v>0</x:v>
      </x:c>
      <x:c r="N132" t="str">
        <x:f>IF(I132=0,"NO MATCH",IF(I132&gt;1,"AMBIGUOUS",IF(EXACT(TRIM(E132),TRIM(J132)),"EXACT","TITLE VARIANT")))</x:f>
        <x:v>EXACT</x:v>
      </x:c>
      <x:c r="O132" t="str">
        <x:f>IF(I132&lt;&gt;1,"NOT TESTED",IF(OR(G132="",L132=""),"MISSING",IF(ABS(M132)&lt;=Guide!$B$16,"PASS","REVIEW")))</x:f>
        <x:v>PASS</x:v>
      </x:c>
      <x:c r="P132" s="52" t="n">
        <x:f>IF(I132=1,IFERROR(VALUE(SUBSTITUTE(SUBSTITUTE(_xlfn.XLOOKUP(H132,Rates_Raw!$AF$5:$AF$464,Rates_Raw!$I$5:$I$464,""),"$",""),",","")),""),"")</x:f>
        <x:v>2843</x:v>
      </x:c>
      <x:c r="Q132" s="52" t="n">
        <x:f>IF(P132="","",P132*Guide!$B$15)</x:f>
        <x:v>73918</x:v>
      </x:c>
      <x:c r="R132" t="str">
        <x:f>IF(I132=0,"UNMATCHED",IF(I132&gt;1,"DUPLICATE KEY",IF(OR(N132="TITLE VARIANT",O132="REVIEW",O132="MISSING"),"REVIEW","VERIFIED")))</x:f>
        <x:v>VERIFIED</x:v>
      </x:c>
      <x:c r="S132" s="46" t="str">
        <x:v>Not Reviewed</x:v>
      </x:c>
      <x:c r="T132" s="48"/>
    </x:row>
    <x:row r="133">
      <x:c r="A133" t="n">
        <x:f>Plan_Raw!A133</x:f>
        <x:v>223</x:v>
      </x:c>
      <x:c r="B133" t="str">
        <x:f>Plan_Raw!D133</x:f>
        <x:v>0885</x:v>
      </x:c>
      <x:c r="C133" t="str">
        <x:f>LEFT(Plan_Raw!B133,10)</x:f>
        <x:v>2026-01-03</x:v>
      </x:c>
      <x:c r="D133" t="str">
        <x:f>Plan_Raw!F133</x:f>
        <x:v>COMMN</x:v>
      </x:c>
      <x:c r="E133" t="str">
        <x:f>Plan_Raw!E133</x:f>
        <x:v>Mayoral Staff V</x:v>
      </x:c>
      <x:c r="F133" t="str">
        <x:f>Plan_Raw!C133</x:f>
        <x:v>0885C</x:v>
      </x:c>
      <x:c r="G133" s="50" t="n">
        <x:f>IF(Plan_Raw!G133="","",IFERROR(VALUE(Plan_Raw!G133),""))</x:f>
        <x:v>36.075</x:v>
      </x:c>
      <x:c r="H133" t="str">
        <x:f>Plan_Raw!AH133</x:f>
        <x:v>0885|COMMN|2026-01-03</x:v>
      </x:c>
      <x:c r="I133" t="n">
        <x:f>COUNTIF(Rates_Raw!$AF$5:$AF$464,H133)</x:f>
        <x:v>1</x:v>
      </x:c>
      <x:c r="J133" t="str">
        <x:f>IF(I133=1,_xlfn.XLOOKUP(H133,Rates_Raw!$AF$5:$AF$464,Rates_Raw!$E$5:$E$464,""),"")</x:f>
        <x:v>Mayoral Staff V</x:v>
      </x:c>
      <x:c r="K133" t="n">
        <x:f>IF(I133=1,_xlfn.XLOOKUP(H133,Rates_Raw!$AF$5:$AF$464,Rates_Raw!$F$5:$F$464,""),"")</x:f>
        <x:v>2</x:v>
      </x:c>
      <x:c r="L133" s="50" t="n">
        <x:f>IF(I133=1,IFERROR(VALUE(SUBSTITUTE(_xlfn.XLOOKUP(H133,Rates_Raw!$AF$5:$AF$464,Rates_Raw!$L$5:$L$464,""),"$","")),""),"")</x:f>
        <x:v>36.075</x:v>
      </x:c>
      <x:c r="M133" s="50" t="n">
        <x:f>IF(OR(G133="",L133=""),"",ROUND(G133-L133,4))</x:f>
        <x:v>0</x:v>
      </x:c>
      <x:c r="N133" t="str">
        <x:f>IF(I133=0,"NO MATCH",IF(I133&gt;1,"AMBIGUOUS",IF(EXACT(TRIM(E133),TRIM(J133)),"EXACT","TITLE VARIANT")))</x:f>
        <x:v>EXACT</x:v>
      </x:c>
      <x:c r="O133" t="str">
        <x:f>IF(I133&lt;&gt;1,"NOT TESTED",IF(OR(G133="",L133=""),"MISSING",IF(ABS(M133)&lt;=Guide!$B$16,"PASS","REVIEW")))</x:f>
        <x:v>PASS</x:v>
      </x:c>
      <x:c r="P133" s="52" t="n">
        <x:f>IF(I133=1,IFERROR(VALUE(SUBSTITUTE(SUBSTITUTE(_xlfn.XLOOKUP(H133,Rates_Raw!$AF$5:$AF$464,Rates_Raw!$I$5:$I$464,""),"$",""),",","")),""),"")</x:f>
        <x:v>2886</x:v>
      </x:c>
      <x:c r="Q133" s="52" t="n">
        <x:f>IF(P133="","",P133*Guide!$B$15)</x:f>
        <x:v>75036</x:v>
      </x:c>
      <x:c r="R133" t="str">
        <x:f>IF(I133=0,"UNMATCHED",IF(I133&gt;1,"DUPLICATE KEY",IF(OR(N133="TITLE VARIANT",O133="REVIEW",O133="MISSING"),"REVIEW","VERIFIED")))</x:f>
        <x:v>VERIFIED</x:v>
      </x:c>
      <x:c r="S133" s="46" t="str">
        <x:v>Not Reviewed</x:v>
      </x:c>
      <x:c r="T133" s="48"/>
    </x:row>
    <x:row r="134">
      <x:c r="A134" t="n">
        <x:f>Plan_Raw!A134</x:f>
        <x:v>224</x:v>
      </x:c>
      <x:c r="B134" t="str">
        <x:f>Plan_Raw!D134</x:f>
        <x:v>0885</x:v>
      </x:c>
      <x:c r="C134" t="str">
        <x:f>LEFT(Plan_Raw!B134,10)</x:f>
        <x:v>2026-07-01</x:v>
      </x:c>
      <x:c r="D134" t="str">
        <x:f>Plan_Raw!F134</x:f>
        <x:v>COMMN</x:v>
      </x:c>
      <x:c r="E134" t="str">
        <x:f>Plan_Raw!E134</x:f>
        <x:v>Mayoral Staff V</x:v>
      </x:c>
      <x:c r="F134" t="str">
        <x:f>Plan_Raw!C134</x:f>
        <x:v>0885D</x:v>
      </x:c>
      <x:c r="G134" s="50" t="n">
        <x:f>IF(Plan_Raw!G134="","",IFERROR(VALUE(Plan_Raw!G134),""))</x:f>
        <x:v>36.8</x:v>
      </x:c>
      <x:c r="H134" t="str">
        <x:f>Plan_Raw!AH134</x:f>
        <x:v>0885|COMMN|2026-07-01</x:v>
      </x:c>
      <x:c r="I134" t="n">
        <x:f>COUNTIF(Rates_Raw!$AF$5:$AF$464,H134)</x:f>
        <x:v>0</x:v>
      </x:c>
      <x:c r="J134" t="str">
        <x:f>IF(I134=1,_xlfn.XLOOKUP(H134,Rates_Raw!$AF$5:$AF$464,Rates_Raw!$E$5:$E$464,""),"")</x:f>
      </x:c>
      <x:c r="K134" t="str">
        <x:f>IF(I134=1,_xlfn.XLOOKUP(H134,Rates_Raw!$AF$5:$AF$464,Rates_Raw!$F$5:$F$464,""),"")</x:f>
      </x:c>
      <x:c r="L134" s="50" t="str">
        <x:f>IF(I134=1,IFERROR(VALUE(SUBSTITUTE(_xlfn.XLOOKUP(H134,Rates_Raw!$AF$5:$AF$464,Rates_Raw!$L$5:$L$464,""),"$","")),""),"")</x:f>
      </x:c>
      <x:c r="M134" s="50" t="str">
        <x:f>IF(OR(G134="",L134=""),"",ROUND(G134-L134,4))</x:f>
      </x:c>
      <x:c r="N134" t="str">
        <x:f>IF(I134=0,"NO MATCH",IF(I134&gt;1,"AMBIGUOUS",IF(EXACT(TRIM(E134),TRIM(J134)),"EXACT","TITLE VARIANT")))</x:f>
        <x:v>NO MATCH</x:v>
      </x:c>
      <x:c r="O134" t="str">
        <x:f>IF(I134&lt;&gt;1,"NOT TESTED",IF(OR(G134="",L134=""),"MISSING",IF(ABS(M134)&lt;=Guide!$B$16,"PASS","REVIEW")))</x:f>
        <x:v>NOT TESTED</x:v>
      </x:c>
      <x:c r="P134" s="52" t="str">
        <x:f>IF(I134=1,IFERROR(VALUE(SUBSTITUTE(SUBSTITUTE(_xlfn.XLOOKUP(H134,Rates_Raw!$AF$5:$AF$464,Rates_Raw!$I$5:$I$464,""),"$",""),",","")),""),"")</x:f>
      </x:c>
      <x:c r="Q134" s="52" t="str">
        <x:f>IF(P134="","",P134*Guide!$B$15)</x:f>
      </x:c>
      <x:c r="R134" t="str">
        <x:f>IF(I134=0,"UNMATCHED",IF(I134&gt;1,"DUPLICATE KEY",IF(OR(N134="TITLE VARIANT",O134="REVIEW",O134="MISSING"),"REVIEW","VERIFIED")))</x:f>
        <x:v>UNMATCHED</x:v>
      </x:c>
      <x:c r="S134" s="46" t="str">
        <x:v>Not Reviewed</x:v>
      </x:c>
      <x:c r="T134" s="48"/>
    </x:row>
    <x:row r="135">
      <x:c r="A135" t="n">
        <x:f>Plan_Raw!A135</x:f>
        <x:v>230</x:v>
      </x:c>
      <x:c r="B135" t="str">
        <x:f>Plan_Raw!D135</x:f>
        <x:v>0886</x:v>
      </x:c>
      <x:c r="C135" t="str">
        <x:f>LEFT(Plan_Raw!B135,10)</x:f>
        <x:v>2024-01-06</x:v>
      </x:c>
      <x:c r="D135" t="str">
        <x:f>Plan_Raw!F135</x:f>
        <x:v>COMMN</x:v>
      </x:c>
      <x:c r="E135" t="str">
        <x:f>Plan_Raw!E135</x:f>
        <x:v>Mayoral Staff VI</x:v>
      </x:c>
      <x:c r="F135" t="str">
        <x:f>Plan_Raw!C135</x:f>
        <x:v>0886Y</x:v>
      </x:c>
      <x:c r="G135" s="50" t="n">
        <x:f>IF(Plan_Raw!G135="","",IFERROR(VALUE(Plan_Raw!G135),""))</x:f>
        <x:v>36.2125</x:v>
      </x:c>
      <x:c r="H135" t="str">
        <x:f>Plan_Raw!AH135</x:f>
        <x:v>0886|COMMN|2024-01-06</x:v>
      </x:c>
      <x:c r="I135" t="n">
        <x:f>COUNTIF(Rates_Raw!$AF$5:$AF$464,H135)</x:f>
        <x:v>1</x:v>
      </x:c>
      <x:c r="J135" t="str">
        <x:f>IF(I135=1,_xlfn.XLOOKUP(H135,Rates_Raw!$AF$5:$AF$464,Rates_Raw!$E$5:$E$464,""),"")</x:f>
        <x:v>Mayoral Staff VI</x:v>
      </x:c>
      <x:c r="K135" t="n">
        <x:f>IF(I135=1,_xlfn.XLOOKUP(H135,Rates_Raw!$AF$5:$AF$464,Rates_Raw!$F$5:$F$464,""),"")</x:f>
        <x:v>2</x:v>
      </x:c>
      <x:c r="L135" s="50" t="n">
        <x:f>IF(I135=1,IFERROR(VALUE(SUBSTITUTE(_xlfn.XLOOKUP(H135,Rates_Raw!$AF$5:$AF$464,Rates_Raw!$L$5:$L$464,""),"$","")),""),"")</x:f>
        <x:v>36.2125</x:v>
      </x:c>
      <x:c r="M135" s="50" t="n">
        <x:f>IF(OR(G135="",L135=""),"",ROUND(G135-L135,4))</x:f>
        <x:v>0</x:v>
      </x:c>
      <x:c r="N135" t="str">
        <x:f>IF(I135=0,"NO MATCH",IF(I135&gt;1,"AMBIGUOUS",IF(EXACT(TRIM(E135),TRIM(J135)),"EXACT","TITLE VARIANT")))</x:f>
        <x:v>EXACT</x:v>
      </x:c>
      <x:c r="O135" t="str">
        <x:f>IF(I135&lt;&gt;1,"NOT TESTED",IF(OR(G135="",L135=""),"MISSING",IF(ABS(M135)&lt;=Guide!$B$16,"PASS","REVIEW")))</x:f>
        <x:v>PASS</x:v>
      </x:c>
      <x:c r="P135" s="52" t="n">
        <x:f>IF(I135=1,IFERROR(VALUE(SUBSTITUTE(SUBSTITUTE(_xlfn.XLOOKUP(H135,Rates_Raw!$AF$5:$AF$464,Rates_Raw!$I$5:$I$464,""),"$",""),",","")),""),"")</x:f>
        <x:v>2897</x:v>
      </x:c>
      <x:c r="Q135" s="52" t="n">
        <x:f>IF(P135="","",P135*Guide!$B$15)</x:f>
        <x:v>75322</x:v>
      </x:c>
      <x:c r="R135" t="str">
        <x:f>IF(I135=0,"UNMATCHED",IF(I135&gt;1,"DUPLICATE KEY",IF(OR(N135="TITLE VARIANT",O135="REVIEW",O135="MISSING"),"REVIEW","VERIFIED")))</x:f>
        <x:v>VERIFIED</x:v>
      </x:c>
      <x:c r="S135" s="46" t="str">
        <x:v>Not Reviewed</x:v>
      </x:c>
      <x:c r="T135" s="48"/>
    </x:row>
    <x:row r="136">
      <x:c r="A136" t="n">
        <x:f>Plan_Raw!A136</x:f>
        <x:v>231</x:v>
      </x:c>
      <x:c r="B136" t="str">
        <x:f>Plan_Raw!D136</x:f>
        <x:v>0886</x:v>
      </x:c>
      <x:c r="C136" t="str">
        <x:f>LEFT(Plan_Raw!B136,10)</x:f>
        <x:v>2024-07-01</x:v>
      </x:c>
      <x:c r="D136" t="str">
        <x:f>Plan_Raw!F136</x:f>
        <x:v>COMMN</x:v>
      </x:c>
      <x:c r="E136" t="str">
        <x:f>Plan_Raw!E136</x:f>
        <x:v>Mayoral Staff VI</x:v>
      </x:c>
      <x:c r="F136" t="str">
        <x:f>Plan_Raw!C136</x:f>
        <x:v>0886Z</x:v>
      </x:c>
      <x:c r="G136" s="50" t="n">
        <x:f>IF(Plan_Raw!G136="","",IFERROR(VALUE(Plan_Raw!G136),""))</x:f>
        <x:v>36.75</x:v>
      </x:c>
      <x:c r="H136" t="str">
        <x:f>Plan_Raw!AH136</x:f>
        <x:v>0886|COMMN|2024-07-01</x:v>
      </x:c>
      <x:c r="I136" t="n">
        <x:f>COUNTIF(Rates_Raw!$AF$5:$AF$464,H136)</x:f>
        <x:v>1</x:v>
      </x:c>
      <x:c r="J136" t="str">
        <x:f>IF(I136=1,_xlfn.XLOOKUP(H136,Rates_Raw!$AF$5:$AF$464,Rates_Raw!$E$5:$E$464,""),"")</x:f>
        <x:v>Mayoral Staff VI</x:v>
      </x:c>
      <x:c r="K136" t="n">
        <x:f>IF(I136=1,_xlfn.XLOOKUP(H136,Rates_Raw!$AF$5:$AF$464,Rates_Raw!$F$5:$F$464,""),"")</x:f>
        <x:v>2</x:v>
      </x:c>
      <x:c r="L136" s="50" t="n">
        <x:f>IF(I136=1,IFERROR(VALUE(SUBSTITUTE(_xlfn.XLOOKUP(H136,Rates_Raw!$AF$5:$AF$464,Rates_Raw!$L$5:$L$464,""),"$","")),""),"")</x:f>
        <x:v>36.75</x:v>
      </x:c>
      <x:c r="M136" s="50" t="n">
        <x:f>IF(OR(G136="",L136=""),"",ROUND(G136-L136,4))</x:f>
        <x:v>0</x:v>
      </x:c>
      <x:c r="N136" t="str">
        <x:f>IF(I136=0,"NO MATCH",IF(I136&gt;1,"AMBIGUOUS",IF(EXACT(TRIM(E136),TRIM(J136)),"EXACT","TITLE VARIANT")))</x:f>
        <x:v>EXACT</x:v>
      </x:c>
      <x:c r="O136" t="str">
        <x:f>IF(I136&lt;&gt;1,"NOT TESTED",IF(OR(G136="",L136=""),"MISSING",IF(ABS(M136)&lt;=Guide!$B$16,"PASS","REVIEW")))</x:f>
        <x:v>PASS</x:v>
      </x:c>
      <x:c r="P136" s="52" t="n">
        <x:f>IF(I136=1,IFERROR(VALUE(SUBSTITUTE(SUBSTITUTE(_xlfn.XLOOKUP(H136,Rates_Raw!$AF$5:$AF$464,Rates_Raw!$I$5:$I$464,""),"$",""),",","")),""),"")</x:f>
        <x:v>2940</x:v>
      </x:c>
      <x:c r="Q136" s="52" t="n">
        <x:f>IF(P136="","",P136*Guide!$B$15)</x:f>
        <x:v>76440</x:v>
      </x:c>
      <x:c r="R136" t="str">
        <x:f>IF(I136=0,"UNMATCHED",IF(I136&gt;1,"DUPLICATE KEY",IF(OR(N136="TITLE VARIANT",O136="REVIEW",O136="MISSING"),"REVIEW","VERIFIED")))</x:f>
        <x:v>VERIFIED</x:v>
      </x:c>
      <x:c r="S136" s="46" t="str">
        <x:v>Not Reviewed</x:v>
      </x:c>
      <x:c r="T136" s="48"/>
    </x:row>
    <x:row r="137">
      <x:c r="A137" t="n">
        <x:f>Plan_Raw!A137</x:f>
        <x:v>232</x:v>
      </x:c>
      <x:c r="B137" t="str">
        <x:f>Plan_Raw!D137</x:f>
        <x:v>0886</x:v>
      </x:c>
      <x:c r="C137" t="str">
        <x:f>LEFT(Plan_Raw!B137,10)</x:f>
        <x:v>2025-01-04</x:v>
      </x:c>
      <x:c r="D137" t="str">
        <x:f>Plan_Raw!F137</x:f>
        <x:v>COMMN</x:v>
      </x:c>
      <x:c r="E137" t="str">
        <x:f>Plan_Raw!E137</x:f>
        <x:v>Mayoral Staff VI</x:v>
      </x:c>
      <x:c r="F137" t="str">
        <x:f>Plan_Raw!C137</x:f>
        <x:v>0886A</x:v>
      </x:c>
      <x:c r="G137" s="50" t="n">
        <x:f>IF(Plan_Raw!G137="","",IFERROR(VALUE(Plan_Raw!G137),""))</x:f>
        <x:v>37.3</x:v>
      </x:c>
      <x:c r="H137" t="str">
        <x:f>Plan_Raw!AH137</x:f>
        <x:v>0886|COMMN|2025-01-04</x:v>
      </x:c>
      <x:c r="I137" t="n">
        <x:f>COUNTIF(Rates_Raw!$AF$5:$AF$464,H137)</x:f>
        <x:v>1</x:v>
      </x:c>
      <x:c r="J137" t="str">
        <x:f>IF(I137=1,_xlfn.XLOOKUP(H137,Rates_Raw!$AF$5:$AF$464,Rates_Raw!$E$5:$E$464,""),"")</x:f>
        <x:v>Mayoral Staff VI</x:v>
      </x:c>
      <x:c r="K137" t="n">
        <x:f>IF(I137=1,_xlfn.XLOOKUP(H137,Rates_Raw!$AF$5:$AF$464,Rates_Raw!$F$5:$F$464,""),"")</x:f>
        <x:v>2</x:v>
      </x:c>
      <x:c r="L137" s="50" t="n">
        <x:f>IF(I137=1,IFERROR(VALUE(SUBSTITUTE(_xlfn.XLOOKUP(H137,Rates_Raw!$AF$5:$AF$464,Rates_Raw!$L$5:$L$464,""),"$","")),""),"")</x:f>
        <x:v>37.3</x:v>
      </x:c>
      <x:c r="M137" s="50" t="n">
        <x:f>IF(OR(G137="",L137=""),"",ROUND(G137-L137,4))</x:f>
        <x:v>0</x:v>
      </x:c>
      <x:c r="N137" t="str">
        <x:f>IF(I137=0,"NO MATCH",IF(I137&gt;1,"AMBIGUOUS",IF(EXACT(TRIM(E137),TRIM(J137)),"EXACT","TITLE VARIANT")))</x:f>
        <x:v>EXACT</x:v>
      </x:c>
      <x:c r="O137" t="str">
        <x:f>IF(I137&lt;&gt;1,"NOT TESTED",IF(OR(G137="",L137=""),"MISSING",IF(ABS(M137)&lt;=Guide!$B$16,"PASS","REVIEW")))</x:f>
        <x:v>PASS</x:v>
      </x:c>
      <x:c r="P137" s="52" t="n">
        <x:f>IF(I137=1,IFERROR(VALUE(SUBSTITUTE(SUBSTITUTE(_xlfn.XLOOKUP(H137,Rates_Raw!$AF$5:$AF$464,Rates_Raw!$I$5:$I$464,""),"$",""),",","")),""),"")</x:f>
        <x:v>2984</x:v>
      </x:c>
      <x:c r="Q137" s="52" t="n">
        <x:f>IF(P137="","",P137*Guide!$B$15)</x:f>
        <x:v>77584</x:v>
      </x:c>
      <x:c r="R137" t="str">
        <x:f>IF(I137=0,"UNMATCHED",IF(I137&gt;1,"DUPLICATE KEY",IF(OR(N137="TITLE VARIANT",O137="REVIEW",O137="MISSING"),"REVIEW","VERIFIED")))</x:f>
        <x:v>VERIFIED</x:v>
      </x:c>
      <x:c r="S137" s="46" t="str">
        <x:v>Not Reviewed</x:v>
      </x:c>
      <x:c r="T137" s="48"/>
    </x:row>
    <x:row r="138">
      <x:c r="A138" t="n">
        <x:f>Plan_Raw!A138</x:f>
        <x:v>233</x:v>
      </x:c>
      <x:c r="B138" t="str">
        <x:f>Plan_Raw!D138</x:f>
        <x:v>0886</x:v>
      </x:c>
      <x:c r="C138" t="str">
        <x:f>LEFT(Plan_Raw!B138,10)</x:f>
        <x:v>2025-07-01</x:v>
      </x:c>
      <x:c r="D138" t="str">
        <x:f>Plan_Raw!F138</x:f>
        <x:v>COMMN</x:v>
      </x:c>
      <x:c r="E138" t="str">
        <x:f>Plan_Raw!E138</x:f>
        <x:v>Mayoral Staff VI</x:v>
      </x:c>
      <x:c r="F138" t="str">
        <x:f>Plan_Raw!C138</x:f>
        <x:v>0886B</x:v>
      </x:c>
      <x:c r="G138" s="50" t="n">
        <x:f>IF(Plan_Raw!G138="","",IFERROR(VALUE(Plan_Raw!G138),""))</x:f>
        <x:v>38.05</x:v>
      </x:c>
      <x:c r="H138" t="str">
        <x:f>Plan_Raw!AH138</x:f>
        <x:v>0886|COMMN|2025-07-01</x:v>
      </x:c>
      <x:c r="I138" t="n">
        <x:f>COUNTIF(Rates_Raw!$AF$5:$AF$464,H138)</x:f>
        <x:v>1</x:v>
      </x:c>
      <x:c r="J138" t="str">
        <x:f>IF(I138=1,_xlfn.XLOOKUP(H138,Rates_Raw!$AF$5:$AF$464,Rates_Raw!$E$5:$E$464,""),"")</x:f>
        <x:v>Mayoral Staff VI</x:v>
      </x:c>
      <x:c r="K138" t="n">
        <x:f>IF(I138=1,_xlfn.XLOOKUP(H138,Rates_Raw!$AF$5:$AF$464,Rates_Raw!$F$5:$F$464,""),"")</x:f>
        <x:v>2</x:v>
      </x:c>
      <x:c r="L138" s="50" t="n">
        <x:f>IF(I138=1,IFERROR(VALUE(SUBSTITUTE(_xlfn.XLOOKUP(H138,Rates_Raw!$AF$5:$AF$464,Rates_Raw!$L$5:$L$464,""),"$","")),""),"")</x:f>
        <x:v>38.05</x:v>
      </x:c>
      <x:c r="M138" s="50" t="n">
        <x:f>IF(OR(G138="",L138=""),"",ROUND(G138-L138,4))</x:f>
        <x:v>0</x:v>
      </x:c>
      <x:c r="N138" t="str">
        <x:f>IF(I138=0,"NO MATCH",IF(I138&gt;1,"AMBIGUOUS",IF(EXACT(TRIM(E138),TRIM(J138)),"EXACT","TITLE VARIANT")))</x:f>
        <x:v>EXACT</x:v>
      </x:c>
      <x:c r="O138" t="str">
        <x:f>IF(I138&lt;&gt;1,"NOT TESTED",IF(OR(G138="",L138=""),"MISSING",IF(ABS(M138)&lt;=Guide!$B$16,"PASS","REVIEW")))</x:f>
        <x:v>PASS</x:v>
      </x:c>
      <x:c r="P138" s="52" t="n">
        <x:f>IF(I138=1,IFERROR(VALUE(SUBSTITUTE(SUBSTITUTE(_xlfn.XLOOKUP(H138,Rates_Raw!$AF$5:$AF$464,Rates_Raw!$I$5:$I$464,""),"$",""),",","")),""),"")</x:f>
        <x:v>3044</x:v>
      </x:c>
      <x:c r="Q138" s="52" t="n">
        <x:f>IF(P138="","",P138*Guide!$B$15)</x:f>
        <x:v>79144</x:v>
      </x:c>
      <x:c r="R138" t="str">
        <x:f>IF(I138=0,"UNMATCHED",IF(I138&gt;1,"DUPLICATE KEY",IF(OR(N138="TITLE VARIANT",O138="REVIEW",O138="MISSING"),"REVIEW","VERIFIED")))</x:f>
        <x:v>VERIFIED</x:v>
      </x:c>
      <x:c r="S138" s="46" t="str">
        <x:v>Not Reviewed</x:v>
      </x:c>
      <x:c r="T138" s="48"/>
    </x:row>
    <x:row r="139">
      <x:c r="A139" t="n">
        <x:f>Plan_Raw!A139</x:f>
        <x:v>234</x:v>
      </x:c>
      <x:c r="B139" t="str">
        <x:f>Plan_Raw!D139</x:f>
        <x:v>0886</x:v>
      </x:c>
      <x:c r="C139" t="str">
        <x:f>LEFT(Plan_Raw!B139,10)</x:f>
        <x:v>2026-01-03</x:v>
      </x:c>
      <x:c r="D139" t="str">
        <x:f>Plan_Raw!F139</x:f>
        <x:v>COMMN</x:v>
      </x:c>
      <x:c r="E139" t="str">
        <x:f>Plan_Raw!E139</x:f>
        <x:v>Mayoral Staff VI</x:v>
      </x:c>
      <x:c r="F139" t="str">
        <x:f>Plan_Raw!C139</x:f>
        <x:v>0886C</x:v>
      </x:c>
      <x:c r="G139" s="50" t="n">
        <x:f>IF(Plan_Raw!G139="","",IFERROR(VALUE(Plan_Raw!G139),""))</x:f>
        <x:v>38.625</x:v>
      </x:c>
      <x:c r="H139" t="str">
        <x:f>Plan_Raw!AH139</x:f>
        <x:v>0886|COMMN|2026-01-03</x:v>
      </x:c>
      <x:c r="I139" t="n">
        <x:f>COUNTIF(Rates_Raw!$AF$5:$AF$464,H139)</x:f>
        <x:v>1</x:v>
      </x:c>
      <x:c r="J139" t="str">
        <x:f>IF(I139=1,_xlfn.XLOOKUP(H139,Rates_Raw!$AF$5:$AF$464,Rates_Raw!$E$5:$E$464,""),"")</x:f>
        <x:v>Mayoral Staff VI</x:v>
      </x:c>
      <x:c r="K139" t="n">
        <x:f>IF(I139=1,_xlfn.XLOOKUP(H139,Rates_Raw!$AF$5:$AF$464,Rates_Raw!$F$5:$F$464,""),"")</x:f>
        <x:v>2</x:v>
      </x:c>
      <x:c r="L139" s="50" t="n">
        <x:f>IF(I139=1,IFERROR(VALUE(SUBSTITUTE(_xlfn.XLOOKUP(H139,Rates_Raw!$AF$5:$AF$464,Rates_Raw!$L$5:$L$464,""),"$","")),""),"")</x:f>
        <x:v>38.625</x:v>
      </x:c>
      <x:c r="M139" s="50" t="n">
        <x:f>IF(OR(G139="",L139=""),"",ROUND(G139-L139,4))</x:f>
        <x:v>0</x:v>
      </x:c>
      <x:c r="N139" t="str">
        <x:f>IF(I139=0,"NO MATCH",IF(I139&gt;1,"AMBIGUOUS",IF(EXACT(TRIM(E139),TRIM(J139)),"EXACT","TITLE VARIANT")))</x:f>
        <x:v>EXACT</x:v>
      </x:c>
      <x:c r="O139" t="str">
        <x:f>IF(I139&lt;&gt;1,"NOT TESTED",IF(OR(G139="",L139=""),"MISSING",IF(ABS(M139)&lt;=Guide!$B$16,"PASS","REVIEW")))</x:f>
        <x:v>PASS</x:v>
      </x:c>
      <x:c r="P139" s="52" t="n">
        <x:f>IF(I139=1,IFERROR(VALUE(SUBSTITUTE(SUBSTITUTE(_xlfn.XLOOKUP(H139,Rates_Raw!$AF$5:$AF$464,Rates_Raw!$I$5:$I$464,""),"$",""),",","")),""),"")</x:f>
        <x:v>3090</x:v>
      </x:c>
      <x:c r="Q139" s="52" t="n">
        <x:f>IF(P139="","",P139*Guide!$B$15)</x:f>
        <x:v>80340</x:v>
      </x:c>
      <x:c r="R139" t="str">
        <x:f>IF(I139=0,"UNMATCHED",IF(I139&gt;1,"DUPLICATE KEY",IF(OR(N139="TITLE VARIANT",O139="REVIEW",O139="MISSING"),"REVIEW","VERIFIED")))</x:f>
        <x:v>VERIFIED</x:v>
      </x:c>
      <x:c r="S139" s="46" t="str">
        <x:v>Not Reviewed</x:v>
      </x:c>
      <x:c r="T139" s="48"/>
    </x:row>
    <x:row r="140">
      <x:c r="A140" t="n">
        <x:f>Plan_Raw!A140</x:f>
        <x:v>235</x:v>
      </x:c>
      <x:c r="B140" t="str">
        <x:f>Plan_Raw!D140</x:f>
        <x:v>0886</x:v>
      </x:c>
      <x:c r="C140" t="str">
        <x:f>LEFT(Plan_Raw!B140,10)</x:f>
        <x:v>2026-07-01</x:v>
      </x:c>
      <x:c r="D140" t="str">
        <x:f>Plan_Raw!F140</x:f>
        <x:v>COMMN</x:v>
      </x:c>
      <x:c r="E140" t="str">
        <x:f>Plan_Raw!E140</x:f>
        <x:v>Mayoral Staff VI</x:v>
      </x:c>
      <x:c r="F140" t="str">
        <x:f>Plan_Raw!C140</x:f>
        <x:v>0886D</x:v>
      </x:c>
      <x:c r="G140" s="50" t="n">
        <x:f>IF(Plan_Raw!G140="","",IFERROR(VALUE(Plan_Raw!G140),""))</x:f>
        <x:v>39.4</x:v>
      </x:c>
      <x:c r="H140" t="str">
        <x:f>Plan_Raw!AH140</x:f>
        <x:v>0886|COMMN|2026-07-01</x:v>
      </x:c>
      <x:c r="I140" t="n">
        <x:f>COUNTIF(Rates_Raw!$AF$5:$AF$464,H140)</x:f>
        <x:v>0</x:v>
      </x:c>
      <x:c r="J140" t="str">
        <x:f>IF(I140=1,_xlfn.XLOOKUP(H140,Rates_Raw!$AF$5:$AF$464,Rates_Raw!$E$5:$E$464,""),"")</x:f>
      </x:c>
      <x:c r="K140" t="str">
        <x:f>IF(I140=1,_xlfn.XLOOKUP(H140,Rates_Raw!$AF$5:$AF$464,Rates_Raw!$F$5:$F$464,""),"")</x:f>
      </x:c>
      <x:c r="L140" s="50" t="str">
        <x:f>IF(I140=1,IFERROR(VALUE(SUBSTITUTE(_xlfn.XLOOKUP(H140,Rates_Raw!$AF$5:$AF$464,Rates_Raw!$L$5:$L$464,""),"$","")),""),"")</x:f>
      </x:c>
      <x:c r="M140" s="50" t="str">
        <x:f>IF(OR(G140="",L140=""),"",ROUND(G140-L140,4))</x:f>
      </x:c>
      <x:c r="N140" t="str">
        <x:f>IF(I140=0,"NO MATCH",IF(I140&gt;1,"AMBIGUOUS",IF(EXACT(TRIM(E140),TRIM(J140)),"EXACT","TITLE VARIANT")))</x:f>
        <x:v>NO MATCH</x:v>
      </x:c>
      <x:c r="O140" t="str">
        <x:f>IF(I140&lt;&gt;1,"NOT TESTED",IF(OR(G140="",L140=""),"MISSING",IF(ABS(M140)&lt;=Guide!$B$16,"PASS","REVIEW")))</x:f>
        <x:v>NOT TESTED</x:v>
      </x:c>
      <x:c r="P140" s="52" t="str">
        <x:f>IF(I140=1,IFERROR(VALUE(SUBSTITUTE(SUBSTITUTE(_xlfn.XLOOKUP(H140,Rates_Raw!$AF$5:$AF$464,Rates_Raw!$I$5:$I$464,""),"$",""),",","")),""),"")</x:f>
      </x:c>
      <x:c r="Q140" s="52" t="str">
        <x:f>IF(P140="","",P140*Guide!$B$15)</x:f>
      </x:c>
      <x:c r="R140" t="str">
        <x:f>IF(I140=0,"UNMATCHED",IF(I140&gt;1,"DUPLICATE KEY",IF(OR(N140="TITLE VARIANT",O140="REVIEW",O140="MISSING"),"REVIEW","VERIFIED")))</x:f>
        <x:v>UNMATCHED</x:v>
      </x:c>
      <x:c r="S140" s="46" t="str">
        <x:v>Not Reviewed</x:v>
      </x:c>
      <x:c r="T140" s="48"/>
    </x:row>
    <x:row r="141">
      <x:c r="A141" t="n">
        <x:f>Plan_Raw!A141</x:f>
        <x:v>241</x:v>
      </x:c>
      <x:c r="B141" t="str">
        <x:f>Plan_Raw!D141</x:f>
        <x:v>0887</x:v>
      </x:c>
      <x:c r="C141" t="str">
        <x:f>LEFT(Plan_Raw!B141,10)</x:f>
        <x:v>2024-01-06</x:v>
      </x:c>
      <x:c r="D141" t="str">
        <x:f>Plan_Raw!F141</x:f>
        <x:v>COMMN</x:v>
      </x:c>
      <x:c r="E141" t="str">
        <x:f>Plan_Raw!E141</x:f>
        <x:v>Mayoral Staff VII</x:v>
      </x:c>
      <x:c r="F141" t="str">
        <x:f>Plan_Raw!C141</x:f>
        <x:v>0887Y</x:v>
      </x:c>
      <x:c r="G141" s="50" t="n">
        <x:f>IF(Plan_Raw!G141="","",IFERROR(VALUE(Plan_Raw!G141),""))</x:f>
        <x:v>38.925</x:v>
      </x:c>
      <x:c r="H141" t="str">
        <x:f>Plan_Raw!AH141</x:f>
        <x:v>0887|COMMN|2024-01-06</x:v>
      </x:c>
      <x:c r="I141" t="n">
        <x:f>COUNTIF(Rates_Raw!$AF$5:$AF$464,H141)</x:f>
        <x:v>1</x:v>
      </x:c>
      <x:c r="J141" t="str">
        <x:f>IF(I141=1,_xlfn.XLOOKUP(H141,Rates_Raw!$AF$5:$AF$464,Rates_Raw!$E$5:$E$464,""),"")</x:f>
        <x:v>Mayoral Staff VII</x:v>
      </x:c>
      <x:c r="K141" t="n">
        <x:f>IF(I141=1,_xlfn.XLOOKUP(H141,Rates_Raw!$AF$5:$AF$464,Rates_Raw!$F$5:$F$464,""),"")</x:f>
        <x:v>2</x:v>
      </x:c>
      <x:c r="L141" s="50" t="n">
        <x:f>IF(I141=1,IFERROR(VALUE(SUBSTITUTE(_xlfn.XLOOKUP(H141,Rates_Raw!$AF$5:$AF$464,Rates_Raw!$L$5:$L$464,""),"$","")),""),"")</x:f>
        <x:v>38.925</x:v>
      </x:c>
      <x:c r="M141" s="50" t="n">
        <x:f>IF(OR(G141="",L141=""),"",ROUND(G141-L141,4))</x:f>
        <x:v>0</x:v>
      </x:c>
      <x:c r="N141" t="str">
        <x:f>IF(I141=0,"NO MATCH",IF(I141&gt;1,"AMBIGUOUS",IF(EXACT(TRIM(E141),TRIM(J141)),"EXACT","TITLE VARIANT")))</x:f>
        <x:v>EXACT</x:v>
      </x:c>
      <x:c r="O141" t="str">
        <x:f>IF(I141&lt;&gt;1,"NOT TESTED",IF(OR(G141="",L141=""),"MISSING",IF(ABS(M141)&lt;=Guide!$B$16,"PASS","REVIEW")))</x:f>
        <x:v>PASS</x:v>
      </x:c>
      <x:c r="P141" s="52" t="n">
        <x:f>IF(I141=1,IFERROR(VALUE(SUBSTITUTE(SUBSTITUTE(_xlfn.XLOOKUP(H141,Rates_Raw!$AF$5:$AF$464,Rates_Raw!$I$5:$I$464,""),"$",""),",","")),""),"")</x:f>
        <x:v>3114</x:v>
      </x:c>
      <x:c r="Q141" s="52" t="n">
        <x:f>IF(P141="","",P141*Guide!$B$15)</x:f>
        <x:v>80964</x:v>
      </x:c>
      <x:c r="R141" t="str">
        <x:f>IF(I141=0,"UNMATCHED",IF(I141&gt;1,"DUPLICATE KEY",IF(OR(N141="TITLE VARIANT",O141="REVIEW",O141="MISSING"),"REVIEW","VERIFIED")))</x:f>
        <x:v>VERIFIED</x:v>
      </x:c>
      <x:c r="S141" s="46" t="str">
        <x:v>Not Reviewed</x:v>
      </x:c>
      <x:c r="T141" s="48"/>
    </x:row>
    <x:row r="142">
      <x:c r="A142" t="n">
        <x:f>Plan_Raw!A142</x:f>
        <x:v>242</x:v>
      </x:c>
      <x:c r="B142" t="str">
        <x:f>Plan_Raw!D142</x:f>
        <x:v>0887</x:v>
      </x:c>
      <x:c r="C142" t="str">
        <x:f>LEFT(Plan_Raw!B142,10)</x:f>
        <x:v>2024-07-01</x:v>
      </x:c>
      <x:c r="D142" t="str">
        <x:f>Plan_Raw!F142</x:f>
        <x:v>COMMN</x:v>
      </x:c>
      <x:c r="E142" t="str">
        <x:f>Plan_Raw!E142</x:f>
        <x:v>Mayoral Staff VII</x:v>
      </x:c>
      <x:c r="F142" t="str">
        <x:f>Plan_Raw!C142</x:f>
        <x:v>0887Z</x:v>
      </x:c>
      <x:c r="G142" s="50" t="n">
        <x:f>IF(Plan_Raw!G142="","",IFERROR(VALUE(Plan_Raw!G142),""))</x:f>
        <x:v>39.5125</x:v>
      </x:c>
      <x:c r="H142" t="str">
        <x:f>Plan_Raw!AH142</x:f>
        <x:v>0887|COMMN|2024-07-01</x:v>
      </x:c>
      <x:c r="I142" t="n">
        <x:f>COUNTIF(Rates_Raw!$AF$5:$AF$464,H142)</x:f>
        <x:v>1</x:v>
      </x:c>
      <x:c r="J142" t="str">
        <x:f>IF(I142=1,_xlfn.XLOOKUP(H142,Rates_Raw!$AF$5:$AF$464,Rates_Raw!$E$5:$E$464,""),"")</x:f>
        <x:v>Mayoral Staff VII</x:v>
      </x:c>
      <x:c r="K142" t="n">
        <x:f>IF(I142=1,_xlfn.XLOOKUP(H142,Rates_Raw!$AF$5:$AF$464,Rates_Raw!$F$5:$F$464,""),"")</x:f>
        <x:v>2</x:v>
      </x:c>
      <x:c r="L142" s="50" t="n">
        <x:f>IF(I142=1,IFERROR(VALUE(SUBSTITUTE(_xlfn.XLOOKUP(H142,Rates_Raw!$AF$5:$AF$464,Rates_Raw!$L$5:$L$464,""),"$","")),""),"")</x:f>
        <x:v>39.5125</x:v>
      </x:c>
      <x:c r="M142" s="50" t="n">
        <x:f>IF(OR(G142="",L142=""),"",ROUND(G142-L142,4))</x:f>
        <x:v>0</x:v>
      </x:c>
      <x:c r="N142" t="str">
        <x:f>IF(I142=0,"NO MATCH",IF(I142&gt;1,"AMBIGUOUS",IF(EXACT(TRIM(E142),TRIM(J142)),"EXACT","TITLE VARIANT")))</x:f>
        <x:v>EXACT</x:v>
      </x:c>
      <x:c r="O142" t="str">
        <x:f>IF(I142&lt;&gt;1,"NOT TESTED",IF(OR(G142="",L142=""),"MISSING",IF(ABS(M142)&lt;=Guide!$B$16,"PASS","REVIEW")))</x:f>
        <x:v>PASS</x:v>
      </x:c>
      <x:c r="P142" s="52" t="n">
        <x:f>IF(I142=1,IFERROR(VALUE(SUBSTITUTE(SUBSTITUTE(_xlfn.XLOOKUP(H142,Rates_Raw!$AF$5:$AF$464,Rates_Raw!$I$5:$I$464,""),"$",""),",","")),""),"")</x:f>
        <x:v>3161</x:v>
      </x:c>
      <x:c r="Q142" s="52" t="n">
        <x:f>IF(P142="","",P142*Guide!$B$15)</x:f>
        <x:v>82186</x:v>
      </x:c>
      <x:c r="R142" t="str">
        <x:f>IF(I142=0,"UNMATCHED",IF(I142&gt;1,"DUPLICATE KEY",IF(OR(N142="TITLE VARIANT",O142="REVIEW",O142="MISSING"),"REVIEW","VERIFIED")))</x:f>
        <x:v>VERIFIED</x:v>
      </x:c>
      <x:c r="S142" s="46" t="str">
        <x:v>Not Reviewed</x:v>
      </x:c>
      <x:c r="T142" s="48"/>
    </x:row>
    <x:row r="143">
      <x:c r="A143" t="n">
        <x:f>Plan_Raw!A143</x:f>
        <x:v>243</x:v>
      </x:c>
      <x:c r="B143" t="str">
        <x:f>Plan_Raw!D143</x:f>
        <x:v>0887</x:v>
      </x:c>
      <x:c r="C143" t="str">
        <x:f>LEFT(Plan_Raw!B143,10)</x:f>
        <x:v>2025-01-04</x:v>
      </x:c>
      <x:c r="D143" t="str">
        <x:f>Plan_Raw!F143</x:f>
        <x:v>COMMN</x:v>
      </x:c>
      <x:c r="E143" t="str">
        <x:f>Plan_Raw!E143</x:f>
        <x:v>Mayoral Staff VII</x:v>
      </x:c>
      <x:c r="F143" t="str">
        <x:f>Plan_Raw!C143</x:f>
        <x:v>0887A</x:v>
      </x:c>
      <x:c r="G143" s="50" t="n">
        <x:f>IF(Plan_Raw!G143="","",IFERROR(VALUE(Plan_Raw!G143),""))</x:f>
        <x:v>40.1</x:v>
      </x:c>
      <x:c r="H143" t="str">
        <x:f>Plan_Raw!AH143</x:f>
        <x:v>0887|COMMN|2025-01-04</x:v>
      </x:c>
      <x:c r="I143" t="n">
        <x:f>COUNTIF(Rates_Raw!$AF$5:$AF$464,H143)</x:f>
        <x:v>1</x:v>
      </x:c>
      <x:c r="J143" t="str">
        <x:f>IF(I143=1,_xlfn.XLOOKUP(H143,Rates_Raw!$AF$5:$AF$464,Rates_Raw!$E$5:$E$464,""),"")</x:f>
        <x:v>Mayoral Staff VII</x:v>
      </x:c>
      <x:c r="K143" t="n">
        <x:f>IF(I143=1,_xlfn.XLOOKUP(H143,Rates_Raw!$AF$5:$AF$464,Rates_Raw!$F$5:$F$464,""),"")</x:f>
        <x:v>2</x:v>
      </x:c>
      <x:c r="L143" s="50" t="n">
        <x:f>IF(I143=1,IFERROR(VALUE(SUBSTITUTE(_xlfn.XLOOKUP(H143,Rates_Raw!$AF$5:$AF$464,Rates_Raw!$L$5:$L$464,""),"$","")),""),"")</x:f>
        <x:v>40.1</x:v>
      </x:c>
      <x:c r="M143" s="50" t="n">
        <x:f>IF(OR(G143="",L143=""),"",ROUND(G143-L143,4))</x:f>
        <x:v>0</x:v>
      </x:c>
      <x:c r="N143" t="str">
        <x:f>IF(I143=0,"NO MATCH",IF(I143&gt;1,"AMBIGUOUS",IF(EXACT(TRIM(E143),TRIM(J143)),"EXACT","TITLE VARIANT")))</x:f>
        <x:v>EXACT</x:v>
      </x:c>
      <x:c r="O143" t="str">
        <x:f>IF(I143&lt;&gt;1,"NOT TESTED",IF(OR(G143="",L143=""),"MISSING",IF(ABS(M143)&lt;=Guide!$B$16,"PASS","REVIEW")))</x:f>
        <x:v>PASS</x:v>
      </x:c>
      <x:c r="P143" s="52" t="n">
        <x:f>IF(I143=1,IFERROR(VALUE(SUBSTITUTE(SUBSTITUTE(_xlfn.XLOOKUP(H143,Rates_Raw!$AF$5:$AF$464,Rates_Raw!$I$5:$I$464,""),"$",""),",","")),""),"")</x:f>
        <x:v>3208</x:v>
      </x:c>
      <x:c r="Q143" s="52" t="n">
        <x:f>IF(P143="","",P143*Guide!$B$15)</x:f>
        <x:v>83408</x:v>
      </x:c>
      <x:c r="R143" t="str">
        <x:f>IF(I143=0,"UNMATCHED",IF(I143&gt;1,"DUPLICATE KEY",IF(OR(N143="TITLE VARIANT",O143="REVIEW",O143="MISSING"),"REVIEW","VERIFIED")))</x:f>
        <x:v>VERIFIED</x:v>
      </x:c>
      <x:c r="S143" s="46" t="str">
        <x:v>Not Reviewed</x:v>
      </x:c>
      <x:c r="T143" s="48"/>
    </x:row>
    <x:row r="144">
      <x:c r="A144" t="n">
        <x:f>Plan_Raw!A144</x:f>
        <x:v>244</x:v>
      </x:c>
      <x:c r="B144" t="str">
        <x:f>Plan_Raw!D144</x:f>
        <x:v>0887</x:v>
      </x:c>
      <x:c r="C144" t="str">
        <x:f>LEFT(Plan_Raw!B144,10)</x:f>
        <x:v>2025-07-01</x:v>
      </x:c>
      <x:c r="D144" t="str">
        <x:f>Plan_Raw!F144</x:f>
        <x:v>COMMN</x:v>
      </x:c>
      <x:c r="E144" t="str">
        <x:f>Plan_Raw!E144</x:f>
        <x:v>Mayoral Staff VII</x:v>
      </x:c>
      <x:c r="F144" t="str">
        <x:f>Plan_Raw!C144</x:f>
        <x:v>0887B</x:v>
      </x:c>
      <x:c r="G144" s="50" t="n">
        <x:f>IF(Plan_Raw!G144="","",IFERROR(VALUE(Plan_Raw!G144),""))</x:f>
        <x:v>40.9</x:v>
      </x:c>
      <x:c r="H144" t="str">
        <x:f>Plan_Raw!AH144</x:f>
        <x:v>0887|COMMN|2025-07-01</x:v>
      </x:c>
      <x:c r="I144" t="n">
        <x:f>COUNTIF(Rates_Raw!$AF$5:$AF$464,H144)</x:f>
        <x:v>1</x:v>
      </x:c>
      <x:c r="J144" t="str">
        <x:f>IF(I144=1,_xlfn.XLOOKUP(H144,Rates_Raw!$AF$5:$AF$464,Rates_Raw!$E$5:$E$464,""),"")</x:f>
        <x:v>Mayoral Staff VII</x:v>
      </x:c>
      <x:c r="K144" t="n">
        <x:f>IF(I144=1,_xlfn.XLOOKUP(H144,Rates_Raw!$AF$5:$AF$464,Rates_Raw!$F$5:$F$464,""),"")</x:f>
        <x:v>2</x:v>
      </x:c>
      <x:c r="L144" s="50" t="n">
        <x:f>IF(I144=1,IFERROR(VALUE(SUBSTITUTE(_xlfn.XLOOKUP(H144,Rates_Raw!$AF$5:$AF$464,Rates_Raw!$L$5:$L$464,""),"$","")),""),"")</x:f>
        <x:v>40.9</x:v>
      </x:c>
      <x:c r="M144" s="50" t="n">
        <x:f>IF(OR(G144="",L144=""),"",ROUND(G144-L144,4))</x:f>
        <x:v>0</x:v>
      </x:c>
      <x:c r="N144" t="str">
        <x:f>IF(I144=0,"NO MATCH",IF(I144&gt;1,"AMBIGUOUS",IF(EXACT(TRIM(E144),TRIM(J144)),"EXACT","TITLE VARIANT")))</x:f>
        <x:v>EXACT</x:v>
      </x:c>
      <x:c r="O144" t="str">
        <x:f>IF(I144&lt;&gt;1,"NOT TESTED",IF(OR(G144="",L144=""),"MISSING",IF(ABS(M144)&lt;=Guide!$B$16,"PASS","REVIEW")))</x:f>
        <x:v>PASS</x:v>
      </x:c>
      <x:c r="P144" s="52" t="n">
        <x:f>IF(I144=1,IFERROR(VALUE(SUBSTITUTE(SUBSTITUTE(_xlfn.XLOOKUP(H144,Rates_Raw!$AF$5:$AF$464,Rates_Raw!$I$5:$I$464,""),"$",""),",","")),""),"")</x:f>
        <x:v>3272</x:v>
      </x:c>
      <x:c r="Q144" s="52" t="n">
        <x:f>IF(P144="","",P144*Guide!$B$15)</x:f>
        <x:v>85072</x:v>
      </x:c>
      <x:c r="R144" t="str">
        <x:f>IF(I144=0,"UNMATCHED",IF(I144&gt;1,"DUPLICATE KEY",IF(OR(N144="TITLE VARIANT",O144="REVIEW",O144="MISSING"),"REVIEW","VERIFIED")))</x:f>
        <x:v>VERIFIED</x:v>
      </x:c>
      <x:c r="S144" s="46" t="str">
        <x:v>Not Reviewed</x:v>
      </x:c>
      <x:c r="T144" s="48"/>
    </x:row>
    <x:row r="145">
      <x:c r="A145" t="n">
        <x:f>Plan_Raw!A145</x:f>
        <x:v>245</x:v>
      </x:c>
      <x:c r="B145" t="str">
        <x:f>Plan_Raw!D145</x:f>
        <x:v>0887</x:v>
      </x:c>
      <x:c r="C145" t="str">
        <x:f>LEFT(Plan_Raw!B145,10)</x:f>
        <x:v>2026-01-03</x:v>
      </x:c>
      <x:c r="D145" t="str">
        <x:f>Plan_Raw!F145</x:f>
        <x:v>COMMN</x:v>
      </x:c>
      <x:c r="E145" t="str">
        <x:f>Plan_Raw!E145</x:f>
        <x:v>Mayoral Staff VII</x:v>
      </x:c>
      <x:c r="F145" t="str">
        <x:f>Plan_Raw!C145</x:f>
        <x:v>0887C</x:v>
      </x:c>
      <x:c r="G145" s="50" t="n">
        <x:f>IF(Plan_Raw!G145="","",IFERROR(VALUE(Plan_Raw!G145),""))</x:f>
        <x:v>41.5125</x:v>
      </x:c>
      <x:c r="H145" t="str">
        <x:f>Plan_Raw!AH145</x:f>
        <x:v>0887|COMMN|2026-01-03</x:v>
      </x:c>
      <x:c r="I145" t="n">
        <x:f>COUNTIF(Rates_Raw!$AF$5:$AF$464,H145)</x:f>
        <x:v>1</x:v>
      </x:c>
      <x:c r="J145" t="str">
        <x:f>IF(I145=1,_xlfn.XLOOKUP(H145,Rates_Raw!$AF$5:$AF$464,Rates_Raw!$E$5:$E$464,""),"")</x:f>
        <x:v>Mayoral Staff VII</x:v>
      </x:c>
      <x:c r="K145" t="n">
        <x:f>IF(I145=1,_xlfn.XLOOKUP(H145,Rates_Raw!$AF$5:$AF$464,Rates_Raw!$F$5:$F$464,""),"")</x:f>
        <x:v>2</x:v>
      </x:c>
      <x:c r="L145" s="50" t="n">
        <x:f>IF(I145=1,IFERROR(VALUE(SUBSTITUTE(_xlfn.XLOOKUP(H145,Rates_Raw!$AF$5:$AF$464,Rates_Raw!$L$5:$L$464,""),"$","")),""),"")</x:f>
        <x:v>41.5125</x:v>
      </x:c>
      <x:c r="M145" s="50" t="n">
        <x:f>IF(OR(G145="",L145=""),"",ROUND(G145-L145,4))</x:f>
        <x:v>0</x:v>
      </x:c>
      <x:c r="N145" t="str">
        <x:f>IF(I145=0,"NO MATCH",IF(I145&gt;1,"AMBIGUOUS",IF(EXACT(TRIM(E145),TRIM(J145)),"EXACT","TITLE VARIANT")))</x:f>
        <x:v>EXACT</x:v>
      </x:c>
      <x:c r="O145" t="str">
        <x:f>IF(I145&lt;&gt;1,"NOT TESTED",IF(OR(G145="",L145=""),"MISSING",IF(ABS(M145)&lt;=Guide!$B$16,"PASS","REVIEW")))</x:f>
        <x:v>PASS</x:v>
      </x:c>
      <x:c r="P145" s="52" t="n">
        <x:f>IF(I145=1,IFERROR(VALUE(SUBSTITUTE(SUBSTITUTE(_xlfn.XLOOKUP(H145,Rates_Raw!$AF$5:$AF$464,Rates_Raw!$I$5:$I$464,""),"$",""),",","")),""),"")</x:f>
        <x:v>3321</x:v>
      </x:c>
      <x:c r="Q145" s="52" t="n">
        <x:f>IF(P145="","",P145*Guide!$B$15)</x:f>
        <x:v>86346</x:v>
      </x:c>
      <x:c r="R145" t="str">
        <x:f>IF(I145=0,"UNMATCHED",IF(I145&gt;1,"DUPLICATE KEY",IF(OR(N145="TITLE VARIANT",O145="REVIEW",O145="MISSING"),"REVIEW","VERIFIED")))</x:f>
        <x:v>VERIFIED</x:v>
      </x:c>
      <x:c r="S145" s="46" t="str">
        <x:v>Not Reviewed</x:v>
      </x:c>
      <x:c r="T145" s="48"/>
    </x:row>
    <x:row r="146">
      <x:c r="A146" t="n">
        <x:f>Plan_Raw!A146</x:f>
        <x:v>246</x:v>
      </x:c>
      <x:c r="B146" t="str">
        <x:f>Plan_Raw!D146</x:f>
        <x:v>0887</x:v>
      </x:c>
      <x:c r="C146" t="str">
        <x:f>LEFT(Plan_Raw!B146,10)</x:f>
        <x:v>2026-07-01</x:v>
      </x:c>
      <x:c r="D146" t="str">
        <x:f>Plan_Raw!F146</x:f>
        <x:v>COMMN</x:v>
      </x:c>
      <x:c r="E146" t="str">
        <x:f>Plan_Raw!E146</x:f>
        <x:v>Mayoral Staff VII</x:v>
      </x:c>
      <x:c r="F146" t="str">
        <x:f>Plan_Raw!C146</x:f>
        <x:v>0887D</x:v>
      </x:c>
      <x:c r="G146" s="50" t="n">
        <x:f>IF(Plan_Raw!G146="","",IFERROR(VALUE(Plan_Raw!G146),""))</x:f>
        <x:v>42.3375</x:v>
      </x:c>
      <x:c r="H146" t="str">
        <x:f>Plan_Raw!AH146</x:f>
        <x:v>0887|COMMN|2026-07-01</x:v>
      </x:c>
      <x:c r="I146" t="n">
        <x:f>COUNTIF(Rates_Raw!$AF$5:$AF$464,H146)</x:f>
        <x:v>0</x:v>
      </x:c>
      <x:c r="J146" t="str">
        <x:f>IF(I146=1,_xlfn.XLOOKUP(H146,Rates_Raw!$AF$5:$AF$464,Rates_Raw!$E$5:$E$464,""),"")</x:f>
      </x:c>
      <x:c r="K146" t="str">
        <x:f>IF(I146=1,_xlfn.XLOOKUP(H146,Rates_Raw!$AF$5:$AF$464,Rates_Raw!$F$5:$F$464,""),"")</x:f>
      </x:c>
      <x:c r="L146" s="50" t="str">
        <x:f>IF(I146=1,IFERROR(VALUE(SUBSTITUTE(_xlfn.XLOOKUP(H146,Rates_Raw!$AF$5:$AF$464,Rates_Raw!$L$5:$L$464,""),"$","")),""),"")</x:f>
      </x:c>
      <x:c r="M146" s="50" t="str">
        <x:f>IF(OR(G146="",L146=""),"",ROUND(G146-L146,4))</x:f>
      </x:c>
      <x:c r="N146" t="str">
        <x:f>IF(I146=0,"NO MATCH",IF(I146&gt;1,"AMBIGUOUS",IF(EXACT(TRIM(E146),TRIM(J146)),"EXACT","TITLE VARIANT")))</x:f>
        <x:v>NO MATCH</x:v>
      </x:c>
      <x:c r="O146" t="str">
        <x:f>IF(I146&lt;&gt;1,"NOT TESTED",IF(OR(G146="",L146=""),"MISSING",IF(ABS(M146)&lt;=Guide!$B$16,"PASS","REVIEW")))</x:f>
        <x:v>NOT TESTED</x:v>
      </x:c>
      <x:c r="P146" s="52" t="str">
        <x:f>IF(I146=1,IFERROR(VALUE(SUBSTITUTE(SUBSTITUTE(_xlfn.XLOOKUP(H146,Rates_Raw!$AF$5:$AF$464,Rates_Raw!$I$5:$I$464,""),"$",""),",","")),""),"")</x:f>
      </x:c>
      <x:c r="Q146" s="52" t="str">
        <x:f>IF(P146="","",P146*Guide!$B$15)</x:f>
      </x:c>
      <x:c r="R146" t="str">
        <x:f>IF(I146=0,"UNMATCHED",IF(I146&gt;1,"DUPLICATE KEY",IF(OR(N146="TITLE VARIANT",O146="REVIEW",O146="MISSING"),"REVIEW","VERIFIED")))</x:f>
        <x:v>UNMATCHED</x:v>
      </x:c>
      <x:c r="S146" s="46" t="str">
        <x:v>Not Reviewed</x:v>
      </x:c>
      <x:c r="T146" s="48"/>
    </x:row>
    <x:row r="147">
      <x:c r="A147" t="n">
        <x:f>Plan_Raw!A147</x:f>
        <x:v>252</x:v>
      </x:c>
      <x:c r="B147" t="str">
        <x:f>Plan_Raw!D147</x:f>
        <x:v>0888</x:v>
      </x:c>
      <x:c r="C147" t="str">
        <x:f>LEFT(Plan_Raw!B147,10)</x:f>
        <x:v>2024-01-06</x:v>
      </x:c>
      <x:c r="D147" t="str">
        <x:f>Plan_Raw!F147</x:f>
        <x:v>COMMN</x:v>
      </x:c>
      <x:c r="E147" t="str">
        <x:f>Plan_Raw!E147</x:f>
        <x:v>Mayoral Staff VIII</x:v>
      </x:c>
      <x:c r="F147" t="str">
        <x:f>Plan_Raw!C147</x:f>
        <x:v>0888Y</x:v>
      </x:c>
      <x:c r="G147" s="50" t="n">
        <x:f>IF(Plan_Raw!G147="","",IFERROR(VALUE(Plan_Raw!G147),""))</x:f>
        <x:v>41.925</x:v>
      </x:c>
      <x:c r="H147" t="str">
        <x:f>Plan_Raw!AH147</x:f>
        <x:v>0888|COMMN|2024-01-06</x:v>
      </x:c>
      <x:c r="I147" t="n">
        <x:f>COUNTIF(Rates_Raw!$AF$5:$AF$464,H147)</x:f>
        <x:v>1</x:v>
      </x:c>
      <x:c r="J147" t="str">
        <x:f>IF(I147=1,_xlfn.XLOOKUP(H147,Rates_Raw!$AF$5:$AF$464,Rates_Raw!$E$5:$E$464,""),"")</x:f>
        <x:v>Mayoral Staff VIII</x:v>
      </x:c>
      <x:c r="K147" t="n">
        <x:f>IF(I147=1,_xlfn.XLOOKUP(H147,Rates_Raw!$AF$5:$AF$464,Rates_Raw!$F$5:$F$464,""),"")</x:f>
        <x:v>2</x:v>
      </x:c>
      <x:c r="L147" s="50" t="n">
        <x:f>IF(I147=1,IFERROR(VALUE(SUBSTITUTE(_xlfn.XLOOKUP(H147,Rates_Raw!$AF$5:$AF$464,Rates_Raw!$L$5:$L$464,""),"$","")),""),"")</x:f>
        <x:v>41.925</x:v>
      </x:c>
      <x:c r="M147" s="50" t="n">
        <x:f>IF(OR(G147="",L147=""),"",ROUND(G147-L147,4))</x:f>
        <x:v>0</x:v>
      </x:c>
      <x:c r="N147" t="str">
        <x:f>IF(I147=0,"NO MATCH",IF(I147&gt;1,"AMBIGUOUS",IF(EXACT(TRIM(E147),TRIM(J147)),"EXACT","TITLE VARIANT")))</x:f>
        <x:v>EXACT</x:v>
      </x:c>
      <x:c r="O147" t="str">
        <x:f>IF(I147&lt;&gt;1,"NOT TESTED",IF(OR(G147="",L147=""),"MISSING",IF(ABS(M147)&lt;=Guide!$B$16,"PASS","REVIEW")))</x:f>
        <x:v>PASS</x:v>
      </x:c>
      <x:c r="P147" s="52" t="n">
        <x:f>IF(I147=1,IFERROR(VALUE(SUBSTITUTE(SUBSTITUTE(_xlfn.XLOOKUP(H147,Rates_Raw!$AF$5:$AF$464,Rates_Raw!$I$5:$I$464,""),"$",""),",","")),""),"")</x:f>
        <x:v>3354</x:v>
      </x:c>
      <x:c r="Q147" s="52" t="n">
        <x:f>IF(P147="","",P147*Guide!$B$15)</x:f>
        <x:v>87204</x:v>
      </x:c>
      <x:c r="R147" t="str">
        <x:f>IF(I147=0,"UNMATCHED",IF(I147&gt;1,"DUPLICATE KEY",IF(OR(N147="TITLE VARIANT",O147="REVIEW",O147="MISSING"),"REVIEW","VERIFIED")))</x:f>
        <x:v>VERIFIED</x:v>
      </x:c>
      <x:c r="S147" s="46" t="str">
        <x:v>Not Reviewed</x:v>
      </x:c>
      <x:c r="T147" s="48"/>
    </x:row>
    <x:row r="148">
      <x:c r="A148" t="n">
        <x:f>Plan_Raw!A148</x:f>
        <x:v>253</x:v>
      </x:c>
      <x:c r="B148" t="str">
        <x:f>Plan_Raw!D148</x:f>
        <x:v>0888</x:v>
      </x:c>
      <x:c r="C148" t="str">
        <x:f>LEFT(Plan_Raw!B148,10)</x:f>
        <x:v>2024-07-01</x:v>
      </x:c>
      <x:c r="D148" t="str">
        <x:f>Plan_Raw!F148</x:f>
        <x:v>COMMN</x:v>
      </x:c>
      <x:c r="E148" t="str">
        <x:f>Plan_Raw!E148</x:f>
        <x:v>Mayoral Staff VIII</x:v>
      </x:c>
      <x:c r="F148" t="str">
        <x:f>Plan_Raw!C148</x:f>
        <x:v>0888Z</x:v>
      </x:c>
      <x:c r="G148" s="50" t="n">
        <x:f>IF(Plan_Raw!G148="","",IFERROR(VALUE(Plan_Raw!G148),""))</x:f>
        <x:v>42.55</x:v>
      </x:c>
      <x:c r="H148" t="str">
        <x:f>Plan_Raw!AH148</x:f>
        <x:v>0888|COMMN|2024-07-01</x:v>
      </x:c>
      <x:c r="I148" t="n">
        <x:f>COUNTIF(Rates_Raw!$AF$5:$AF$464,H148)</x:f>
        <x:v>1</x:v>
      </x:c>
      <x:c r="J148" t="str">
        <x:f>IF(I148=1,_xlfn.XLOOKUP(H148,Rates_Raw!$AF$5:$AF$464,Rates_Raw!$E$5:$E$464,""),"")</x:f>
        <x:v>Mayoral Staff VIII</x:v>
      </x:c>
      <x:c r="K148" t="n">
        <x:f>IF(I148=1,_xlfn.XLOOKUP(H148,Rates_Raw!$AF$5:$AF$464,Rates_Raw!$F$5:$F$464,""),"")</x:f>
        <x:v>2</x:v>
      </x:c>
      <x:c r="L148" s="50" t="n">
        <x:f>IF(I148=1,IFERROR(VALUE(SUBSTITUTE(_xlfn.XLOOKUP(H148,Rates_Raw!$AF$5:$AF$464,Rates_Raw!$L$5:$L$464,""),"$","")),""),"")</x:f>
        <x:v>42.55</x:v>
      </x:c>
      <x:c r="M148" s="50" t="n">
        <x:f>IF(OR(G148="",L148=""),"",ROUND(G148-L148,4))</x:f>
        <x:v>0</x:v>
      </x:c>
      <x:c r="N148" t="str">
        <x:f>IF(I148=0,"NO MATCH",IF(I148&gt;1,"AMBIGUOUS",IF(EXACT(TRIM(E148),TRIM(J148)),"EXACT","TITLE VARIANT")))</x:f>
        <x:v>EXACT</x:v>
      </x:c>
      <x:c r="O148" t="str">
        <x:f>IF(I148&lt;&gt;1,"NOT TESTED",IF(OR(G148="",L148=""),"MISSING",IF(ABS(M148)&lt;=Guide!$B$16,"PASS","REVIEW")))</x:f>
        <x:v>PASS</x:v>
      </x:c>
      <x:c r="P148" s="52" t="n">
        <x:f>IF(I148=1,IFERROR(VALUE(SUBSTITUTE(SUBSTITUTE(_xlfn.XLOOKUP(H148,Rates_Raw!$AF$5:$AF$464,Rates_Raw!$I$5:$I$464,""),"$",""),",","")),""),"")</x:f>
        <x:v>3404</x:v>
      </x:c>
      <x:c r="Q148" s="52" t="n">
        <x:f>IF(P148="","",P148*Guide!$B$15)</x:f>
        <x:v>88504</x:v>
      </x:c>
      <x:c r="R148" t="str">
        <x:f>IF(I148=0,"UNMATCHED",IF(I148&gt;1,"DUPLICATE KEY",IF(OR(N148="TITLE VARIANT",O148="REVIEW",O148="MISSING"),"REVIEW","VERIFIED")))</x:f>
        <x:v>VERIFIED</x:v>
      </x:c>
      <x:c r="S148" s="46" t="str">
        <x:v>Not Reviewed</x:v>
      </x:c>
      <x:c r="T148" s="48"/>
    </x:row>
    <x:row r="149">
      <x:c r="A149" t="n">
        <x:f>Plan_Raw!A149</x:f>
        <x:v>254</x:v>
      </x:c>
      <x:c r="B149" t="str">
        <x:f>Plan_Raw!D149</x:f>
        <x:v>0888</x:v>
      </x:c>
      <x:c r="C149" t="str">
        <x:f>LEFT(Plan_Raw!B149,10)</x:f>
        <x:v>2025-01-04</x:v>
      </x:c>
      <x:c r="D149" t="str">
        <x:f>Plan_Raw!F149</x:f>
        <x:v>COMMN</x:v>
      </x:c>
      <x:c r="E149" t="str">
        <x:f>Plan_Raw!E149</x:f>
        <x:v>Mayoral Staff VIII</x:v>
      </x:c>
      <x:c r="F149" t="str">
        <x:f>Plan_Raw!C149</x:f>
        <x:v>0888A</x:v>
      </x:c>
      <x:c r="G149" s="50" t="n">
        <x:f>IF(Plan_Raw!G149="","",IFERROR(VALUE(Plan_Raw!G149),""))</x:f>
        <x:v>43.1875</x:v>
      </x:c>
      <x:c r="H149" t="str">
        <x:f>Plan_Raw!AH149</x:f>
        <x:v>0888|COMMN|2025-01-04</x:v>
      </x:c>
      <x:c r="I149" t="n">
        <x:f>COUNTIF(Rates_Raw!$AF$5:$AF$464,H149)</x:f>
        <x:v>1</x:v>
      </x:c>
      <x:c r="J149" t="str">
        <x:f>IF(I149=1,_xlfn.XLOOKUP(H149,Rates_Raw!$AF$5:$AF$464,Rates_Raw!$E$5:$E$464,""),"")</x:f>
        <x:v>Mayoral Staff VIII</x:v>
      </x:c>
      <x:c r="K149" t="n">
        <x:f>IF(I149=1,_xlfn.XLOOKUP(H149,Rates_Raw!$AF$5:$AF$464,Rates_Raw!$F$5:$F$464,""),"")</x:f>
        <x:v>2</x:v>
      </x:c>
      <x:c r="L149" s="50" t="n">
        <x:f>IF(I149=1,IFERROR(VALUE(SUBSTITUTE(_xlfn.XLOOKUP(H149,Rates_Raw!$AF$5:$AF$464,Rates_Raw!$L$5:$L$464,""),"$","")),""),"")</x:f>
        <x:v>43.1875</x:v>
      </x:c>
      <x:c r="M149" s="50" t="n">
        <x:f>IF(OR(G149="",L149=""),"",ROUND(G149-L149,4))</x:f>
        <x:v>0</x:v>
      </x:c>
      <x:c r="N149" t="str">
        <x:f>IF(I149=0,"NO MATCH",IF(I149&gt;1,"AMBIGUOUS",IF(EXACT(TRIM(E149),TRIM(J149)),"EXACT","TITLE VARIANT")))</x:f>
        <x:v>EXACT</x:v>
      </x:c>
      <x:c r="O149" t="str">
        <x:f>IF(I149&lt;&gt;1,"NOT TESTED",IF(OR(G149="",L149=""),"MISSING",IF(ABS(M149)&lt;=Guide!$B$16,"PASS","REVIEW")))</x:f>
        <x:v>PASS</x:v>
      </x:c>
      <x:c r="P149" s="52" t="n">
        <x:f>IF(I149=1,IFERROR(VALUE(SUBSTITUTE(SUBSTITUTE(_xlfn.XLOOKUP(H149,Rates_Raw!$AF$5:$AF$464,Rates_Raw!$I$5:$I$464,""),"$",""),",","")),""),"")</x:f>
        <x:v>3455</x:v>
      </x:c>
      <x:c r="Q149" s="52" t="n">
        <x:f>IF(P149="","",P149*Guide!$B$15)</x:f>
        <x:v>89830</x:v>
      </x:c>
      <x:c r="R149" t="str">
        <x:f>IF(I149=0,"UNMATCHED",IF(I149&gt;1,"DUPLICATE KEY",IF(OR(N149="TITLE VARIANT",O149="REVIEW",O149="MISSING"),"REVIEW","VERIFIED")))</x:f>
        <x:v>VERIFIED</x:v>
      </x:c>
      <x:c r="S149" s="46" t="str">
        <x:v>Not Reviewed</x:v>
      </x:c>
      <x:c r="T149" s="48"/>
    </x:row>
    <x:row r="150">
      <x:c r="A150" t="n">
        <x:f>Plan_Raw!A150</x:f>
        <x:v>255</x:v>
      </x:c>
      <x:c r="B150" t="str">
        <x:f>Plan_Raw!D150</x:f>
        <x:v>0888</x:v>
      </x:c>
      <x:c r="C150" t="str">
        <x:f>LEFT(Plan_Raw!B150,10)</x:f>
        <x:v>2025-07-01</x:v>
      </x:c>
      <x:c r="D150" t="str">
        <x:f>Plan_Raw!F150</x:f>
        <x:v>COMMN</x:v>
      </x:c>
      <x:c r="E150" t="str">
        <x:f>Plan_Raw!E150</x:f>
        <x:v>Mayoral Staff VIII</x:v>
      </x:c>
      <x:c r="F150" t="str">
        <x:f>Plan_Raw!C150</x:f>
        <x:v>0888B</x:v>
      </x:c>
      <x:c r="G150" s="50" t="n">
        <x:f>IF(Plan_Raw!G150="","",IFERROR(VALUE(Plan_Raw!G150),""))</x:f>
        <x:v>44.05</x:v>
      </x:c>
      <x:c r="H150" t="str">
        <x:f>Plan_Raw!AH150</x:f>
        <x:v>0888|COMMN|2025-07-01</x:v>
      </x:c>
      <x:c r="I150" t="n">
        <x:f>COUNTIF(Rates_Raw!$AF$5:$AF$464,H150)</x:f>
        <x:v>1</x:v>
      </x:c>
      <x:c r="J150" t="str">
        <x:f>IF(I150=1,_xlfn.XLOOKUP(H150,Rates_Raw!$AF$5:$AF$464,Rates_Raw!$E$5:$E$464,""),"")</x:f>
        <x:v>Mayoral Staff VIII</x:v>
      </x:c>
      <x:c r="K150" t="n">
        <x:f>IF(I150=1,_xlfn.XLOOKUP(H150,Rates_Raw!$AF$5:$AF$464,Rates_Raw!$F$5:$F$464,""),"")</x:f>
        <x:v>2</x:v>
      </x:c>
      <x:c r="L150" s="50" t="n">
        <x:f>IF(I150=1,IFERROR(VALUE(SUBSTITUTE(_xlfn.XLOOKUP(H150,Rates_Raw!$AF$5:$AF$464,Rates_Raw!$L$5:$L$464,""),"$","")),""),"")</x:f>
        <x:v>44.05</x:v>
      </x:c>
      <x:c r="M150" s="50" t="n">
        <x:f>IF(OR(G150="",L150=""),"",ROUND(G150-L150,4))</x:f>
        <x:v>0</x:v>
      </x:c>
      <x:c r="N150" t="str">
        <x:f>IF(I150=0,"NO MATCH",IF(I150&gt;1,"AMBIGUOUS",IF(EXACT(TRIM(E150),TRIM(J150)),"EXACT","TITLE VARIANT")))</x:f>
        <x:v>EXACT</x:v>
      </x:c>
      <x:c r="O150" t="str">
        <x:f>IF(I150&lt;&gt;1,"NOT TESTED",IF(OR(G150="",L150=""),"MISSING",IF(ABS(M150)&lt;=Guide!$B$16,"PASS","REVIEW")))</x:f>
        <x:v>PASS</x:v>
      </x:c>
      <x:c r="P150" s="52" t="n">
        <x:f>IF(I150=1,IFERROR(VALUE(SUBSTITUTE(SUBSTITUTE(_xlfn.XLOOKUP(H150,Rates_Raw!$AF$5:$AF$464,Rates_Raw!$I$5:$I$464,""),"$",""),",","")),""),"")</x:f>
        <x:v>3524</x:v>
      </x:c>
      <x:c r="Q150" s="52" t="n">
        <x:f>IF(P150="","",P150*Guide!$B$15)</x:f>
        <x:v>91624</x:v>
      </x:c>
      <x:c r="R150" t="str">
        <x:f>IF(I150=0,"UNMATCHED",IF(I150&gt;1,"DUPLICATE KEY",IF(OR(N150="TITLE VARIANT",O150="REVIEW",O150="MISSING"),"REVIEW","VERIFIED")))</x:f>
        <x:v>VERIFIED</x:v>
      </x:c>
      <x:c r="S150" s="46" t="str">
        <x:v>Not Reviewed</x:v>
      </x:c>
      <x:c r="T150" s="48"/>
    </x:row>
    <x:row r="151">
      <x:c r="A151" t="n">
        <x:f>Plan_Raw!A151</x:f>
        <x:v>256</x:v>
      </x:c>
      <x:c r="B151" t="str">
        <x:f>Plan_Raw!D151</x:f>
        <x:v>0888</x:v>
      </x:c>
      <x:c r="C151" t="str">
        <x:f>LEFT(Plan_Raw!B151,10)</x:f>
        <x:v>2026-01-03</x:v>
      </x:c>
      <x:c r="D151" t="str">
        <x:f>Plan_Raw!F151</x:f>
        <x:v>COMMN</x:v>
      </x:c>
      <x:c r="E151" t="str">
        <x:f>Plan_Raw!E151</x:f>
        <x:v>Mayoral Staff VIII</x:v>
      </x:c>
      <x:c r="F151" t="str">
        <x:f>Plan_Raw!C151</x:f>
        <x:v>0888C</x:v>
      </x:c>
      <x:c r="G151" s="50" t="n">
        <x:f>IF(Plan_Raw!G151="","",IFERROR(VALUE(Plan_Raw!G151),""))</x:f>
        <x:v>44.7125</x:v>
      </x:c>
      <x:c r="H151" t="str">
        <x:f>Plan_Raw!AH151</x:f>
        <x:v>0888|COMMN|2026-01-03</x:v>
      </x:c>
      <x:c r="I151" t="n">
        <x:f>COUNTIF(Rates_Raw!$AF$5:$AF$464,H151)</x:f>
        <x:v>1</x:v>
      </x:c>
      <x:c r="J151" t="str">
        <x:f>IF(I151=1,_xlfn.XLOOKUP(H151,Rates_Raw!$AF$5:$AF$464,Rates_Raw!$E$5:$E$464,""),"")</x:f>
        <x:v>Mayoral Staff VIII</x:v>
      </x:c>
      <x:c r="K151" t="n">
        <x:f>IF(I151=1,_xlfn.XLOOKUP(H151,Rates_Raw!$AF$5:$AF$464,Rates_Raw!$F$5:$F$464,""),"")</x:f>
        <x:v>2</x:v>
      </x:c>
      <x:c r="L151" s="50" t="n">
        <x:f>IF(I151=1,IFERROR(VALUE(SUBSTITUTE(_xlfn.XLOOKUP(H151,Rates_Raw!$AF$5:$AF$464,Rates_Raw!$L$5:$L$464,""),"$","")),""),"")</x:f>
        <x:v>44.7125</x:v>
      </x:c>
      <x:c r="M151" s="50" t="n">
        <x:f>IF(OR(G151="",L151=""),"",ROUND(G151-L151,4))</x:f>
        <x:v>0</x:v>
      </x:c>
      <x:c r="N151" t="str">
        <x:f>IF(I151=0,"NO MATCH",IF(I151&gt;1,"AMBIGUOUS",IF(EXACT(TRIM(E151),TRIM(J151)),"EXACT","TITLE VARIANT")))</x:f>
        <x:v>EXACT</x:v>
      </x:c>
      <x:c r="O151" t="str">
        <x:f>IF(I151&lt;&gt;1,"NOT TESTED",IF(OR(G151="",L151=""),"MISSING",IF(ABS(M151)&lt;=Guide!$B$16,"PASS","REVIEW")))</x:f>
        <x:v>PASS</x:v>
      </x:c>
      <x:c r="P151" s="52" t="n">
        <x:f>IF(I151=1,IFERROR(VALUE(SUBSTITUTE(SUBSTITUTE(_xlfn.XLOOKUP(H151,Rates_Raw!$AF$5:$AF$464,Rates_Raw!$I$5:$I$464,""),"$",""),",","")),""),"")</x:f>
        <x:v>3577</x:v>
      </x:c>
      <x:c r="Q151" s="52" t="n">
        <x:f>IF(P151="","",P151*Guide!$B$15)</x:f>
        <x:v>93002</x:v>
      </x:c>
      <x:c r="R151" t="str">
        <x:f>IF(I151=0,"UNMATCHED",IF(I151&gt;1,"DUPLICATE KEY",IF(OR(N151="TITLE VARIANT",O151="REVIEW",O151="MISSING"),"REVIEW","VERIFIED")))</x:f>
        <x:v>VERIFIED</x:v>
      </x:c>
      <x:c r="S151" s="46" t="str">
        <x:v>Not Reviewed</x:v>
      </x:c>
      <x:c r="T151" s="48"/>
    </x:row>
    <x:row r="152">
      <x:c r="A152" t="n">
        <x:f>Plan_Raw!A152</x:f>
        <x:v>257</x:v>
      </x:c>
      <x:c r="B152" t="str">
        <x:f>Plan_Raw!D152</x:f>
        <x:v>0888</x:v>
      </x:c>
      <x:c r="C152" t="str">
        <x:f>LEFT(Plan_Raw!B152,10)</x:f>
        <x:v>2026-07-01</x:v>
      </x:c>
      <x:c r="D152" t="str">
        <x:f>Plan_Raw!F152</x:f>
        <x:v>COMMN</x:v>
      </x:c>
      <x:c r="E152" t="str">
        <x:f>Plan_Raw!E152</x:f>
        <x:v>Mayoral Staff VIII</x:v>
      </x:c>
      <x:c r="F152" t="str">
        <x:f>Plan_Raw!C152</x:f>
        <x:v>0888D</x:v>
      </x:c>
      <x:c r="G152" s="50" t="n">
        <x:f>IF(Plan_Raw!G152="","",IFERROR(VALUE(Plan_Raw!G152),""))</x:f>
        <x:v>45.6125</x:v>
      </x:c>
      <x:c r="H152" t="str">
        <x:f>Plan_Raw!AH152</x:f>
        <x:v>0888|COMMN|2026-07-01</x:v>
      </x:c>
      <x:c r="I152" t="n">
        <x:f>COUNTIF(Rates_Raw!$AF$5:$AF$464,H152)</x:f>
        <x:v>0</x:v>
      </x:c>
      <x:c r="J152" t="str">
        <x:f>IF(I152=1,_xlfn.XLOOKUP(H152,Rates_Raw!$AF$5:$AF$464,Rates_Raw!$E$5:$E$464,""),"")</x:f>
      </x:c>
      <x:c r="K152" t="str">
        <x:f>IF(I152=1,_xlfn.XLOOKUP(H152,Rates_Raw!$AF$5:$AF$464,Rates_Raw!$F$5:$F$464,""),"")</x:f>
      </x:c>
      <x:c r="L152" s="50" t="str">
        <x:f>IF(I152=1,IFERROR(VALUE(SUBSTITUTE(_xlfn.XLOOKUP(H152,Rates_Raw!$AF$5:$AF$464,Rates_Raw!$L$5:$L$464,""),"$","")),""),"")</x:f>
      </x:c>
      <x:c r="M152" s="50" t="str">
        <x:f>IF(OR(G152="",L152=""),"",ROUND(G152-L152,4))</x:f>
      </x:c>
      <x:c r="N152" t="str">
        <x:f>IF(I152=0,"NO MATCH",IF(I152&gt;1,"AMBIGUOUS",IF(EXACT(TRIM(E152),TRIM(J152)),"EXACT","TITLE VARIANT")))</x:f>
        <x:v>NO MATCH</x:v>
      </x:c>
      <x:c r="O152" t="str">
        <x:f>IF(I152&lt;&gt;1,"NOT TESTED",IF(OR(G152="",L152=""),"MISSING",IF(ABS(M152)&lt;=Guide!$B$16,"PASS","REVIEW")))</x:f>
        <x:v>NOT TESTED</x:v>
      </x:c>
      <x:c r="P152" s="52" t="str">
        <x:f>IF(I152=1,IFERROR(VALUE(SUBSTITUTE(SUBSTITUTE(_xlfn.XLOOKUP(H152,Rates_Raw!$AF$5:$AF$464,Rates_Raw!$I$5:$I$464,""),"$",""),",","")),""),"")</x:f>
      </x:c>
      <x:c r="Q152" s="52" t="str">
        <x:f>IF(P152="","",P152*Guide!$B$15)</x:f>
      </x:c>
      <x:c r="R152" t="str">
        <x:f>IF(I152=0,"UNMATCHED",IF(I152&gt;1,"DUPLICATE KEY",IF(OR(N152="TITLE VARIANT",O152="REVIEW",O152="MISSING"),"REVIEW","VERIFIED")))</x:f>
        <x:v>UNMATCHED</x:v>
      </x:c>
      <x:c r="S152" s="46" t="str">
        <x:v>Not Reviewed</x:v>
      </x:c>
      <x:c r="T152" s="48"/>
    </x:row>
    <x:row r="153">
      <x:c r="A153" t="n">
        <x:f>Plan_Raw!A153</x:f>
        <x:v>263</x:v>
      </x:c>
      <x:c r="B153" t="str">
        <x:f>Plan_Raw!D153</x:f>
        <x:v>0889</x:v>
      </x:c>
      <x:c r="C153" t="str">
        <x:f>LEFT(Plan_Raw!B153,10)</x:f>
        <x:v>2024-01-06</x:v>
      </x:c>
      <x:c r="D153" t="str">
        <x:f>Plan_Raw!F153</x:f>
        <x:v>COMMN</x:v>
      </x:c>
      <x:c r="E153" t="str">
        <x:f>Plan_Raw!E153</x:f>
        <x:v>Mayoral Staff IX</x:v>
      </x:c>
      <x:c r="F153" t="str">
        <x:f>Plan_Raw!C153</x:f>
        <x:v>0889Y</x:v>
      </x:c>
      <x:c r="G153" s="50" t="n">
        <x:f>IF(Plan_Raw!G153="","",IFERROR(VALUE(Plan_Raw!G153),""))</x:f>
        <x:v>45.075</x:v>
      </x:c>
      <x:c r="H153" t="str">
        <x:f>Plan_Raw!AH153</x:f>
        <x:v>0889|COMMN|2024-01-06</x:v>
      </x:c>
      <x:c r="I153" t="n">
        <x:f>COUNTIF(Rates_Raw!$AF$5:$AF$464,H153)</x:f>
        <x:v>1</x:v>
      </x:c>
      <x:c r="J153" t="str">
        <x:f>IF(I153=1,_xlfn.XLOOKUP(H153,Rates_Raw!$AF$5:$AF$464,Rates_Raw!$E$5:$E$464,""),"")</x:f>
        <x:v>Mayoral Staff IX</x:v>
      </x:c>
      <x:c r="K153" t="n">
        <x:f>IF(I153=1,_xlfn.XLOOKUP(H153,Rates_Raw!$AF$5:$AF$464,Rates_Raw!$F$5:$F$464,""),"")</x:f>
        <x:v>2</x:v>
      </x:c>
      <x:c r="L153" s="50" t="n">
        <x:f>IF(I153=1,IFERROR(VALUE(SUBSTITUTE(_xlfn.XLOOKUP(H153,Rates_Raw!$AF$5:$AF$464,Rates_Raw!$L$5:$L$464,""),"$","")),""),"")</x:f>
        <x:v>45.075</x:v>
      </x:c>
      <x:c r="M153" s="50" t="n">
        <x:f>IF(OR(G153="",L153=""),"",ROUND(G153-L153,4))</x:f>
        <x:v>0</x:v>
      </x:c>
      <x:c r="N153" t="str">
        <x:f>IF(I153=0,"NO MATCH",IF(I153&gt;1,"AMBIGUOUS",IF(EXACT(TRIM(E153),TRIM(J153)),"EXACT","TITLE VARIANT")))</x:f>
        <x:v>EXACT</x:v>
      </x:c>
      <x:c r="O153" t="str">
        <x:f>IF(I153&lt;&gt;1,"NOT TESTED",IF(OR(G153="",L153=""),"MISSING",IF(ABS(M153)&lt;=Guide!$B$16,"PASS","REVIEW")))</x:f>
        <x:v>PASS</x:v>
      </x:c>
      <x:c r="P153" s="52" t="n">
        <x:f>IF(I153=1,IFERROR(VALUE(SUBSTITUTE(SUBSTITUTE(_xlfn.XLOOKUP(H153,Rates_Raw!$AF$5:$AF$464,Rates_Raw!$I$5:$I$464,""),"$",""),",","")),""),"")</x:f>
        <x:v>3606</x:v>
      </x:c>
      <x:c r="Q153" s="52" t="n">
        <x:f>IF(P153="","",P153*Guide!$B$15)</x:f>
        <x:v>93756</x:v>
      </x:c>
      <x:c r="R153" t="str">
        <x:f>IF(I153=0,"UNMATCHED",IF(I153&gt;1,"DUPLICATE KEY",IF(OR(N153="TITLE VARIANT",O153="REVIEW",O153="MISSING"),"REVIEW","VERIFIED")))</x:f>
        <x:v>VERIFIED</x:v>
      </x:c>
      <x:c r="S153" s="46" t="str">
        <x:v>Not Reviewed</x:v>
      </x:c>
      <x:c r="T153" s="48"/>
    </x:row>
    <x:row r="154">
      <x:c r="A154" t="n">
        <x:f>Plan_Raw!A154</x:f>
        <x:v>264</x:v>
      </x:c>
      <x:c r="B154" t="str">
        <x:f>Plan_Raw!D154</x:f>
        <x:v>0889</x:v>
      </x:c>
      <x:c r="C154" t="str">
        <x:f>LEFT(Plan_Raw!B154,10)</x:f>
        <x:v>2024-07-01</x:v>
      </x:c>
      <x:c r="D154" t="str">
        <x:f>Plan_Raw!F154</x:f>
        <x:v>COMMN</x:v>
      </x:c>
      <x:c r="E154" t="str">
        <x:f>Plan_Raw!E154</x:f>
        <x:v>Mayoral Staff IX</x:v>
      </x:c>
      <x:c r="F154" t="str">
        <x:f>Plan_Raw!C154</x:f>
        <x:v>0889Z</x:v>
      </x:c>
      <x:c r="G154" s="50" t="n">
        <x:f>IF(Plan_Raw!G154="","",IFERROR(VALUE(Plan_Raw!G154),""))</x:f>
        <x:v>45.75</x:v>
      </x:c>
      <x:c r="H154" t="str">
        <x:f>Plan_Raw!AH154</x:f>
        <x:v>0889|COMMN|2024-07-01</x:v>
      </x:c>
      <x:c r="I154" t="n">
        <x:f>COUNTIF(Rates_Raw!$AF$5:$AF$464,H154)</x:f>
        <x:v>1</x:v>
      </x:c>
      <x:c r="J154" t="str">
        <x:f>IF(I154=1,_xlfn.XLOOKUP(H154,Rates_Raw!$AF$5:$AF$464,Rates_Raw!$E$5:$E$464,""),"")</x:f>
        <x:v>Mayoral Staff IX</x:v>
      </x:c>
      <x:c r="K154" t="n">
        <x:f>IF(I154=1,_xlfn.XLOOKUP(H154,Rates_Raw!$AF$5:$AF$464,Rates_Raw!$F$5:$F$464,""),"")</x:f>
        <x:v>2</x:v>
      </x:c>
      <x:c r="L154" s="50" t="n">
        <x:f>IF(I154=1,IFERROR(VALUE(SUBSTITUTE(_xlfn.XLOOKUP(H154,Rates_Raw!$AF$5:$AF$464,Rates_Raw!$L$5:$L$464,""),"$","")),""),"")</x:f>
        <x:v>45.75</x:v>
      </x:c>
      <x:c r="M154" s="50" t="n">
        <x:f>IF(OR(G154="",L154=""),"",ROUND(G154-L154,4))</x:f>
        <x:v>0</x:v>
      </x:c>
      <x:c r="N154" t="str">
        <x:f>IF(I154=0,"NO MATCH",IF(I154&gt;1,"AMBIGUOUS",IF(EXACT(TRIM(E154),TRIM(J154)),"EXACT","TITLE VARIANT")))</x:f>
        <x:v>EXACT</x:v>
      </x:c>
      <x:c r="O154" t="str">
        <x:f>IF(I154&lt;&gt;1,"NOT TESTED",IF(OR(G154="",L154=""),"MISSING",IF(ABS(M154)&lt;=Guide!$B$16,"PASS","REVIEW")))</x:f>
        <x:v>PASS</x:v>
      </x:c>
      <x:c r="P154" s="52" t="n">
        <x:f>IF(I154=1,IFERROR(VALUE(SUBSTITUTE(SUBSTITUTE(_xlfn.XLOOKUP(H154,Rates_Raw!$AF$5:$AF$464,Rates_Raw!$I$5:$I$464,""),"$",""),",","")),""),"")</x:f>
        <x:v>3660</x:v>
      </x:c>
      <x:c r="Q154" s="52" t="n">
        <x:f>IF(P154="","",P154*Guide!$B$15)</x:f>
        <x:v>95160</x:v>
      </x:c>
      <x:c r="R154" t="str">
        <x:f>IF(I154=0,"UNMATCHED",IF(I154&gt;1,"DUPLICATE KEY",IF(OR(N154="TITLE VARIANT",O154="REVIEW",O154="MISSING"),"REVIEW","VERIFIED")))</x:f>
        <x:v>VERIFIED</x:v>
      </x:c>
      <x:c r="S154" s="46" t="str">
        <x:v>Not Reviewed</x:v>
      </x:c>
      <x:c r="T154" s="48"/>
    </x:row>
    <x:row r="155">
      <x:c r="A155" t="n">
        <x:f>Plan_Raw!A155</x:f>
        <x:v>265</x:v>
      </x:c>
      <x:c r="B155" t="str">
        <x:f>Plan_Raw!D155</x:f>
        <x:v>0889</x:v>
      </x:c>
      <x:c r="C155" t="str">
        <x:f>LEFT(Plan_Raw!B155,10)</x:f>
        <x:v>2025-01-04</x:v>
      </x:c>
      <x:c r="D155" t="str">
        <x:f>Plan_Raw!F155</x:f>
        <x:v>COMMN</x:v>
      </x:c>
      <x:c r="E155" t="str">
        <x:f>Plan_Raw!E155</x:f>
        <x:v>Mayoral Staff IX</x:v>
      </x:c>
      <x:c r="F155" t="str">
        <x:f>Plan_Raw!C155</x:f>
        <x:v>0889A</x:v>
      </x:c>
      <x:c r="G155" s="50" t="n">
        <x:f>IF(Plan_Raw!G155="","",IFERROR(VALUE(Plan_Raw!G155),""))</x:f>
        <x:v>46.4375</x:v>
      </x:c>
      <x:c r="H155" t="str">
        <x:f>Plan_Raw!AH155</x:f>
        <x:v>0889|COMMN|2025-01-04</x:v>
      </x:c>
      <x:c r="I155" t="n">
        <x:f>COUNTIF(Rates_Raw!$AF$5:$AF$464,H155)</x:f>
        <x:v>1</x:v>
      </x:c>
      <x:c r="J155" t="str">
        <x:f>IF(I155=1,_xlfn.XLOOKUP(H155,Rates_Raw!$AF$5:$AF$464,Rates_Raw!$E$5:$E$464,""),"")</x:f>
        <x:v>Mayoral Staff IX</x:v>
      </x:c>
      <x:c r="K155" t="n">
        <x:f>IF(I155=1,_xlfn.XLOOKUP(H155,Rates_Raw!$AF$5:$AF$464,Rates_Raw!$F$5:$F$464,""),"")</x:f>
        <x:v>2</x:v>
      </x:c>
      <x:c r="L155" s="50" t="n">
        <x:f>IF(I155=1,IFERROR(VALUE(SUBSTITUTE(_xlfn.XLOOKUP(H155,Rates_Raw!$AF$5:$AF$464,Rates_Raw!$L$5:$L$464,""),"$","")),""),"")</x:f>
        <x:v>46.4375</x:v>
      </x:c>
      <x:c r="M155" s="50" t="n">
        <x:f>IF(OR(G155="",L155=""),"",ROUND(G155-L155,4))</x:f>
        <x:v>0</x:v>
      </x:c>
      <x:c r="N155" t="str">
        <x:f>IF(I155=0,"NO MATCH",IF(I155&gt;1,"AMBIGUOUS",IF(EXACT(TRIM(E155),TRIM(J155)),"EXACT","TITLE VARIANT")))</x:f>
        <x:v>EXACT</x:v>
      </x:c>
      <x:c r="O155" t="str">
        <x:f>IF(I155&lt;&gt;1,"NOT TESTED",IF(OR(G155="",L155=""),"MISSING",IF(ABS(M155)&lt;=Guide!$B$16,"PASS","REVIEW")))</x:f>
        <x:v>PASS</x:v>
      </x:c>
      <x:c r="P155" s="52" t="n">
        <x:f>IF(I155=1,IFERROR(VALUE(SUBSTITUTE(SUBSTITUTE(_xlfn.XLOOKUP(H155,Rates_Raw!$AF$5:$AF$464,Rates_Raw!$I$5:$I$464,""),"$",""),",","")),""),"")</x:f>
        <x:v>3715</x:v>
      </x:c>
      <x:c r="Q155" s="52" t="n">
        <x:f>IF(P155="","",P155*Guide!$B$15)</x:f>
        <x:v>96590</x:v>
      </x:c>
      <x:c r="R155" t="str">
        <x:f>IF(I155=0,"UNMATCHED",IF(I155&gt;1,"DUPLICATE KEY",IF(OR(N155="TITLE VARIANT",O155="REVIEW",O155="MISSING"),"REVIEW","VERIFIED")))</x:f>
        <x:v>VERIFIED</x:v>
      </x:c>
      <x:c r="S155" s="46" t="str">
        <x:v>Not Reviewed</x:v>
      </x:c>
      <x:c r="T155" s="48"/>
    </x:row>
    <x:row r="156">
      <x:c r="A156" t="n">
        <x:f>Plan_Raw!A156</x:f>
        <x:v>266</x:v>
      </x:c>
      <x:c r="B156" t="str">
        <x:f>Plan_Raw!D156</x:f>
        <x:v>0889</x:v>
      </x:c>
      <x:c r="C156" t="str">
        <x:f>LEFT(Plan_Raw!B156,10)</x:f>
        <x:v>2025-07-01</x:v>
      </x:c>
      <x:c r="D156" t="str">
        <x:f>Plan_Raw!F156</x:f>
        <x:v>COMMN</x:v>
      </x:c>
      <x:c r="E156" t="str">
        <x:f>Plan_Raw!E156</x:f>
        <x:v>Mayoral Staff IX</x:v>
      </x:c>
      <x:c r="F156" t="str">
        <x:f>Plan_Raw!C156</x:f>
        <x:v>0889B</x:v>
      </x:c>
      <x:c r="G156" s="50" t="n">
        <x:f>IF(Plan_Raw!G156="","",IFERROR(VALUE(Plan_Raw!G156),""))</x:f>
        <x:v>47.375</x:v>
      </x:c>
      <x:c r="H156" t="str">
        <x:f>Plan_Raw!AH156</x:f>
        <x:v>0889|COMMN|2025-07-01</x:v>
      </x:c>
      <x:c r="I156" t="n">
        <x:f>COUNTIF(Rates_Raw!$AF$5:$AF$464,H156)</x:f>
        <x:v>1</x:v>
      </x:c>
      <x:c r="J156" t="str">
        <x:f>IF(I156=1,_xlfn.XLOOKUP(H156,Rates_Raw!$AF$5:$AF$464,Rates_Raw!$E$5:$E$464,""),"")</x:f>
        <x:v>Mayoral Staff IX</x:v>
      </x:c>
      <x:c r="K156" t="n">
        <x:f>IF(I156=1,_xlfn.XLOOKUP(H156,Rates_Raw!$AF$5:$AF$464,Rates_Raw!$F$5:$F$464,""),"")</x:f>
        <x:v>2</x:v>
      </x:c>
      <x:c r="L156" s="50" t="n">
        <x:f>IF(I156=1,IFERROR(VALUE(SUBSTITUTE(_xlfn.XLOOKUP(H156,Rates_Raw!$AF$5:$AF$464,Rates_Raw!$L$5:$L$464,""),"$","")),""),"")</x:f>
        <x:v>47.375</x:v>
      </x:c>
      <x:c r="M156" s="50" t="n">
        <x:f>IF(OR(G156="",L156=""),"",ROUND(G156-L156,4))</x:f>
        <x:v>0</x:v>
      </x:c>
      <x:c r="N156" t="str">
        <x:f>IF(I156=0,"NO MATCH",IF(I156&gt;1,"AMBIGUOUS",IF(EXACT(TRIM(E156),TRIM(J156)),"EXACT","TITLE VARIANT")))</x:f>
        <x:v>EXACT</x:v>
      </x:c>
      <x:c r="O156" t="str">
        <x:f>IF(I156&lt;&gt;1,"NOT TESTED",IF(OR(G156="",L156=""),"MISSING",IF(ABS(M156)&lt;=Guide!$B$16,"PASS","REVIEW")))</x:f>
        <x:v>PASS</x:v>
      </x:c>
      <x:c r="P156" s="52" t="n">
        <x:f>IF(I156=1,IFERROR(VALUE(SUBSTITUTE(SUBSTITUTE(_xlfn.XLOOKUP(H156,Rates_Raw!$AF$5:$AF$464,Rates_Raw!$I$5:$I$464,""),"$",""),",","")),""),"")</x:f>
        <x:v>3790</x:v>
      </x:c>
      <x:c r="Q156" s="52" t="n">
        <x:f>IF(P156="","",P156*Guide!$B$15)</x:f>
        <x:v>98540</x:v>
      </x:c>
      <x:c r="R156" t="str">
        <x:f>IF(I156=0,"UNMATCHED",IF(I156&gt;1,"DUPLICATE KEY",IF(OR(N156="TITLE VARIANT",O156="REVIEW",O156="MISSING"),"REVIEW","VERIFIED")))</x:f>
        <x:v>VERIFIED</x:v>
      </x:c>
      <x:c r="S156" s="46" t="str">
        <x:v>Not Reviewed</x:v>
      </x:c>
      <x:c r="T156" s="48"/>
    </x:row>
    <x:row r="157">
      <x:c r="A157" t="n">
        <x:f>Plan_Raw!A157</x:f>
        <x:v>267</x:v>
      </x:c>
      <x:c r="B157" t="str">
        <x:f>Plan_Raw!D157</x:f>
        <x:v>0889</x:v>
      </x:c>
      <x:c r="C157" t="str">
        <x:f>LEFT(Plan_Raw!B157,10)</x:f>
        <x:v>2026-01-03</x:v>
      </x:c>
      <x:c r="D157" t="str">
        <x:f>Plan_Raw!F157</x:f>
        <x:v>COMMN</x:v>
      </x:c>
      <x:c r="E157" t="str">
        <x:f>Plan_Raw!E157</x:f>
        <x:v>Mayoral Staff IX</x:v>
      </x:c>
      <x:c r="F157" t="str">
        <x:f>Plan_Raw!C157</x:f>
        <x:v>0889C</x:v>
      </x:c>
      <x:c r="G157" s="50" t="n">
        <x:f>IF(Plan_Raw!G157="","",IFERROR(VALUE(Plan_Raw!G157),""))</x:f>
        <x:v>48.0875</x:v>
      </x:c>
      <x:c r="H157" t="str">
        <x:f>Plan_Raw!AH157</x:f>
        <x:v>0889|COMMN|2026-01-03</x:v>
      </x:c>
      <x:c r="I157" t="n">
        <x:f>COUNTIF(Rates_Raw!$AF$5:$AF$464,H157)</x:f>
        <x:v>1</x:v>
      </x:c>
      <x:c r="J157" t="str">
        <x:f>IF(I157=1,_xlfn.XLOOKUP(H157,Rates_Raw!$AF$5:$AF$464,Rates_Raw!$E$5:$E$464,""),"")</x:f>
        <x:v>Mayoral Staff IX</x:v>
      </x:c>
      <x:c r="K157" t="n">
        <x:f>IF(I157=1,_xlfn.XLOOKUP(H157,Rates_Raw!$AF$5:$AF$464,Rates_Raw!$F$5:$F$464,""),"")</x:f>
        <x:v>2</x:v>
      </x:c>
      <x:c r="L157" s="50" t="n">
        <x:f>IF(I157=1,IFERROR(VALUE(SUBSTITUTE(_xlfn.XLOOKUP(H157,Rates_Raw!$AF$5:$AF$464,Rates_Raw!$L$5:$L$464,""),"$","")),""),"")</x:f>
        <x:v>48.0875</x:v>
      </x:c>
      <x:c r="M157" s="50" t="n">
        <x:f>IF(OR(G157="",L157=""),"",ROUND(G157-L157,4))</x:f>
        <x:v>0</x:v>
      </x:c>
      <x:c r="N157" t="str">
        <x:f>IF(I157=0,"NO MATCH",IF(I157&gt;1,"AMBIGUOUS",IF(EXACT(TRIM(E157),TRIM(J157)),"EXACT","TITLE VARIANT")))</x:f>
        <x:v>EXACT</x:v>
      </x:c>
      <x:c r="O157" t="str">
        <x:f>IF(I157&lt;&gt;1,"NOT TESTED",IF(OR(G157="",L157=""),"MISSING",IF(ABS(M157)&lt;=Guide!$B$16,"PASS","REVIEW")))</x:f>
        <x:v>PASS</x:v>
      </x:c>
      <x:c r="P157" s="52" t="n">
        <x:f>IF(I157=1,IFERROR(VALUE(SUBSTITUTE(SUBSTITUTE(_xlfn.XLOOKUP(H157,Rates_Raw!$AF$5:$AF$464,Rates_Raw!$I$5:$I$464,""),"$",""),",","")),""),"")</x:f>
        <x:v>3847</x:v>
      </x:c>
      <x:c r="Q157" s="52" t="n">
        <x:f>IF(P157="","",P157*Guide!$B$15)</x:f>
        <x:v>100022</x:v>
      </x:c>
      <x:c r="R157" t="str">
        <x:f>IF(I157=0,"UNMATCHED",IF(I157&gt;1,"DUPLICATE KEY",IF(OR(N157="TITLE VARIANT",O157="REVIEW",O157="MISSING"),"REVIEW","VERIFIED")))</x:f>
        <x:v>VERIFIED</x:v>
      </x:c>
      <x:c r="S157" s="46" t="str">
        <x:v>Not Reviewed</x:v>
      </x:c>
      <x:c r="T157" s="48"/>
    </x:row>
    <x:row r="158">
      <x:c r="A158" t="n">
        <x:f>Plan_Raw!A158</x:f>
        <x:v>268</x:v>
      </x:c>
      <x:c r="B158" t="str">
        <x:f>Plan_Raw!D158</x:f>
        <x:v>0889</x:v>
      </x:c>
      <x:c r="C158" t="str">
        <x:f>LEFT(Plan_Raw!B158,10)</x:f>
        <x:v>2026-07-01</x:v>
      </x:c>
      <x:c r="D158" t="str">
        <x:f>Plan_Raw!F158</x:f>
        <x:v>COMMN</x:v>
      </x:c>
      <x:c r="E158" t="str">
        <x:f>Plan_Raw!E158</x:f>
        <x:v>Mayoral Staff IX</x:v>
      </x:c>
      <x:c r="F158" t="str">
        <x:f>Plan_Raw!C158</x:f>
        <x:v>0889D</x:v>
      </x:c>
      <x:c r="G158" s="50" t="n">
        <x:f>IF(Plan_Raw!G158="","",IFERROR(VALUE(Plan_Raw!G158),""))</x:f>
        <x:v>49.05</x:v>
      </x:c>
      <x:c r="H158" t="str">
        <x:f>Plan_Raw!AH158</x:f>
        <x:v>0889|COMMN|2026-07-01</x:v>
      </x:c>
      <x:c r="I158" t="n">
        <x:f>COUNTIF(Rates_Raw!$AF$5:$AF$464,H158)</x:f>
        <x:v>0</x:v>
      </x:c>
      <x:c r="J158" t="str">
        <x:f>IF(I158=1,_xlfn.XLOOKUP(H158,Rates_Raw!$AF$5:$AF$464,Rates_Raw!$E$5:$E$464,""),"")</x:f>
      </x:c>
      <x:c r="K158" t="str">
        <x:f>IF(I158=1,_xlfn.XLOOKUP(H158,Rates_Raw!$AF$5:$AF$464,Rates_Raw!$F$5:$F$464,""),"")</x:f>
      </x:c>
      <x:c r="L158" s="50" t="str">
        <x:f>IF(I158=1,IFERROR(VALUE(SUBSTITUTE(_xlfn.XLOOKUP(H158,Rates_Raw!$AF$5:$AF$464,Rates_Raw!$L$5:$L$464,""),"$","")),""),"")</x:f>
      </x:c>
      <x:c r="M158" s="50" t="str">
        <x:f>IF(OR(G158="",L158=""),"",ROUND(G158-L158,4))</x:f>
      </x:c>
      <x:c r="N158" t="str">
        <x:f>IF(I158=0,"NO MATCH",IF(I158&gt;1,"AMBIGUOUS",IF(EXACT(TRIM(E158),TRIM(J158)),"EXACT","TITLE VARIANT")))</x:f>
        <x:v>NO MATCH</x:v>
      </x:c>
      <x:c r="O158" t="str">
        <x:f>IF(I158&lt;&gt;1,"NOT TESTED",IF(OR(G158="",L158=""),"MISSING",IF(ABS(M158)&lt;=Guide!$B$16,"PASS","REVIEW")))</x:f>
        <x:v>NOT TESTED</x:v>
      </x:c>
      <x:c r="P158" s="52" t="str">
        <x:f>IF(I158=1,IFERROR(VALUE(SUBSTITUTE(SUBSTITUTE(_xlfn.XLOOKUP(H158,Rates_Raw!$AF$5:$AF$464,Rates_Raw!$I$5:$I$464,""),"$",""),",","")),""),"")</x:f>
      </x:c>
      <x:c r="Q158" s="52" t="str">
        <x:f>IF(P158="","",P158*Guide!$B$15)</x:f>
      </x:c>
      <x:c r="R158" t="str">
        <x:f>IF(I158=0,"UNMATCHED",IF(I158&gt;1,"DUPLICATE KEY",IF(OR(N158="TITLE VARIANT",O158="REVIEW",O158="MISSING"),"REVIEW","VERIFIED")))</x:f>
        <x:v>UNMATCHED</x:v>
      </x:c>
      <x:c r="S158" s="46" t="str">
        <x:v>Not Reviewed</x:v>
      </x:c>
      <x:c r="T158" s="48"/>
    </x:row>
    <x:row r="159">
      <x:c r="A159" t="n">
        <x:f>Plan_Raw!A159</x:f>
        <x:v>869</x:v>
      </x:c>
      <x:c r="B159" t="str">
        <x:f>Plan_Raw!D159</x:f>
        <x:v>1064</x:v>
      </x:c>
      <x:c r="C159" t="str">
        <x:f>LEFT(Plan_Raw!B159,10)</x:f>
        <x:v>2020-07-01</x:v>
      </x:c>
      <x:c r="D159" t="str">
        <x:f>Plan_Raw!F159</x:f>
        <x:v>COMMN</x:v>
      </x:c>
      <x:c r="E159" t="str">
        <x:f>Plan_Raw!E159</x:f>
        <x:v>IS Programmer Analyst-Principal</x:v>
      </x:c>
      <x:c r="F159" t="str">
        <x:f>Plan_Raw!C159</x:f>
        <x:v>1064S</x:v>
      </x:c>
      <x:c r="G159" s="50" t="n">
        <x:f>IF(Plan_Raw!G159="","",IFERROR(VALUE(Plan_Raw!G159),""))</x:f>
        <x:v>52.9125</x:v>
      </x:c>
      <x:c r="H159" t="str">
        <x:f>Plan_Raw!AH159</x:f>
        <x:v>1064|COMMN|2020-07-01</x:v>
      </x:c>
      <x:c r="I159" t="n">
        <x:f>COUNTIF(Rates_Raw!$AF$5:$AF$464,H159)</x:f>
        <x:v>1</x:v>
      </x:c>
      <x:c r="J159" t="str">
        <x:f>IF(I159=1,_xlfn.XLOOKUP(H159,Rates_Raw!$AF$5:$AF$464,Rates_Raw!$E$5:$E$464,""),"")</x:f>
        <x:v>IS Programmer Analyst-Principal</x:v>
      </x:c>
      <x:c r="K159" t="n">
        <x:f>IF(I159=1,_xlfn.XLOOKUP(H159,Rates_Raw!$AF$5:$AF$464,Rates_Raw!$F$5:$F$464,""),"")</x:f>
        <x:v>21</x:v>
      </x:c>
      <x:c r="L159" s="50" t="n">
        <x:f>IF(I159=1,IFERROR(VALUE(SUBSTITUTE(_xlfn.XLOOKUP(H159,Rates_Raw!$AF$5:$AF$464,Rates_Raw!$L$5:$L$464,""),"$","")),""),"")</x:f>
        <x:v>52.9125</x:v>
      </x:c>
      <x:c r="M159" s="50" t="n">
        <x:f>IF(OR(G159="",L159=""),"",ROUND(G159-L159,4))</x:f>
        <x:v>0</x:v>
      </x:c>
      <x:c r="N159" t="str">
        <x:f>IF(I159=0,"NO MATCH",IF(I159&gt;1,"AMBIGUOUS",IF(EXACT(TRIM(E159),TRIM(J159)),"EXACT","TITLE VARIANT")))</x:f>
        <x:v>EXACT</x:v>
      </x:c>
      <x:c r="O159" t="str">
        <x:f>IF(I159&lt;&gt;1,"NOT TESTED",IF(OR(G159="",L159=""),"MISSING",IF(ABS(M159)&lt;=Guide!$B$16,"PASS","REVIEW")))</x:f>
        <x:v>PASS</x:v>
      </x:c>
      <x:c r="P159" s="52" t="n">
        <x:f>IF(I159=1,IFERROR(VALUE(SUBSTITUTE(SUBSTITUTE(_xlfn.XLOOKUP(H159,Rates_Raw!$AF$5:$AF$464,Rates_Raw!$I$5:$I$464,""),"$",""),",","")),""),"")</x:f>
        <x:v>4233</x:v>
      </x:c>
      <x:c r="Q159" s="52" t="n">
        <x:f>IF(P159="","",P159*Guide!$B$15)</x:f>
        <x:v>110058</x:v>
      </x:c>
      <x:c r="R159" t="str">
        <x:f>IF(I159=0,"UNMATCHED",IF(I159&gt;1,"DUPLICATE KEY",IF(OR(N159="TITLE VARIANT",O159="REVIEW",O159="MISSING"),"REVIEW","VERIFIED")))</x:f>
        <x:v>VERIFIED</x:v>
      </x:c>
      <x:c r="S159" s="46" t="str">
        <x:v>Not Reviewed</x:v>
      </x:c>
      <x:c r="T159" s="48"/>
    </x:row>
    <x:row r="160">
      <x:c r="A160" t="n">
        <x:f>Plan_Raw!A160</x:f>
        <x:v>875</x:v>
      </x:c>
      <x:c r="B160" t="str">
        <x:f>Plan_Raw!D160</x:f>
        <x:v>1064</x:v>
      </x:c>
      <x:c r="C160" t="str">
        <x:f>LEFT(Plan_Raw!B160,10)</x:f>
        <x:v>2024-01-06</x:v>
      </x:c>
      <x:c r="D160" t="str">
        <x:f>Plan_Raw!F160</x:f>
        <x:v>COMMN</x:v>
      </x:c>
      <x:c r="E160" t="str">
        <x:f>Plan_Raw!E160</x:f>
        <x:v>IS Programmer Analyst-Principal</x:v>
      </x:c>
      <x:c r="F160" t="str">
        <x:f>Plan_Raw!C160</x:f>
        <x:v>1064Y</x:v>
      </x:c>
      <x:c r="G160" s="50" t="n">
        <x:f>IF(Plan_Raw!G160="","",IFERROR(VALUE(Plan_Raw!G160),""))</x:f>
        <x:v>65.5875</x:v>
      </x:c>
      <x:c r="H160" t="str">
        <x:f>Plan_Raw!AH160</x:f>
        <x:v>1064|COMMN|2024-01-06</x:v>
      </x:c>
      <x:c r="I160" t="n">
        <x:f>COUNTIF(Rates_Raw!$AF$5:$AF$464,H160)</x:f>
        <x:v>1</x:v>
      </x:c>
      <x:c r="J160" t="str">
        <x:f>IF(I160=1,_xlfn.XLOOKUP(H160,Rates_Raw!$AF$5:$AF$464,Rates_Raw!$E$5:$E$464,""),"")</x:f>
        <x:v>IS Programmer Analyst-Principal</x:v>
      </x:c>
      <x:c r="K160" t="n">
        <x:f>IF(I160=1,_xlfn.XLOOKUP(H160,Rates_Raw!$AF$5:$AF$464,Rates_Raw!$F$5:$F$464,""),"")</x:f>
        <x:v>21</x:v>
      </x:c>
      <x:c r="L160" s="50" t="n">
        <x:f>IF(I160=1,IFERROR(VALUE(SUBSTITUTE(_xlfn.XLOOKUP(H160,Rates_Raw!$AF$5:$AF$464,Rates_Raw!$L$5:$L$464,""),"$","")),""),"")</x:f>
        <x:v>65.5875</x:v>
      </x:c>
      <x:c r="M160" s="50" t="n">
        <x:f>IF(OR(G160="",L160=""),"",ROUND(G160-L160,4))</x:f>
        <x:v>0</x:v>
      </x:c>
      <x:c r="N160" t="str">
        <x:f>IF(I160=0,"NO MATCH",IF(I160&gt;1,"AMBIGUOUS",IF(EXACT(TRIM(E160),TRIM(J160)),"EXACT","TITLE VARIANT")))</x:f>
        <x:v>EXACT</x:v>
      </x:c>
      <x:c r="O160" t="str">
        <x:f>IF(I160&lt;&gt;1,"NOT TESTED",IF(OR(G160="",L160=""),"MISSING",IF(ABS(M160)&lt;=Guide!$B$16,"PASS","REVIEW")))</x:f>
        <x:v>PASS</x:v>
      </x:c>
      <x:c r="P160" s="52" t="n">
        <x:f>IF(I160=1,IFERROR(VALUE(SUBSTITUTE(SUBSTITUTE(_xlfn.XLOOKUP(H160,Rates_Raw!$AF$5:$AF$464,Rates_Raw!$I$5:$I$464,""),"$",""),",","")),""),"")</x:f>
        <x:v>5247</x:v>
      </x:c>
      <x:c r="Q160" s="52" t="n">
        <x:f>IF(P160="","",P160*Guide!$B$15)</x:f>
        <x:v>136422</x:v>
      </x:c>
      <x:c r="R160" t="str">
        <x:f>IF(I160=0,"UNMATCHED",IF(I160&gt;1,"DUPLICATE KEY",IF(OR(N160="TITLE VARIANT",O160="REVIEW",O160="MISSING"),"REVIEW","VERIFIED")))</x:f>
        <x:v>VERIFIED</x:v>
      </x:c>
      <x:c r="S160" s="46" t="str">
        <x:v>Not Reviewed</x:v>
      </x:c>
      <x:c r="T160" s="48"/>
    </x:row>
    <x:row r="161">
      <x:c r="A161" t="n">
        <x:f>Plan_Raw!A161</x:f>
        <x:v>887</x:v>
      </x:c>
      <x:c r="B161" t="str">
        <x:f>Plan_Raw!D161</x:f>
        <x:v>1064</x:v>
      </x:c>
      <x:c r="C161" t="str">
        <x:f>LEFT(Plan_Raw!B161,10)</x:f>
        <x:v>2024-01-06</x:v>
      </x:c>
      <x:c r="D161" t="str">
        <x:f>Plan_Raw!F161</x:f>
        <x:v>SFMTA</x:v>
      </x:c>
      <x:c r="E161" t="str">
        <x:f>Plan_Raw!E161</x:f>
        <x:v>IS Programmer Analyst-Principal</x:v>
      </x:c>
      <x:c r="F161" t="str">
        <x:f>Plan_Raw!C161</x:f>
        <x:v>1064Y</x:v>
      </x:c>
      <x:c r="G161" s="50" t="n">
        <x:f>IF(Plan_Raw!G161="","",IFERROR(VALUE(Plan_Raw!G161),""))</x:f>
        <x:v>65.5875</x:v>
      </x:c>
      <x:c r="H161" t="str">
        <x:f>Plan_Raw!AH161</x:f>
        <x:v>1064|SFMTA|2024-01-06</x:v>
      </x:c>
      <x:c r="I161" t="n">
        <x:f>COUNTIF(Rates_Raw!$AF$5:$AF$464,H161)</x:f>
        <x:v>1</x:v>
      </x:c>
      <x:c r="J161" t="str">
        <x:f>IF(I161=1,_xlfn.XLOOKUP(H161,Rates_Raw!$AF$5:$AF$464,Rates_Raw!$E$5:$E$464,""),"")</x:f>
        <x:v>IS Programmer Analyst-Principal</x:v>
      </x:c>
      <x:c r="K161" t="n">
        <x:f>IF(I161=1,_xlfn.XLOOKUP(H161,Rates_Raw!$AF$5:$AF$464,Rates_Raw!$F$5:$F$464,""),"")</x:f>
        <x:v>21</x:v>
      </x:c>
      <x:c r="L161" s="50" t="n">
        <x:f>IF(I161=1,IFERROR(VALUE(SUBSTITUTE(_xlfn.XLOOKUP(H161,Rates_Raw!$AF$5:$AF$464,Rates_Raw!$L$5:$L$464,""),"$","")),""),"")</x:f>
        <x:v>65.5875</x:v>
      </x:c>
      <x:c r="M161" s="50" t="n">
        <x:f>IF(OR(G161="",L161=""),"",ROUND(G161-L161,4))</x:f>
        <x:v>0</x:v>
      </x:c>
      <x:c r="N161" t="str">
        <x:f>IF(I161=0,"NO MATCH",IF(I161&gt;1,"AMBIGUOUS",IF(EXACT(TRIM(E161),TRIM(J161)),"EXACT","TITLE VARIANT")))</x:f>
        <x:v>EXACT</x:v>
      </x:c>
      <x:c r="O161" t="str">
        <x:f>IF(I161&lt;&gt;1,"NOT TESTED",IF(OR(G161="",L161=""),"MISSING",IF(ABS(M161)&lt;=Guide!$B$16,"PASS","REVIEW")))</x:f>
        <x:v>PASS</x:v>
      </x:c>
      <x:c r="P161" s="52" t="n">
        <x:f>IF(I161=1,IFERROR(VALUE(SUBSTITUTE(SUBSTITUTE(_xlfn.XLOOKUP(H161,Rates_Raw!$AF$5:$AF$464,Rates_Raw!$I$5:$I$464,""),"$",""),",","")),""),"")</x:f>
        <x:v>5247</x:v>
      </x:c>
      <x:c r="Q161" s="52" t="n">
        <x:f>IF(P161="","",P161*Guide!$B$15)</x:f>
        <x:v>136422</x:v>
      </x:c>
      <x:c r="R161" t="str">
        <x:f>IF(I161=0,"UNMATCHED",IF(I161&gt;1,"DUPLICATE KEY",IF(OR(N161="TITLE VARIANT",O161="REVIEW",O161="MISSING"),"REVIEW","VERIFIED")))</x:f>
        <x:v>VERIFIED</x:v>
      </x:c>
      <x:c r="S161" s="46" t="str">
        <x:v>Not Reviewed</x:v>
      </x:c>
      <x:c r="T161" s="48"/>
    </x:row>
    <x:row r="162">
      <x:c r="A162" t="n">
        <x:f>Plan_Raw!A162</x:f>
        <x:v>876</x:v>
      </x:c>
      <x:c r="B162" t="str">
        <x:f>Plan_Raw!D162</x:f>
        <x:v>1064</x:v>
      </x:c>
      <x:c r="C162" t="str">
        <x:f>LEFT(Plan_Raw!B162,10)</x:f>
        <x:v>2024-07-01</x:v>
      </x:c>
      <x:c r="D162" t="str">
        <x:f>Plan_Raw!F162</x:f>
        <x:v>COMMN</x:v>
      </x:c>
      <x:c r="E162" t="str">
        <x:f>Plan_Raw!E162</x:f>
        <x:v>IS Programmer Analyst-Principal</x:v>
      </x:c>
      <x:c r="F162" t="str">
        <x:f>Plan_Raw!C162</x:f>
        <x:v>1064Z</x:v>
      </x:c>
      <x:c r="G162" s="50" t="n">
        <x:f>IF(Plan_Raw!G162="","",IFERROR(VALUE(Plan_Raw!G162),""))</x:f>
        <x:v>66.575</x:v>
      </x:c>
      <x:c r="H162" t="str">
        <x:f>Plan_Raw!AH162</x:f>
        <x:v>1064|COMMN|2024-07-01</x:v>
      </x:c>
      <x:c r="I162" t="n">
        <x:f>COUNTIF(Rates_Raw!$AF$5:$AF$464,H162)</x:f>
        <x:v>1</x:v>
      </x:c>
      <x:c r="J162" t="str">
        <x:f>IF(I162=1,_xlfn.XLOOKUP(H162,Rates_Raw!$AF$5:$AF$464,Rates_Raw!$E$5:$E$464,""),"")</x:f>
        <x:v>IS Programmer Analyst-Principal</x:v>
      </x:c>
      <x:c r="K162" t="n">
        <x:f>IF(I162=1,_xlfn.XLOOKUP(H162,Rates_Raw!$AF$5:$AF$464,Rates_Raw!$F$5:$F$464,""),"")</x:f>
        <x:v>21</x:v>
      </x:c>
      <x:c r="L162" s="50" t="n">
        <x:f>IF(I162=1,IFERROR(VALUE(SUBSTITUTE(_xlfn.XLOOKUP(H162,Rates_Raw!$AF$5:$AF$464,Rates_Raw!$L$5:$L$464,""),"$","")),""),"")</x:f>
        <x:v>66.575</x:v>
      </x:c>
      <x:c r="M162" s="50" t="n">
        <x:f>IF(OR(G162="",L162=""),"",ROUND(G162-L162,4))</x:f>
        <x:v>0</x:v>
      </x:c>
      <x:c r="N162" t="str">
        <x:f>IF(I162=0,"NO MATCH",IF(I162&gt;1,"AMBIGUOUS",IF(EXACT(TRIM(E162),TRIM(J162)),"EXACT","TITLE VARIANT")))</x:f>
        <x:v>EXACT</x:v>
      </x:c>
      <x:c r="O162" t="str">
        <x:f>IF(I162&lt;&gt;1,"NOT TESTED",IF(OR(G162="",L162=""),"MISSING",IF(ABS(M162)&lt;=Guide!$B$16,"PASS","REVIEW")))</x:f>
        <x:v>PASS</x:v>
      </x:c>
      <x:c r="P162" s="52" t="n">
        <x:f>IF(I162=1,IFERROR(VALUE(SUBSTITUTE(SUBSTITUTE(_xlfn.XLOOKUP(H162,Rates_Raw!$AF$5:$AF$464,Rates_Raw!$I$5:$I$464,""),"$",""),",","")),""),"")</x:f>
        <x:v>5326</x:v>
      </x:c>
      <x:c r="Q162" s="52" t="n">
        <x:f>IF(P162="","",P162*Guide!$B$15)</x:f>
        <x:v>138476</x:v>
      </x:c>
      <x:c r="R162" t="str">
        <x:f>IF(I162=0,"UNMATCHED",IF(I162&gt;1,"DUPLICATE KEY",IF(OR(N162="TITLE VARIANT",O162="REVIEW",O162="MISSING"),"REVIEW","VERIFIED")))</x:f>
        <x:v>VERIFIED</x:v>
      </x:c>
      <x:c r="S162" s="46" t="str">
        <x:v>Not Reviewed</x:v>
      </x:c>
      <x:c r="T162" s="48"/>
    </x:row>
    <x:row r="163">
      <x:c r="A163" t="n">
        <x:f>Plan_Raw!A163</x:f>
        <x:v>888</x:v>
      </x:c>
      <x:c r="B163" t="str">
        <x:f>Plan_Raw!D163</x:f>
        <x:v>1064</x:v>
      </x:c>
      <x:c r="C163" t="str">
        <x:f>LEFT(Plan_Raw!B163,10)</x:f>
        <x:v>2024-07-01</x:v>
      </x:c>
      <x:c r="D163" t="str">
        <x:f>Plan_Raw!F163</x:f>
        <x:v>SFMTA</x:v>
      </x:c>
      <x:c r="E163" t="str">
        <x:f>Plan_Raw!E163</x:f>
        <x:v>IS Programmer Analyst-Principal</x:v>
      </x:c>
      <x:c r="F163" t="str">
        <x:f>Plan_Raw!C163</x:f>
        <x:v>1064Z</x:v>
      </x:c>
      <x:c r="G163" s="50" t="n">
        <x:f>IF(Plan_Raw!G163="","",IFERROR(VALUE(Plan_Raw!G163),""))</x:f>
        <x:v>66.575</x:v>
      </x:c>
      <x:c r="H163" t="str">
        <x:f>Plan_Raw!AH163</x:f>
        <x:v>1064|SFMTA|2024-07-01</x:v>
      </x:c>
      <x:c r="I163" t="n">
        <x:f>COUNTIF(Rates_Raw!$AF$5:$AF$464,H163)</x:f>
        <x:v>1</x:v>
      </x:c>
      <x:c r="J163" t="str">
        <x:f>IF(I163=1,_xlfn.XLOOKUP(H163,Rates_Raw!$AF$5:$AF$464,Rates_Raw!$E$5:$E$464,""),"")</x:f>
        <x:v>IS Programmer Analyst-Principal</x:v>
      </x:c>
      <x:c r="K163" t="n">
        <x:f>IF(I163=1,_xlfn.XLOOKUP(H163,Rates_Raw!$AF$5:$AF$464,Rates_Raw!$F$5:$F$464,""),"")</x:f>
        <x:v>21</x:v>
      </x:c>
      <x:c r="L163" s="50" t="n">
        <x:f>IF(I163=1,IFERROR(VALUE(SUBSTITUTE(_xlfn.XLOOKUP(H163,Rates_Raw!$AF$5:$AF$464,Rates_Raw!$L$5:$L$464,""),"$","")),""),"")</x:f>
        <x:v>66.575</x:v>
      </x:c>
      <x:c r="M163" s="50" t="n">
        <x:f>IF(OR(G163="",L163=""),"",ROUND(G163-L163,4))</x:f>
        <x:v>0</x:v>
      </x:c>
      <x:c r="N163" t="str">
        <x:f>IF(I163=0,"NO MATCH",IF(I163&gt;1,"AMBIGUOUS",IF(EXACT(TRIM(E163),TRIM(J163)),"EXACT","TITLE VARIANT")))</x:f>
        <x:v>EXACT</x:v>
      </x:c>
      <x:c r="O163" t="str">
        <x:f>IF(I163&lt;&gt;1,"NOT TESTED",IF(OR(G163="",L163=""),"MISSING",IF(ABS(M163)&lt;=Guide!$B$16,"PASS","REVIEW")))</x:f>
        <x:v>PASS</x:v>
      </x:c>
      <x:c r="P163" s="52" t="n">
        <x:f>IF(I163=1,IFERROR(VALUE(SUBSTITUTE(SUBSTITUTE(_xlfn.XLOOKUP(H163,Rates_Raw!$AF$5:$AF$464,Rates_Raw!$I$5:$I$464,""),"$",""),",","")),""),"")</x:f>
        <x:v>5326</x:v>
      </x:c>
      <x:c r="Q163" s="52" t="n">
        <x:f>IF(P163="","",P163*Guide!$B$15)</x:f>
        <x:v>138476</x:v>
      </x:c>
      <x:c r="R163" t="str">
        <x:f>IF(I163=0,"UNMATCHED",IF(I163&gt;1,"DUPLICATE KEY",IF(OR(N163="TITLE VARIANT",O163="REVIEW",O163="MISSING"),"REVIEW","VERIFIED")))</x:f>
        <x:v>VERIFIED</x:v>
      </x:c>
      <x:c r="S163" s="46" t="str">
        <x:v>Not Reviewed</x:v>
      </x:c>
      <x:c r="T163" s="48"/>
    </x:row>
    <x:row r="164">
      <x:c r="A164" t="n">
        <x:f>Plan_Raw!A164</x:f>
        <x:v>877</x:v>
      </x:c>
      <x:c r="B164" t="str">
        <x:f>Plan_Raw!D164</x:f>
        <x:v>1064</x:v>
      </x:c>
      <x:c r="C164" t="str">
        <x:f>LEFT(Plan_Raw!B164,10)</x:f>
        <x:v>2025-01-04</x:v>
      </x:c>
      <x:c r="D164" t="str">
        <x:f>Plan_Raw!F164</x:f>
        <x:v>COMMN</x:v>
      </x:c>
      <x:c r="E164" t="str">
        <x:f>Plan_Raw!E164</x:f>
        <x:v>IS Programmer Analyst-Principal</x:v>
      </x:c>
      <x:c r="F164" t="str">
        <x:f>Plan_Raw!C164</x:f>
        <x:v>1064A</x:v>
      </x:c>
      <x:c r="G164" s="50" t="n">
        <x:f>IF(Plan_Raw!G164="","",IFERROR(VALUE(Plan_Raw!G164),""))</x:f>
        <x:v>67.575</x:v>
      </x:c>
      <x:c r="H164" t="str">
        <x:f>Plan_Raw!AH164</x:f>
        <x:v>1064|COMMN|2025-01-04</x:v>
      </x:c>
      <x:c r="I164" t="n">
        <x:f>COUNTIF(Rates_Raw!$AF$5:$AF$464,H164)</x:f>
        <x:v>1</x:v>
      </x:c>
      <x:c r="J164" t="str">
        <x:f>IF(I164=1,_xlfn.XLOOKUP(H164,Rates_Raw!$AF$5:$AF$464,Rates_Raw!$E$5:$E$464,""),"")</x:f>
        <x:v>IS Programmer Analyst-Principal</x:v>
      </x:c>
      <x:c r="K164" t="n">
        <x:f>IF(I164=1,_xlfn.XLOOKUP(H164,Rates_Raw!$AF$5:$AF$464,Rates_Raw!$F$5:$F$464,""),"")</x:f>
        <x:v>21</x:v>
      </x:c>
      <x:c r="L164" s="50" t="n">
        <x:f>IF(I164=1,IFERROR(VALUE(SUBSTITUTE(_xlfn.XLOOKUP(H164,Rates_Raw!$AF$5:$AF$464,Rates_Raw!$L$5:$L$464,""),"$","")),""),"")</x:f>
        <x:v>67.575</x:v>
      </x:c>
      <x:c r="M164" s="50" t="n">
        <x:f>IF(OR(G164="",L164=""),"",ROUND(G164-L164,4))</x:f>
        <x:v>0</x:v>
      </x:c>
      <x:c r="N164" t="str">
        <x:f>IF(I164=0,"NO MATCH",IF(I164&gt;1,"AMBIGUOUS",IF(EXACT(TRIM(E164),TRIM(J164)),"EXACT","TITLE VARIANT")))</x:f>
        <x:v>EXACT</x:v>
      </x:c>
      <x:c r="O164" t="str">
        <x:f>IF(I164&lt;&gt;1,"NOT TESTED",IF(OR(G164="",L164=""),"MISSING",IF(ABS(M164)&lt;=Guide!$B$16,"PASS","REVIEW")))</x:f>
        <x:v>PASS</x:v>
      </x:c>
      <x:c r="P164" s="52" t="n">
        <x:f>IF(I164=1,IFERROR(VALUE(SUBSTITUTE(SUBSTITUTE(_xlfn.XLOOKUP(H164,Rates_Raw!$AF$5:$AF$464,Rates_Raw!$I$5:$I$464,""),"$",""),",","")),""),"")</x:f>
        <x:v>5406</x:v>
      </x:c>
      <x:c r="Q164" s="52" t="n">
        <x:f>IF(P164="","",P164*Guide!$B$15)</x:f>
        <x:v>140556</x:v>
      </x:c>
      <x:c r="R164" t="str">
        <x:f>IF(I164=0,"UNMATCHED",IF(I164&gt;1,"DUPLICATE KEY",IF(OR(N164="TITLE VARIANT",O164="REVIEW",O164="MISSING"),"REVIEW","VERIFIED")))</x:f>
        <x:v>VERIFIED</x:v>
      </x:c>
      <x:c r="S164" s="46" t="str">
        <x:v>Not Reviewed</x:v>
      </x:c>
      <x:c r="T164" s="48"/>
    </x:row>
    <x:row r="165">
      <x:c r="A165" t="n">
        <x:f>Plan_Raw!A165</x:f>
        <x:v>889</x:v>
      </x:c>
      <x:c r="B165" t="str">
        <x:f>Plan_Raw!D165</x:f>
        <x:v>1064</x:v>
      </x:c>
      <x:c r="C165" t="str">
        <x:f>LEFT(Plan_Raw!B165,10)</x:f>
        <x:v>2025-01-04</x:v>
      </x:c>
      <x:c r="D165" t="str">
        <x:f>Plan_Raw!F165</x:f>
        <x:v>SFMTA</x:v>
      </x:c>
      <x:c r="E165" t="str">
        <x:f>Plan_Raw!E165</x:f>
        <x:v>IS Programmer Analyst-Principal</x:v>
      </x:c>
      <x:c r="F165" t="str">
        <x:f>Plan_Raw!C165</x:f>
        <x:v>1064A</x:v>
      </x:c>
      <x:c r="G165" s="50" t="n">
        <x:f>IF(Plan_Raw!G165="","",IFERROR(VALUE(Plan_Raw!G165),""))</x:f>
        <x:v>67.575</x:v>
      </x:c>
      <x:c r="H165" t="str">
        <x:f>Plan_Raw!AH165</x:f>
        <x:v>1064|SFMTA|2025-01-04</x:v>
      </x:c>
      <x:c r="I165" t="n">
        <x:f>COUNTIF(Rates_Raw!$AF$5:$AF$464,H165)</x:f>
        <x:v>1</x:v>
      </x:c>
      <x:c r="J165" t="str">
        <x:f>IF(I165=1,_xlfn.XLOOKUP(H165,Rates_Raw!$AF$5:$AF$464,Rates_Raw!$E$5:$E$464,""),"")</x:f>
        <x:v>IS Programmer Analyst-Principal</x:v>
      </x:c>
      <x:c r="K165" t="n">
        <x:f>IF(I165=1,_xlfn.XLOOKUP(H165,Rates_Raw!$AF$5:$AF$464,Rates_Raw!$F$5:$F$464,""),"")</x:f>
        <x:v>21</x:v>
      </x:c>
      <x:c r="L165" s="50" t="n">
        <x:f>IF(I165=1,IFERROR(VALUE(SUBSTITUTE(_xlfn.XLOOKUP(H165,Rates_Raw!$AF$5:$AF$464,Rates_Raw!$L$5:$L$464,""),"$","")),""),"")</x:f>
        <x:v>67.575</x:v>
      </x:c>
      <x:c r="M165" s="50" t="n">
        <x:f>IF(OR(G165="",L165=""),"",ROUND(G165-L165,4))</x:f>
        <x:v>0</x:v>
      </x:c>
      <x:c r="N165" t="str">
        <x:f>IF(I165=0,"NO MATCH",IF(I165&gt;1,"AMBIGUOUS",IF(EXACT(TRIM(E165),TRIM(J165)),"EXACT","TITLE VARIANT")))</x:f>
        <x:v>EXACT</x:v>
      </x:c>
      <x:c r="O165" t="str">
        <x:f>IF(I165&lt;&gt;1,"NOT TESTED",IF(OR(G165="",L165=""),"MISSING",IF(ABS(M165)&lt;=Guide!$B$16,"PASS","REVIEW")))</x:f>
        <x:v>PASS</x:v>
      </x:c>
      <x:c r="P165" s="52" t="n">
        <x:f>IF(I165=1,IFERROR(VALUE(SUBSTITUTE(SUBSTITUTE(_xlfn.XLOOKUP(H165,Rates_Raw!$AF$5:$AF$464,Rates_Raw!$I$5:$I$464,""),"$",""),",","")),""),"")</x:f>
        <x:v>5406</x:v>
      </x:c>
      <x:c r="Q165" s="52" t="n">
        <x:f>IF(P165="","",P165*Guide!$B$15)</x:f>
        <x:v>140556</x:v>
      </x:c>
      <x:c r="R165" t="str">
        <x:f>IF(I165=0,"UNMATCHED",IF(I165&gt;1,"DUPLICATE KEY",IF(OR(N165="TITLE VARIANT",O165="REVIEW",O165="MISSING"),"REVIEW","VERIFIED")))</x:f>
        <x:v>VERIFIED</x:v>
      </x:c>
      <x:c r="S165" s="46" t="str">
        <x:v>Not Reviewed</x:v>
      </x:c>
      <x:c r="T165" s="48"/>
    </x:row>
    <x:row r="166">
      <x:c r="A166" t="n">
        <x:f>Plan_Raw!A166</x:f>
        <x:v>878</x:v>
      </x:c>
      <x:c r="B166" t="str">
        <x:f>Plan_Raw!D166</x:f>
        <x:v>1064</x:v>
      </x:c>
      <x:c r="C166" t="str">
        <x:f>LEFT(Plan_Raw!B166,10)</x:f>
        <x:v>2025-07-01</x:v>
      </x:c>
      <x:c r="D166" t="str">
        <x:f>Plan_Raw!F166</x:f>
        <x:v>COMMN</x:v>
      </x:c>
      <x:c r="E166" t="str">
        <x:f>Plan_Raw!E166</x:f>
        <x:v>IS Prg Analyst-Principal</x:v>
      </x:c>
      <x:c r="F166" t="str">
        <x:f>Plan_Raw!C166</x:f>
        <x:v>1064B</x:v>
      </x:c>
      <x:c r="G166" s="50" t="n">
        <x:f>IF(Plan_Raw!G166="","",IFERROR(VALUE(Plan_Raw!G166),""))</x:f>
        <x:v>68.9375</x:v>
      </x:c>
      <x:c r="H166" t="str">
        <x:f>Plan_Raw!AH166</x:f>
        <x:v>1064|COMMN|2025-07-01</x:v>
      </x:c>
      <x:c r="I166" t="n">
        <x:f>COUNTIF(Rates_Raw!$AF$5:$AF$464,H166)</x:f>
        <x:v>1</x:v>
      </x:c>
      <x:c r="J166" t="str">
        <x:f>IF(I166=1,_xlfn.XLOOKUP(H166,Rates_Raw!$AF$5:$AF$464,Rates_Raw!$E$5:$E$464,""),"")</x:f>
        <x:v>IS Prg Analyst-Principal</x:v>
      </x:c>
      <x:c r="K166" t="n">
        <x:f>IF(I166=1,_xlfn.XLOOKUP(H166,Rates_Raw!$AF$5:$AF$464,Rates_Raw!$F$5:$F$464,""),"")</x:f>
        <x:v>21</x:v>
      </x:c>
      <x:c r="L166" s="50" t="n">
        <x:f>IF(I166=1,IFERROR(VALUE(SUBSTITUTE(_xlfn.XLOOKUP(H166,Rates_Raw!$AF$5:$AF$464,Rates_Raw!$L$5:$L$464,""),"$","")),""),"")</x:f>
        <x:v>68.9375</x:v>
      </x:c>
      <x:c r="M166" s="50" t="n">
        <x:f>IF(OR(G166="",L166=""),"",ROUND(G166-L166,4))</x:f>
        <x:v>0</x:v>
      </x:c>
      <x:c r="N166" t="str">
        <x:f>IF(I166=0,"NO MATCH",IF(I166&gt;1,"AMBIGUOUS",IF(EXACT(TRIM(E166),TRIM(J166)),"EXACT","TITLE VARIANT")))</x:f>
        <x:v>EXACT</x:v>
      </x:c>
      <x:c r="O166" t="str">
        <x:f>IF(I166&lt;&gt;1,"NOT TESTED",IF(OR(G166="",L166=""),"MISSING",IF(ABS(M166)&lt;=Guide!$B$16,"PASS","REVIEW")))</x:f>
        <x:v>PASS</x:v>
      </x:c>
      <x:c r="P166" s="52" t="n">
        <x:f>IF(I166=1,IFERROR(VALUE(SUBSTITUTE(SUBSTITUTE(_xlfn.XLOOKUP(H166,Rates_Raw!$AF$5:$AF$464,Rates_Raw!$I$5:$I$464,""),"$",""),",","")),""),"")</x:f>
        <x:v>5515</x:v>
      </x:c>
      <x:c r="Q166" s="52" t="n">
        <x:f>IF(P166="","",P166*Guide!$B$15)</x:f>
        <x:v>143390</x:v>
      </x:c>
      <x:c r="R166" t="str">
        <x:f>IF(I166=0,"UNMATCHED",IF(I166&gt;1,"DUPLICATE KEY",IF(OR(N166="TITLE VARIANT",O166="REVIEW",O166="MISSING"),"REVIEW","VERIFIED")))</x:f>
        <x:v>VERIFIED</x:v>
      </x:c>
      <x:c r="S166" s="46" t="str">
        <x:v>Not Reviewed</x:v>
      </x:c>
      <x:c r="T166" s="48"/>
    </x:row>
    <x:row r="167">
      <x:c r="A167" t="n">
        <x:f>Plan_Raw!A167</x:f>
        <x:v>890</x:v>
      </x:c>
      <x:c r="B167" t="str">
        <x:f>Plan_Raw!D167</x:f>
        <x:v>1064</x:v>
      </x:c>
      <x:c r="C167" t="str">
        <x:f>LEFT(Plan_Raw!B167,10)</x:f>
        <x:v>2025-07-01</x:v>
      </x:c>
      <x:c r="D167" t="str">
        <x:f>Plan_Raw!F167</x:f>
        <x:v>SFMTA</x:v>
      </x:c>
      <x:c r="E167" t="str">
        <x:f>Plan_Raw!E167</x:f>
        <x:v>IS Prg Analyst-Principal</x:v>
      </x:c>
      <x:c r="F167" t="str">
        <x:f>Plan_Raw!C167</x:f>
        <x:v>1064B</x:v>
      </x:c>
      <x:c r="G167" s="50" t="n">
        <x:f>IF(Plan_Raw!G167="","",IFERROR(VALUE(Plan_Raw!G167),""))</x:f>
        <x:v>68.9375</x:v>
      </x:c>
      <x:c r="H167" t="str">
        <x:f>Plan_Raw!AH167</x:f>
        <x:v>1064|SFMTA|2025-07-01</x:v>
      </x:c>
      <x:c r="I167" t="n">
        <x:f>COUNTIF(Rates_Raw!$AF$5:$AF$464,H167)</x:f>
        <x:v>1</x:v>
      </x:c>
      <x:c r="J167" t="str">
        <x:f>IF(I167=1,_xlfn.XLOOKUP(H167,Rates_Raw!$AF$5:$AF$464,Rates_Raw!$E$5:$E$464,""),"")</x:f>
        <x:v>IS Prg Analyst-Principal</x:v>
      </x:c>
      <x:c r="K167" t="n">
        <x:f>IF(I167=1,_xlfn.XLOOKUP(H167,Rates_Raw!$AF$5:$AF$464,Rates_Raw!$F$5:$F$464,""),"")</x:f>
        <x:v>21</x:v>
      </x:c>
      <x:c r="L167" s="50" t="n">
        <x:f>IF(I167=1,IFERROR(VALUE(SUBSTITUTE(_xlfn.XLOOKUP(H167,Rates_Raw!$AF$5:$AF$464,Rates_Raw!$L$5:$L$464,""),"$","")),""),"")</x:f>
        <x:v>68.9375</x:v>
      </x:c>
      <x:c r="M167" s="50" t="n">
        <x:f>IF(OR(G167="",L167=""),"",ROUND(G167-L167,4))</x:f>
        <x:v>0</x:v>
      </x:c>
      <x:c r="N167" t="str">
        <x:f>IF(I167=0,"NO MATCH",IF(I167&gt;1,"AMBIGUOUS",IF(EXACT(TRIM(E167),TRIM(J167)),"EXACT","TITLE VARIANT")))</x:f>
        <x:v>EXACT</x:v>
      </x:c>
      <x:c r="O167" t="str">
        <x:f>IF(I167&lt;&gt;1,"NOT TESTED",IF(OR(G167="",L167=""),"MISSING",IF(ABS(M167)&lt;=Guide!$B$16,"PASS","REVIEW")))</x:f>
        <x:v>PASS</x:v>
      </x:c>
      <x:c r="P167" s="52" t="n">
        <x:f>IF(I167=1,IFERROR(VALUE(SUBSTITUTE(SUBSTITUTE(_xlfn.XLOOKUP(H167,Rates_Raw!$AF$5:$AF$464,Rates_Raw!$I$5:$I$464,""),"$",""),",","")),""),"")</x:f>
        <x:v>5515</x:v>
      </x:c>
      <x:c r="Q167" s="52" t="n">
        <x:f>IF(P167="","",P167*Guide!$B$15)</x:f>
        <x:v>143390</x:v>
      </x:c>
      <x:c r="R167" t="str">
        <x:f>IF(I167=0,"UNMATCHED",IF(I167&gt;1,"DUPLICATE KEY",IF(OR(N167="TITLE VARIANT",O167="REVIEW",O167="MISSING"),"REVIEW","VERIFIED")))</x:f>
        <x:v>VERIFIED</x:v>
      </x:c>
      <x:c r="S167" s="46" t="str">
        <x:v>Not Reviewed</x:v>
      </x:c>
      <x:c r="T167" s="48"/>
    </x:row>
    <x:row r="168">
      <x:c r="A168" t="n">
        <x:f>Plan_Raw!A168</x:f>
        <x:v>879</x:v>
      </x:c>
      <x:c r="B168" t="str">
        <x:f>Plan_Raw!D168</x:f>
        <x:v>1064</x:v>
      </x:c>
      <x:c r="C168" t="str">
        <x:f>LEFT(Plan_Raw!B168,10)</x:f>
        <x:v>2026-01-03</x:v>
      </x:c>
      <x:c r="D168" t="str">
        <x:f>Plan_Raw!F168</x:f>
        <x:v>COMMN</x:v>
      </x:c>
      <x:c r="E168" t="str">
        <x:f>Plan_Raw!E168</x:f>
        <x:v>IS Prg Analyst-Principal</x:v>
      </x:c>
      <x:c r="F168" t="str">
        <x:f>Plan_Raw!C168</x:f>
        <x:v>1064C</x:v>
      </x:c>
      <x:c r="G168" s="50" t="n">
        <x:f>IF(Plan_Raw!G168="","",IFERROR(VALUE(Plan_Raw!G168),""))</x:f>
        <x:v>69.975</x:v>
      </x:c>
      <x:c r="H168" t="str">
        <x:f>Plan_Raw!AH168</x:f>
        <x:v>1064|COMMN|2026-01-03</x:v>
      </x:c>
      <x:c r="I168" t="n">
        <x:f>COUNTIF(Rates_Raw!$AF$5:$AF$464,H168)</x:f>
        <x:v>1</x:v>
      </x:c>
      <x:c r="J168" t="str">
        <x:f>IF(I168=1,_xlfn.XLOOKUP(H168,Rates_Raw!$AF$5:$AF$464,Rates_Raw!$E$5:$E$464,""),"")</x:f>
        <x:v>IS Prg Analyst-Principal</x:v>
      </x:c>
      <x:c r="K168" t="n">
        <x:f>IF(I168=1,_xlfn.XLOOKUP(H168,Rates_Raw!$AF$5:$AF$464,Rates_Raw!$F$5:$F$464,""),"")</x:f>
        <x:v>21</x:v>
      </x:c>
      <x:c r="L168" s="50" t="n">
        <x:f>IF(I168=1,IFERROR(VALUE(SUBSTITUTE(_xlfn.XLOOKUP(H168,Rates_Raw!$AF$5:$AF$464,Rates_Raw!$L$5:$L$464,""),"$","")),""),"")</x:f>
        <x:v>69.975</x:v>
      </x:c>
      <x:c r="M168" s="50" t="n">
        <x:f>IF(OR(G168="",L168=""),"",ROUND(G168-L168,4))</x:f>
        <x:v>0</x:v>
      </x:c>
      <x:c r="N168" t="str">
        <x:f>IF(I168=0,"NO MATCH",IF(I168&gt;1,"AMBIGUOUS",IF(EXACT(TRIM(E168),TRIM(J168)),"EXACT","TITLE VARIANT")))</x:f>
        <x:v>EXACT</x:v>
      </x:c>
      <x:c r="O168" t="str">
        <x:f>IF(I168&lt;&gt;1,"NOT TESTED",IF(OR(G168="",L168=""),"MISSING",IF(ABS(M168)&lt;=Guide!$B$16,"PASS","REVIEW")))</x:f>
        <x:v>PASS</x:v>
      </x:c>
      <x:c r="P168" s="52" t="n">
        <x:f>IF(I168=1,IFERROR(VALUE(SUBSTITUTE(SUBSTITUTE(_xlfn.XLOOKUP(H168,Rates_Raw!$AF$5:$AF$464,Rates_Raw!$I$5:$I$464,""),"$",""),",","")),""),"")</x:f>
        <x:v>5598</x:v>
      </x:c>
      <x:c r="Q168" s="52" t="n">
        <x:f>IF(P168="","",P168*Guide!$B$15)</x:f>
        <x:v>145548</x:v>
      </x:c>
      <x:c r="R168" t="str">
        <x:f>IF(I168=0,"UNMATCHED",IF(I168&gt;1,"DUPLICATE KEY",IF(OR(N168="TITLE VARIANT",O168="REVIEW",O168="MISSING"),"REVIEW","VERIFIED")))</x:f>
        <x:v>VERIFIED</x:v>
      </x:c>
      <x:c r="S168" s="46" t="str">
        <x:v>Not Reviewed</x:v>
      </x:c>
      <x:c r="T168" s="48"/>
    </x:row>
    <x:row r="169">
      <x:c r="A169" t="n">
        <x:f>Plan_Raw!A169</x:f>
        <x:v>891</x:v>
      </x:c>
      <x:c r="B169" t="str">
        <x:f>Plan_Raw!D169</x:f>
        <x:v>1064</x:v>
      </x:c>
      <x:c r="C169" t="str">
        <x:f>LEFT(Plan_Raw!B169,10)</x:f>
        <x:v>2026-01-03</x:v>
      </x:c>
      <x:c r="D169" t="str">
        <x:f>Plan_Raw!F169</x:f>
        <x:v>SFMTA</x:v>
      </x:c>
      <x:c r="E169" t="str">
        <x:f>Plan_Raw!E169</x:f>
        <x:v>IS Prg Analyst-Principal</x:v>
      </x:c>
      <x:c r="F169" t="str">
        <x:f>Plan_Raw!C169</x:f>
        <x:v>1064C</x:v>
      </x:c>
      <x:c r="G169" s="50" t="n">
        <x:f>IF(Plan_Raw!G169="","",IFERROR(VALUE(Plan_Raw!G169),""))</x:f>
        <x:v>69.975</x:v>
      </x:c>
      <x:c r="H169" t="str">
        <x:f>Plan_Raw!AH169</x:f>
        <x:v>1064|SFMTA|2026-01-03</x:v>
      </x:c>
      <x:c r="I169" t="n">
        <x:f>COUNTIF(Rates_Raw!$AF$5:$AF$464,H169)</x:f>
        <x:v>1</x:v>
      </x:c>
      <x:c r="J169" t="str">
        <x:f>IF(I169=1,_xlfn.XLOOKUP(H169,Rates_Raw!$AF$5:$AF$464,Rates_Raw!$E$5:$E$464,""),"")</x:f>
        <x:v>IS Prg Analyst-Principal</x:v>
      </x:c>
      <x:c r="K169" t="n">
        <x:f>IF(I169=1,_xlfn.XLOOKUP(H169,Rates_Raw!$AF$5:$AF$464,Rates_Raw!$F$5:$F$464,""),"")</x:f>
        <x:v>21</x:v>
      </x:c>
      <x:c r="L169" s="50" t="n">
        <x:f>IF(I169=1,IFERROR(VALUE(SUBSTITUTE(_xlfn.XLOOKUP(H169,Rates_Raw!$AF$5:$AF$464,Rates_Raw!$L$5:$L$464,""),"$","")),""),"")</x:f>
        <x:v>69.975</x:v>
      </x:c>
      <x:c r="M169" s="50" t="n">
        <x:f>IF(OR(G169="",L169=""),"",ROUND(G169-L169,4))</x:f>
        <x:v>0</x:v>
      </x:c>
      <x:c r="N169" t="str">
        <x:f>IF(I169=0,"NO MATCH",IF(I169&gt;1,"AMBIGUOUS",IF(EXACT(TRIM(E169),TRIM(J169)),"EXACT","TITLE VARIANT")))</x:f>
        <x:v>EXACT</x:v>
      </x:c>
      <x:c r="O169" t="str">
        <x:f>IF(I169&lt;&gt;1,"NOT TESTED",IF(OR(G169="",L169=""),"MISSING",IF(ABS(M169)&lt;=Guide!$B$16,"PASS","REVIEW")))</x:f>
        <x:v>PASS</x:v>
      </x:c>
      <x:c r="P169" s="52" t="n">
        <x:f>IF(I169=1,IFERROR(VALUE(SUBSTITUTE(SUBSTITUTE(_xlfn.XLOOKUP(H169,Rates_Raw!$AF$5:$AF$464,Rates_Raw!$I$5:$I$464,""),"$",""),",","")),""),"")</x:f>
        <x:v>5598</x:v>
      </x:c>
      <x:c r="Q169" s="52" t="n">
        <x:f>IF(P169="","",P169*Guide!$B$15)</x:f>
        <x:v>145548</x:v>
      </x:c>
      <x:c r="R169" t="str">
        <x:f>IF(I169=0,"UNMATCHED",IF(I169&gt;1,"DUPLICATE KEY",IF(OR(N169="TITLE VARIANT",O169="REVIEW",O169="MISSING"),"REVIEW","VERIFIED")))</x:f>
        <x:v>VERIFIED</x:v>
      </x:c>
      <x:c r="S169" s="46" t="str">
        <x:v>Not Reviewed</x:v>
      </x:c>
      <x:c r="T169" s="48"/>
    </x:row>
    <x:row r="170">
      <x:c r="A170" t="n">
        <x:f>Plan_Raw!A170</x:f>
        <x:v>880</x:v>
      </x:c>
      <x:c r="B170" t="str">
        <x:f>Plan_Raw!D170</x:f>
        <x:v>1064</x:v>
      </x:c>
      <x:c r="C170" t="str">
        <x:f>LEFT(Plan_Raw!B170,10)</x:f>
        <x:v>2026-07-01</x:v>
      </x:c>
      <x:c r="D170" t="str">
        <x:f>Plan_Raw!F170</x:f>
        <x:v>COMMN</x:v>
      </x:c>
      <x:c r="E170" t="str">
        <x:f>Plan_Raw!E170</x:f>
        <x:v>IS Prg Analyst-Principal</x:v>
      </x:c>
      <x:c r="F170" t="str">
        <x:f>Plan_Raw!C170</x:f>
        <x:v>1064D</x:v>
      </x:c>
      <x:c r="G170" s="50" t="n">
        <x:f>IF(Plan_Raw!G170="","",IFERROR(VALUE(Plan_Raw!G170),""))</x:f>
        <x:v>71.375</x:v>
      </x:c>
      <x:c r="H170" t="str">
        <x:f>Plan_Raw!AH170</x:f>
        <x:v>1064|COMMN|2026-07-01</x:v>
      </x:c>
      <x:c r="I170" t="n">
        <x:f>COUNTIF(Rates_Raw!$AF$5:$AF$464,H170)</x:f>
        <x:v>0</x:v>
      </x:c>
      <x:c r="J170" t="str">
        <x:f>IF(I170=1,_xlfn.XLOOKUP(H170,Rates_Raw!$AF$5:$AF$464,Rates_Raw!$E$5:$E$464,""),"")</x:f>
      </x:c>
      <x:c r="K170" t="str">
        <x:f>IF(I170=1,_xlfn.XLOOKUP(H170,Rates_Raw!$AF$5:$AF$464,Rates_Raw!$F$5:$F$464,""),"")</x:f>
      </x:c>
      <x:c r="L170" s="50" t="str">
        <x:f>IF(I170=1,IFERROR(VALUE(SUBSTITUTE(_xlfn.XLOOKUP(H170,Rates_Raw!$AF$5:$AF$464,Rates_Raw!$L$5:$L$464,""),"$","")),""),"")</x:f>
      </x:c>
      <x:c r="M170" s="50" t="str">
        <x:f>IF(OR(G170="",L170=""),"",ROUND(G170-L170,4))</x:f>
      </x:c>
      <x:c r="N170" t="str">
        <x:f>IF(I170=0,"NO MATCH",IF(I170&gt;1,"AMBIGUOUS",IF(EXACT(TRIM(E170),TRIM(J170)),"EXACT","TITLE VARIANT")))</x:f>
        <x:v>NO MATCH</x:v>
      </x:c>
      <x:c r="O170" t="str">
        <x:f>IF(I170&lt;&gt;1,"NOT TESTED",IF(OR(G170="",L170=""),"MISSING",IF(ABS(M170)&lt;=Guide!$B$16,"PASS","REVIEW")))</x:f>
        <x:v>NOT TESTED</x:v>
      </x:c>
      <x:c r="P170" s="52" t="str">
        <x:f>IF(I170=1,IFERROR(VALUE(SUBSTITUTE(SUBSTITUTE(_xlfn.XLOOKUP(H170,Rates_Raw!$AF$5:$AF$464,Rates_Raw!$I$5:$I$464,""),"$",""),",","")),""),"")</x:f>
      </x:c>
      <x:c r="Q170" s="52" t="str">
        <x:f>IF(P170="","",P170*Guide!$B$15)</x:f>
      </x:c>
      <x:c r="R170" t="str">
        <x:f>IF(I170=0,"UNMATCHED",IF(I170&gt;1,"DUPLICATE KEY",IF(OR(N170="TITLE VARIANT",O170="REVIEW",O170="MISSING"),"REVIEW","VERIFIED")))</x:f>
        <x:v>UNMATCHED</x:v>
      </x:c>
      <x:c r="S170" s="46" t="str">
        <x:v>Not Reviewed</x:v>
      </x:c>
      <x:c r="T170" s="48"/>
    </x:row>
    <x:row r="171">
      <x:c r="A171" t="n">
        <x:f>Plan_Raw!A171</x:f>
        <x:v>892</x:v>
      </x:c>
      <x:c r="B171" t="str">
        <x:f>Plan_Raw!D171</x:f>
        <x:v>1064</x:v>
      </x:c>
      <x:c r="C171" t="str">
        <x:f>LEFT(Plan_Raw!B171,10)</x:f>
        <x:v>2026-07-01</x:v>
      </x:c>
      <x:c r="D171" t="str">
        <x:f>Plan_Raw!F171</x:f>
        <x:v>SFMTA</x:v>
      </x:c>
      <x:c r="E171" t="str">
        <x:f>Plan_Raw!E171</x:f>
        <x:v>IS Prg Analyst-Principal</x:v>
      </x:c>
      <x:c r="F171" t="str">
        <x:f>Plan_Raw!C171</x:f>
        <x:v>1064D</x:v>
      </x:c>
      <x:c r="G171" s="50" t="n">
        <x:f>IF(Plan_Raw!G171="","",IFERROR(VALUE(Plan_Raw!G171),""))</x:f>
        <x:v>71.375</x:v>
      </x:c>
      <x:c r="H171" t="str">
        <x:f>Plan_Raw!AH171</x:f>
        <x:v>1064|SFMTA|2026-07-01</x:v>
      </x:c>
      <x:c r="I171" t="n">
        <x:f>COUNTIF(Rates_Raw!$AF$5:$AF$464,H171)</x:f>
        <x:v>0</x:v>
      </x:c>
      <x:c r="J171" t="str">
        <x:f>IF(I171=1,_xlfn.XLOOKUP(H171,Rates_Raw!$AF$5:$AF$464,Rates_Raw!$E$5:$E$464,""),"")</x:f>
      </x:c>
      <x:c r="K171" t="str">
        <x:f>IF(I171=1,_xlfn.XLOOKUP(H171,Rates_Raw!$AF$5:$AF$464,Rates_Raw!$F$5:$F$464,""),"")</x:f>
      </x:c>
      <x:c r="L171" s="50" t="str">
        <x:f>IF(I171=1,IFERROR(VALUE(SUBSTITUTE(_xlfn.XLOOKUP(H171,Rates_Raw!$AF$5:$AF$464,Rates_Raw!$L$5:$L$464,""),"$","")),""),"")</x:f>
      </x:c>
      <x:c r="M171" s="50" t="str">
        <x:f>IF(OR(G171="",L171=""),"",ROUND(G171-L171,4))</x:f>
      </x:c>
      <x:c r="N171" t="str">
        <x:f>IF(I171=0,"NO MATCH",IF(I171&gt;1,"AMBIGUOUS",IF(EXACT(TRIM(E171),TRIM(J171)),"EXACT","TITLE VARIANT")))</x:f>
        <x:v>NO MATCH</x:v>
      </x:c>
      <x:c r="O171" t="str">
        <x:f>IF(I171&lt;&gt;1,"NOT TESTED",IF(OR(G171="",L171=""),"MISSING",IF(ABS(M171)&lt;=Guide!$B$16,"PASS","REVIEW")))</x:f>
        <x:v>NOT TESTED</x:v>
      </x:c>
      <x:c r="P171" s="52" t="str">
        <x:f>IF(I171=1,IFERROR(VALUE(SUBSTITUTE(SUBSTITUTE(_xlfn.XLOOKUP(H171,Rates_Raw!$AF$5:$AF$464,Rates_Raw!$I$5:$I$464,""),"$",""),",","")),""),"")</x:f>
      </x:c>
      <x:c r="Q171" s="52" t="str">
        <x:f>IF(P171="","",P171*Guide!$B$15)</x:f>
      </x:c>
      <x:c r="R171" t="str">
        <x:f>IF(I171=0,"UNMATCHED",IF(I171&gt;1,"DUPLICATE KEY",IF(OR(N171="TITLE VARIANT",O171="REVIEW",O171="MISSING"),"REVIEW","VERIFIED")))</x:f>
        <x:v>UNMATCHED</x:v>
      </x:c>
      <x:c r="S171" s="46" t="str">
        <x:v>Not Reviewed</x:v>
      </x:c>
      <x:c r="T171" s="48"/>
    </x:row>
    <x:row r="172">
      <x:c r="A172" t="n">
        <x:f>Plan_Raw!A172</x:f>
        <x:v>941</x:v>
      </x:c>
      <x:c r="B172" t="str">
        <x:f>Plan_Raw!D172</x:f>
        <x:v>1090</x:v>
      </x:c>
      <x:c r="C172" t="str">
        <x:f>LEFT(Plan_Raw!B172,10)</x:f>
        <x:v>2023-07-01</x:v>
      </x:c>
      <x:c r="D172" t="str">
        <x:f>Plan_Raw!F172</x:f>
        <x:v>COMMN</x:v>
      </x:c>
      <x:c r="E172" t="str">
        <x:f>Plan_Raw!E172</x:f>
        <x:v>IT Operations Support Apprentice</x:v>
      </x:c>
      <x:c r="F172" t="str">
        <x:f>Plan_Raw!C172</x:f>
        <x:v>1090X</x:v>
      </x:c>
      <x:c r="G172" s="50" t="n">
        <x:f>IF(Plan_Raw!G172="","",IFERROR(VALUE(Plan_Raw!G172),""))</x:f>
        <x:v>29.55</x:v>
      </x:c>
      <x:c r="H172" t="str">
        <x:f>Plan_Raw!AH172</x:f>
        <x:v>1090|COMMN|2023-07-01</x:v>
      </x:c>
      <x:c r="I172" t="n">
        <x:f>COUNTIF(Rates_Raw!$AF$5:$AF$464,H172)</x:f>
        <x:v>1</x:v>
      </x:c>
      <x:c r="J172" t="str">
        <x:f>IF(I172=1,_xlfn.XLOOKUP(H172,Rates_Raw!$AF$5:$AF$464,Rates_Raw!$E$5:$E$464,""),"")</x:f>
        <x:v>IT Operations Support Apprentice</x:v>
      </x:c>
      <x:c r="K172" t="n">
        <x:f>IF(I172=1,_xlfn.XLOOKUP(H172,Rates_Raw!$AF$5:$AF$464,Rates_Raw!$F$5:$F$464,""),"")</x:f>
        <x:v>21</x:v>
      </x:c>
      <x:c r="L172" s="50" t="n">
        <x:f>IF(I172=1,IFERROR(VALUE(SUBSTITUTE(_xlfn.XLOOKUP(H172,Rates_Raw!$AF$5:$AF$464,Rates_Raw!$L$5:$L$464,""),"$","")),""),"")</x:f>
        <x:v>29.55</x:v>
      </x:c>
      <x:c r="M172" s="50" t="n">
        <x:f>IF(OR(G172="",L172=""),"",ROUND(G172-L172,4))</x:f>
        <x:v>0</x:v>
      </x:c>
      <x:c r="N172" t="str">
        <x:f>IF(I172=0,"NO MATCH",IF(I172&gt;1,"AMBIGUOUS",IF(EXACT(TRIM(E172),TRIM(J172)),"EXACT","TITLE VARIANT")))</x:f>
        <x:v>EXACT</x:v>
      </x:c>
      <x:c r="O172" t="str">
        <x:f>IF(I172&lt;&gt;1,"NOT TESTED",IF(OR(G172="",L172=""),"MISSING",IF(ABS(M172)&lt;=Guide!$B$16,"PASS","REVIEW")))</x:f>
        <x:v>PASS</x:v>
      </x:c>
      <x:c r="P172" s="52" t="n">
        <x:f>IF(I172=1,IFERROR(VALUE(SUBSTITUTE(SUBSTITUTE(_xlfn.XLOOKUP(H172,Rates_Raw!$AF$5:$AF$464,Rates_Raw!$I$5:$I$464,""),"$",""),",","")),""),"")</x:f>
        <x:v>2364</x:v>
      </x:c>
      <x:c r="Q172" s="52" t="n">
        <x:f>IF(P172="","",P172*Guide!$B$15)</x:f>
        <x:v>61464</x:v>
      </x:c>
      <x:c r="R172" t="str">
        <x:f>IF(I172=0,"UNMATCHED",IF(I172&gt;1,"DUPLICATE KEY",IF(OR(N172="TITLE VARIANT",O172="REVIEW",O172="MISSING"),"REVIEW","VERIFIED")))</x:f>
        <x:v>VERIFIED</x:v>
      </x:c>
      <x:c r="S172" s="46" t="str">
        <x:v>Not Reviewed</x:v>
      </x:c>
      <x:c r="T172" s="48"/>
    </x:row>
    <x:row r="173">
      <x:c r="A173" t="n">
        <x:f>Plan_Raw!A173</x:f>
        <x:v>942</x:v>
      </x:c>
      <x:c r="B173" t="str">
        <x:f>Plan_Raw!D173</x:f>
        <x:v>1090</x:v>
      </x:c>
      <x:c r="C173" t="str">
        <x:f>LEFT(Plan_Raw!B173,10)</x:f>
        <x:v>2024-01-06</x:v>
      </x:c>
      <x:c r="D173" t="str">
        <x:f>Plan_Raw!F173</x:f>
        <x:v>COMMN</x:v>
      </x:c>
      <x:c r="E173" t="str">
        <x:f>Plan_Raw!E173</x:f>
        <x:v>IT Operations Support Apprentice</x:v>
      </x:c>
      <x:c r="F173" t="str">
        <x:f>Plan_Raw!C173</x:f>
        <x:v>1090Y</x:v>
      </x:c>
      <x:c r="G173" s="50" t="n">
        <x:f>IF(Plan_Raw!G173="","",IFERROR(VALUE(Plan_Raw!G173),""))</x:f>
        <x:v>30.2125</x:v>
      </x:c>
      <x:c r="H173" t="str">
        <x:f>Plan_Raw!AH173</x:f>
        <x:v>1090|COMMN|2024-01-06</x:v>
      </x:c>
      <x:c r="I173" t="n">
        <x:f>COUNTIF(Rates_Raw!$AF$5:$AF$464,H173)</x:f>
        <x:v>1</x:v>
      </x:c>
      <x:c r="J173" t="str">
        <x:f>IF(I173=1,_xlfn.XLOOKUP(H173,Rates_Raw!$AF$5:$AF$464,Rates_Raw!$E$5:$E$464,""),"")</x:f>
        <x:v>IT Operations Support Apprentice</x:v>
      </x:c>
      <x:c r="K173" t="n">
        <x:f>IF(I173=1,_xlfn.XLOOKUP(H173,Rates_Raw!$AF$5:$AF$464,Rates_Raw!$F$5:$F$464,""),"")</x:f>
        <x:v>21</x:v>
      </x:c>
      <x:c r="L173" s="50" t="n">
        <x:f>IF(I173=1,IFERROR(VALUE(SUBSTITUTE(_xlfn.XLOOKUP(H173,Rates_Raw!$AF$5:$AF$464,Rates_Raw!$L$5:$L$464,""),"$","")),""),"")</x:f>
        <x:v>30.2125</x:v>
      </x:c>
      <x:c r="M173" s="50" t="n">
        <x:f>IF(OR(G173="",L173=""),"",ROUND(G173-L173,4))</x:f>
        <x:v>0</x:v>
      </x:c>
      <x:c r="N173" t="str">
        <x:f>IF(I173=0,"NO MATCH",IF(I173&gt;1,"AMBIGUOUS",IF(EXACT(TRIM(E173),TRIM(J173)),"EXACT","TITLE VARIANT")))</x:f>
        <x:v>EXACT</x:v>
      </x:c>
      <x:c r="O173" t="str">
        <x:f>IF(I173&lt;&gt;1,"NOT TESTED",IF(OR(G173="",L173=""),"MISSING",IF(ABS(M173)&lt;=Guide!$B$16,"PASS","REVIEW")))</x:f>
        <x:v>PASS</x:v>
      </x:c>
      <x:c r="P173" s="52" t="n">
        <x:f>IF(I173=1,IFERROR(VALUE(SUBSTITUTE(SUBSTITUTE(_xlfn.XLOOKUP(H173,Rates_Raw!$AF$5:$AF$464,Rates_Raw!$I$5:$I$464,""),"$",""),",","")),""),"")</x:f>
        <x:v>2417</x:v>
      </x:c>
      <x:c r="Q173" s="52" t="n">
        <x:f>IF(P173="","",P173*Guide!$B$15)</x:f>
        <x:v>62842</x:v>
      </x:c>
      <x:c r="R173" t="str">
        <x:f>IF(I173=0,"UNMATCHED",IF(I173&gt;1,"DUPLICATE KEY",IF(OR(N173="TITLE VARIANT",O173="REVIEW",O173="MISSING"),"REVIEW","VERIFIED")))</x:f>
        <x:v>VERIFIED</x:v>
      </x:c>
      <x:c r="S173" s="46" t="str">
        <x:v>Not Reviewed</x:v>
      </x:c>
      <x:c r="T173" s="48"/>
    </x:row>
    <x:row r="174">
      <x:c r="A174" t="n">
        <x:f>Plan_Raw!A174</x:f>
        <x:v>949</x:v>
      </x:c>
      <x:c r="B174" t="str">
        <x:f>Plan_Raw!D174</x:f>
        <x:v>1090</x:v>
      </x:c>
      <x:c r="C174" t="str">
        <x:f>LEFT(Plan_Raw!B174,10)</x:f>
        <x:v>2024-01-06</x:v>
      </x:c>
      <x:c r="D174" t="str">
        <x:f>Plan_Raw!F174</x:f>
        <x:v>SFMTA</x:v>
      </x:c>
      <x:c r="E174" t="str">
        <x:f>Plan_Raw!E174</x:f>
        <x:v>IT Operations Support Apprentice</x:v>
      </x:c>
      <x:c r="F174" t="str">
        <x:f>Plan_Raw!C174</x:f>
        <x:v>1090Y</x:v>
      </x:c>
      <x:c r="G174" s="50" t="n">
        <x:f>IF(Plan_Raw!G174="","",IFERROR(VALUE(Plan_Raw!G174),""))</x:f>
        <x:v>30.2125</x:v>
      </x:c>
      <x:c r="H174" t="str">
        <x:f>Plan_Raw!AH174</x:f>
        <x:v>1090|SFMTA|2024-01-06</x:v>
      </x:c>
      <x:c r="I174" t="n">
        <x:f>COUNTIF(Rates_Raw!$AF$5:$AF$464,H174)</x:f>
        <x:v>1</x:v>
      </x:c>
      <x:c r="J174" t="str">
        <x:f>IF(I174=1,_xlfn.XLOOKUP(H174,Rates_Raw!$AF$5:$AF$464,Rates_Raw!$E$5:$E$464,""),"")</x:f>
        <x:v>IT Operations Support Apprentice</x:v>
      </x:c>
      <x:c r="K174" t="n">
        <x:f>IF(I174=1,_xlfn.XLOOKUP(H174,Rates_Raw!$AF$5:$AF$464,Rates_Raw!$F$5:$F$464,""),"")</x:f>
        <x:v>21</x:v>
      </x:c>
      <x:c r="L174" s="50" t="n">
        <x:f>IF(I174=1,IFERROR(VALUE(SUBSTITUTE(_xlfn.XLOOKUP(H174,Rates_Raw!$AF$5:$AF$464,Rates_Raw!$L$5:$L$464,""),"$","")),""),"")</x:f>
        <x:v>30.2125</x:v>
      </x:c>
      <x:c r="M174" s="50" t="n">
        <x:f>IF(OR(G174="",L174=""),"",ROUND(G174-L174,4))</x:f>
        <x:v>0</x:v>
      </x:c>
      <x:c r="N174" t="str">
        <x:f>IF(I174=0,"NO MATCH",IF(I174&gt;1,"AMBIGUOUS",IF(EXACT(TRIM(E174),TRIM(J174)),"EXACT","TITLE VARIANT")))</x:f>
        <x:v>EXACT</x:v>
      </x:c>
      <x:c r="O174" t="str">
        <x:f>IF(I174&lt;&gt;1,"NOT TESTED",IF(OR(G174="",L174=""),"MISSING",IF(ABS(M174)&lt;=Guide!$B$16,"PASS","REVIEW")))</x:f>
        <x:v>PASS</x:v>
      </x:c>
      <x:c r="P174" s="52" t="n">
        <x:f>IF(I174=1,IFERROR(VALUE(SUBSTITUTE(SUBSTITUTE(_xlfn.XLOOKUP(H174,Rates_Raw!$AF$5:$AF$464,Rates_Raw!$I$5:$I$464,""),"$",""),",","")),""),"")</x:f>
        <x:v>2417</x:v>
      </x:c>
      <x:c r="Q174" s="52" t="n">
        <x:f>IF(P174="","",P174*Guide!$B$15)</x:f>
        <x:v>62842</x:v>
      </x:c>
      <x:c r="R174" t="str">
        <x:f>IF(I174=0,"UNMATCHED",IF(I174&gt;1,"DUPLICATE KEY",IF(OR(N174="TITLE VARIANT",O174="REVIEW",O174="MISSING"),"REVIEW","VERIFIED")))</x:f>
        <x:v>VERIFIED</x:v>
      </x:c>
      <x:c r="S174" s="46" t="str">
        <x:v>Not Reviewed</x:v>
      </x:c>
      <x:c r="T174" s="48"/>
    </x:row>
    <x:row r="175">
      <x:c r="A175" t="n">
        <x:f>Plan_Raw!A175</x:f>
        <x:v>943</x:v>
      </x:c>
      <x:c r="B175" t="str">
        <x:f>Plan_Raw!D175</x:f>
        <x:v>1090</x:v>
      </x:c>
      <x:c r="C175" t="str">
        <x:f>LEFT(Plan_Raw!B175,10)</x:f>
        <x:v>2024-07-01</x:v>
      </x:c>
      <x:c r="D175" t="str">
        <x:f>Plan_Raw!F175</x:f>
        <x:v>COMMN</x:v>
      </x:c>
      <x:c r="E175" t="str">
        <x:f>Plan_Raw!E175</x:f>
        <x:v>IT Operations Support Apprentice</x:v>
      </x:c>
      <x:c r="F175" t="str">
        <x:f>Plan_Raw!C175</x:f>
        <x:v>1090Z</x:v>
      </x:c>
      <x:c r="G175" s="50" t="n">
        <x:f>IF(Plan_Raw!G175="","",IFERROR(VALUE(Plan_Raw!G175),""))</x:f>
        <x:v>30.6625</x:v>
      </x:c>
      <x:c r="H175" t="str">
        <x:f>Plan_Raw!AH175</x:f>
        <x:v>1090|COMMN|2024-07-01</x:v>
      </x:c>
      <x:c r="I175" t="n">
        <x:f>COUNTIF(Rates_Raw!$AF$5:$AF$464,H175)</x:f>
        <x:v>1</x:v>
      </x:c>
      <x:c r="J175" t="str">
        <x:f>IF(I175=1,_xlfn.XLOOKUP(H175,Rates_Raw!$AF$5:$AF$464,Rates_Raw!$E$5:$E$464,""),"")</x:f>
        <x:v>IT Operations Support Apprentice</x:v>
      </x:c>
      <x:c r="K175" t="n">
        <x:f>IF(I175=1,_xlfn.XLOOKUP(H175,Rates_Raw!$AF$5:$AF$464,Rates_Raw!$F$5:$F$464,""),"")</x:f>
        <x:v>21</x:v>
      </x:c>
      <x:c r="L175" s="50" t="n">
        <x:f>IF(I175=1,IFERROR(VALUE(SUBSTITUTE(_xlfn.XLOOKUP(H175,Rates_Raw!$AF$5:$AF$464,Rates_Raw!$L$5:$L$464,""),"$","")),""),"")</x:f>
        <x:v>30.6625</x:v>
      </x:c>
      <x:c r="M175" s="50" t="n">
        <x:f>IF(OR(G175="",L175=""),"",ROUND(G175-L175,4))</x:f>
        <x:v>0</x:v>
      </x:c>
      <x:c r="N175" t="str">
        <x:f>IF(I175=0,"NO MATCH",IF(I175&gt;1,"AMBIGUOUS",IF(EXACT(TRIM(E175),TRIM(J175)),"EXACT","TITLE VARIANT")))</x:f>
        <x:v>EXACT</x:v>
      </x:c>
      <x:c r="O175" t="str">
        <x:f>IF(I175&lt;&gt;1,"NOT TESTED",IF(OR(G175="",L175=""),"MISSING",IF(ABS(M175)&lt;=Guide!$B$16,"PASS","REVIEW")))</x:f>
        <x:v>PASS</x:v>
      </x:c>
      <x:c r="P175" s="52" t="n">
        <x:f>IF(I175=1,IFERROR(VALUE(SUBSTITUTE(SUBSTITUTE(_xlfn.XLOOKUP(H175,Rates_Raw!$AF$5:$AF$464,Rates_Raw!$I$5:$I$464,""),"$",""),",","")),""),"")</x:f>
        <x:v>2453</x:v>
      </x:c>
      <x:c r="Q175" s="52" t="n">
        <x:f>IF(P175="","",P175*Guide!$B$15)</x:f>
        <x:v>63778</x:v>
      </x:c>
      <x:c r="R175" t="str">
        <x:f>IF(I175=0,"UNMATCHED",IF(I175&gt;1,"DUPLICATE KEY",IF(OR(N175="TITLE VARIANT",O175="REVIEW",O175="MISSING"),"REVIEW","VERIFIED")))</x:f>
        <x:v>VERIFIED</x:v>
      </x:c>
      <x:c r="S175" s="46" t="str">
        <x:v>Not Reviewed</x:v>
      </x:c>
      <x:c r="T175" s="48"/>
    </x:row>
    <x:row r="176">
      <x:c r="A176" t="n">
        <x:f>Plan_Raw!A176</x:f>
        <x:v>950</x:v>
      </x:c>
      <x:c r="B176" t="str">
        <x:f>Plan_Raw!D176</x:f>
        <x:v>1090</x:v>
      </x:c>
      <x:c r="C176" t="str">
        <x:f>LEFT(Plan_Raw!B176,10)</x:f>
        <x:v>2024-07-01</x:v>
      </x:c>
      <x:c r="D176" t="str">
        <x:f>Plan_Raw!F176</x:f>
        <x:v>SFMTA</x:v>
      </x:c>
      <x:c r="E176" t="str">
        <x:f>Plan_Raw!E176</x:f>
        <x:v>IT Operations Support Apprentice</x:v>
      </x:c>
      <x:c r="F176" t="str">
        <x:f>Plan_Raw!C176</x:f>
        <x:v>1090Z</x:v>
      </x:c>
      <x:c r="G176" s="50" t="n">
        <x:f>IF(Plan_Raw!G176="","",IFERROR(VALUE(Plan_Raw!G176),""))</x:f>
        <x:v>30.6625</x:v>
      </x:c>
      <x:c r="H176" t="str">
        <x:f>Plan_Raw!AH176</x:f>
        <x:v>1090|SFMTA|2024-07-01</x:v>
      </x:c>
      <x:c r="I176" t="n">
        <x:f>COUNTIF(Rates_Raw!$AF$5:$AF$464,H176)</x:f>
        <x:v>1</x:v>
      </x:c>
      <x:c r="J176" t="str">
        <x:f>IF(I176=1,_xlfn.XLOOKUP(H176,Rates_Raw!$AF$5:$AF$464,Rates_Raw!$E$5:$E$464,""),"")</x:f>
        <x:v>IT Operations Support Apprentice</x:v>
      </x:c>
      <x:c r="K176" t="n">
        <x:f>IF(I176=1,_xlfn.XLOOKUP(H176,Rates_Raw!$AF$5:$AF$464,Rates_Raw!$F$5:$F$464,""),"")</x:f>
        <x:v>21</x:v>
      </x:c>
      <x:c r="L176" s="50" t="n">
        <x:f>IF(I176=1,IFERROR(VALUE(SUBSTITUTE(_xlfn.XLOOKUP(H176,Rates_Raw!$AF$5:$AF$464,Rates_Raw!$L$5:$L$464,""),"$","")),""),"")</x:f>
        <x:v>30.6625</x:v>
      </x:c>
      <x:c r="M176" s="50" t="n">
        <x:f>IF(OR(G176="",L176=""),"",ROUND(G176-L176,4))</x:f>
        <x:v>0</x:v>
      </x:c>
      <x:c r="N176" t="str">
        <x:f>IF(I176=0,"NO MATCH",IF(I176&gt;1,"AMBIGUOUS",IF(EXACT(TRIM(E176),TRIM(J176)),"EXACT","TITLE VARIANT")))</x:f>
        <x:v>EXACT</x:v>
      </x:c>
      <x:c r="O176" t="str">
        <x:f>IF(I176&lt;&gt;1,"NOT TESTED",IF(OR(G176="",L176=""),"MISSING",IF(ABS(M176)&lt;=Guide!$B$16,"PASS","REVIEW")))</x:f>
        <x:v>PASS</x:v>
      </x:c>
      <x:c r="P176" s="52" t="n">
        <x:f>IF(I176=1,IFERROR(VALUE(SUBSTITUTE(SUBSTITUTE(_xlfn.XLOOKUP(H176,Rates_Raw!$AF$5:$AF$464,Rates_Raw!$I$5:$I$464,""),"$",""),",","")),""),"")</x:f>
        <x:v>2453</x:v>
      </x:c>
      <x:c r="Q176" s="52" t="n">
        <x:f>IF(P176="","",P176*Guide!$B$15)</x:f>
        <x:v>63778</x:v>
      </x:c>
      <x:c r="R176" t="str">
        <x:f>IF(I176=0,"UNMATCHED",IF(I176&gt;1,"DUPLICATE KEY",IF(OR(N176="TITLE VARIANT",O176="REVIEW",O176="MISSING"),"REVIEW","VERIFIED")))</x:f>
        <x:v>VERIFIED</x:v>
      </x:c>
      <x:c r="S176" s="46" t="str">
        <x:v>Not Reviewed</x:v>
      </x:c>
      <x:c r="T176" s="48"/>
    </x:row>
    <x:row r="177">
      <x:c r="A177" t="n">
        <x:f>Plan_Raw!A177</x:f>
        <x:v>944</x:v>
      </x:c>
      <x:c r="B177" t="str">
        <x:f>Plan_Raw!D177</x:f>
        <x:v>1090</x:v>
      </x:c>
      <x:c r="C177" t="str">
        <x:f>LEFT(Plan_Raw!B177,10)</x:f>
        <x:v>2025-01-04</x:v>
      </x:c>
      <x:c r="D177" t="str">
        <x:f>Plan_Raw!F177</x:f>
        <x:v>COMMN</x:v>
      </x:c>
      <x:c r="E177" t="str">
        <x:f>Plan_Raw!E177</x:f>
        <x:v>IT Operations Support Apprentice</x:v>
      </x:c>
      <x:c r="F177" t="str">
        <x:f>Plan_Raw!C177</x:f>
        <x:v>1090A</x:v>
      </x:c>
      <x:c r="G177" s="50" t="n">
        <x:f>IF(Plan_Raw!G177="","",IFERROR(VALUE(Plan_Raw!G177),""))</x:f>
        <x:v>31.125</x:v>
      </x:c>
      <x:c r="H177" t="str">
        <x:f>Plan_Raw!AH177</x:f>
        <x:v>1090|COMMN|2025-01-04</x:v>
      </x:c>
      <x:c r="I177" t="n">
        <x:f>COUNTIF(Rates_Raw!$AF$5:$AF$464,H177)</x:f>
        <x:v>1</x:v>
      </x:c>
      <x:c r="J177" t="str">
        <x:f>IF(I177=1,_xlfn.XLOOKUP(H177,Rates_Raw!$AF$5:$AF$464,Rates_Raw!$E$5:$E$464,""),"")</x:f>
        <x:v>IT Operations Support Apprentice</x:v>
      </x:c>
      <x:c r="K177" t="n">
        <x:f>IF(I177=1,_xlfn.XLOOKUP(H177,Rates_Raw!$AF$5:$AF$464,Rates_Raw!$F$5:$F$464,""),"")</x:f>
        <x:v>21</x:v>
      </x:c>
      <x:c r="L177" s="50" t="n">
        <x:f>IF(I177=1,IFERROR(VALUE(SUBSTITUTE(_xlfn.XLOOKUP(H177,Rates_Raw!$AF$5:$AF$464,Rates_Raw!$L$5:$L$464,""),"$","")),""),"")</x:f>
        <x:v>31.125</x:v>
      </x:c>
      <x:c r="M177" s="50" t="n">
        <x:f>IF(OR(G177="",L177=""),"",ROUND(G177-L177,4))</x:f>
        <x:v>0</x:v>
      </x:c>
      <x:c r="N177" t="str">
        <x:f>IF(I177=0,"NO MATCH",IF(I177&gt;1,"AMBIGUOUS",IF(EXACT(TRIM(E177),TRIM(J177)),"EXACT","TITLE VARIANT")))</x:f>
        <x:v>EXACT</x:v>
      </x:c>
      <x:c r="O177" t="str">
        <x:f>IF(I177&lt;&gt;1,"NOT TESTED",IF(OR(G177="",L177=""),"MISSING",IF(ABS(M177)&lt;=Guide!$B$16,"PASS","REVIEW")))</x:f>
        <x:v>PASS</x:v>
      </x:c>
      <x:c r="P177" s="52" t="n">
        <x:f>IF(I177=1,IFERROR(VALUE(SUBSTITUTE(SUBSTITUTE(_xlfn.XLOOKUP(H177,Rates_Raw!$AF$5:$AF$464,Rates_Raw!$I$5:$I$464,""),"$",""),",","")),""),"")</x:f>
        <x:v>2490</x:v>
      </x:c>
      <x:c r="Q177" s="52" t="n">
        <x:f>IF(P177="","",P177*Guide!$B$15)</x:f>
        <x:v>64740</x:v>
      </x:c>
      <x:c r="R177" t="str">
        <x:f>IF(I177=0,"UNMATCHED",IF(I177&gt;1,"DUPLICATE KEY",IF(OR(N177="TITLE VARIANT",O177="REVIEW",O177="MISSING"),"REVIEW","VERIFIED")))</x:f>
        <x:v>VERIFIED</x:v>
      </x:c>
      <x:c r="S177" s="46" t="str">
        <x:v>Not Reviewed</x:v>
      </x:c>
      <x:c r="T177" s="48"/>
    </x:row>
    <x:row r="178">
      <x:c r="A178" t="n">
        <x:f>Plan_Raw!A178</x:f>
        <x:v>951</x:v>
      </x:c>
      <x:c r="B178" t="str">
        <x:f>Plan_Raw!D178</x:f>
        <x:v>1090</x:v>
      </x:c>
      <x:c r="C178" t="str">
        <x:f>LEFT(Plan_Raw!B178,10)</x:f>
        <x:v>2025-01-04</x:v>
      </x:c>
      <x:c r="D178" t="str">
        <x:f>Plan_Raw!F178</x:f>
        <x:v>SFMTA</x:v>
      </x:c>
      <x:c r="E178" t="str">
        <x:f>Plan_Raw!E178</x:f>
        <x:v>IT Operations Support Apprentice</x:v>
      </x:c>
      <x:c r="F178" t="str">
        <x:f>Plan_Raw!C178</x:f>
        <x:v>1090A</x:v>
      </x:c>
      <x:c r="G178" s="50" t="n">
        <x:f>IF(Plan_Raw!G178="","",IFERROR(VALUE(Plan_Raw!G178),""))</x:f>
        <x:v>31.125</x:v>
      </x:c>
      <x:c r="H178" t="str">
        <x:f>Plan_Raw!AH178</x:f>
        <x:v>1090|SFMTA|2025-01-04</x:v>
      </x:c>
      <x:c r="I178" t="n">
        <x:f>COUNTIF(Rates_Raw!$AF$5:$AF$464,H178)</x:f>
        <x:v>1</x:v>
      </x:c>
      <x:c r="J178" t="str">
        <x:f>IF(I178=1,_xlfn.XLOOKUP(H178,Rates_Raw!$AF$5:$AF$464,Rates_Raw!$E$5:$E$464,""),"")</x:f>
        <x:v>IT Operations Support Apprentice</x:v>
      </x:c>
      <x:c r="K178" t="n">
        <x:f>IF(I178=1,_xlfn.XLOOKUP(H178,Rates_Raw!$AF$5:$AF$464,Rates_Raw!$F$5:$F$464,""),"")</x:f>
        <x:v>21</x:v>
      </x:c>
      <x:c r="L178" s="50" t="n">
        <x:f>IF(I178=1,IFERROR(VALUE(SUBSTITUTE(_xlfn.XLOOKUP(H178,Rates_Raw!$AF$5:$AF$464,Rates_Raw!$L$5:$L$464,""),"$","")),""),"")</x:f>
        <x:v>31.125</x:v>
      </x:c>
      <x:c r="M178" s="50" t="n">
        <x:f>IF(OR(G178="",L178=""),"",ROUND(G178-L178,4))</x:f>
        <x:v>0</x:v>
      </x:c>
      <x:c r="N178" t="str">
        <x:f>IF(I178=0,"NO MATCH",IF(I178&gt;1,"AMBIGUOUS",IF(EXACT(TRIM(E178),TRIM(J178)),"EXACT","TITLE VARIANT")))</x:f>
        <x:v>EXACT</x:v>
      </x:c>
      <x:c r="O178" t="str">
        <x:f>IF(I178&lt;&gt;1,"NOT TESTED",IF(OR(G178="",L178=""),"MISSING",IF(ABS(M178)&lt;=Guide!$B$16,"PASS","REVIEW")))</x:f>
        <x:v>PASS</x:v>
      </x:c>
      <x:c r="P178" s="52" t="n">
        <x:f>IF(I178=1,IFERROR(VALUE(SUBSTITUTE(SUBSTITUTE(_xlfn.XLOOKUP(H178,Rates_Raw!$AF$5:$AF$464,Rates_Raw!$I$5:$I$464,""),"$",""),",","")),""),"")</x:f>
        <x:v>2490</x:v>
      </x:c>
      <x:c r="Q178" s="52" t="n">
        <x:f>IF(P178="","",P178*Guide!$B$15)</x:f>
        <x:v>64740</x:v>
      </x:c>
      <x:c r="R178" t="str">
        <x:f>IF(I178=0,"UNMATCHED",IF(I178&gt;1,"DUPLICATE KEY",IF(OR(N178="TITLE VARIANT",O178="REVIEW",O178="MISSING"),"REVIEW","VERIFIED")))</x:f>
        <x:v>VERIFIED</x:v>
      </x:c>
      <x:c r="S178" s="46" t="str">
        <x:v>Not Reviewed</x:v>
      </x:c>
      <x:c r="T178" s="48"/>
    </x:row>
    <x:row r="179">
      <x:c r="A179" t="n">
        <x:f>Plan_Raw!A179</x:f>
        <x:v>945</x:v>
      </x:c>
      <x:c r="B179" t="str">
        <x:f>Plan_Raw!D179</x:f>
        <x:v>1090</x:v>
      </x:c>
      <x:c r="C179" t="str">
        <x:f>LEFT(Plan_Raw!B179,10)</x:f>
        <x:v>2025-07-01</x:v>
      </x:c>
      <x:c r="D179" t="str">
        <x:f>Plan_Raw!F179</x:f>
        <x:v>COMMN</x:v>
      </x:c>
      <x:c r="E179" t="str">
        <x:f>Plan_Raw!E179</x:f>
        <x:v>IT Operations Support Apprenti</x:v>
      </x:c>
      <x:c r="F179" t="str">
        <x:f>Plan_Raw!C179</x:f>
        <x:v>1090B</x:v>
      </x:c>
      <x:c r="G179" s="50" t="n">
        <x:f>IF(Plan_Raw!G179="","",IFERROR(VALUE(Plan_Raw!G179),""))</x:f>
        <x:v>31.75</x:v>
      </x:c>
      <x:c r="H179" t="str">
        <x:f>Plan_Raw!AH179</x:f>
        <x:v>1090|COMMN|2025-07-01</x:v>
      </x:c>
      <x:c r="I179" t="n">
        <x:f>COUNTIF(Rates_Raw!$AF$5:$AF$464,H179)</x:f>
        <x:v>1</x:v>
      </x:c>
      <x:c r="J179" t="str">
        <x:f>IF(I179=1,_xlfn.XLOOKUP(H179,Rates_Raw!$AF$5:$AF$464,Rates_Raw!$E$5:$E$464,""),"")</x:f>
        <x:v>IT Operations Support Apprenti</x:v>
      </x:c>
      <x:c r="K179" t="n">
        <x:f>IF(I179=1,_xlfn.XLOOKUP(H179,Rates_Raw!$AF$5:$AF$464,Rates_Raw!$F$5:$F$464,""),"")</x:f>
        <x:v>21</x:v>
      </x:c>
      <x:c r="L179" s="50" t="n">
        <x:f>IF(I179=1,IFERROR(VALUE(SUBSTITUTE(_xlfn.XLOOKUP(H179,Rates_Raw!$AF$5:$AF$464,Rates_Raw!$L$5:$L$464,""),"$","")),""),"")</x:f>
        <x:v>31.75</x:v>
      </x:c>
      <x:c r="M179" s="50" t="n">
        <x:f>IF(OR(G179="",L179=""),"",ROUND(G179-L179,4))</x:f>
        <x:v>0</x:v>
      </x:c>
      <x:c r="N179" t="str">
        <x:f>IF(I179=0,"NO MATCH",IF(I179&gt;1,"AMBIGUOUS",IF(EXACT(TRIM(E179),TRIM(J179)),"EXACT","TITLE VARIANT")))</x:f>
        <x:v>EXACT</x:v>
      </x:c>
      <x:c r="O179" t="str">
        <x:f>IF(I179&lt;&gt;1,"NOT TESTED",IF(OR(G179="",L179=""),"MISSING",IF(ABS(M179)&lt;=Guide!$B$16,"PASS","REVIEW")))</x:f>
        <x:v>PASS</x:v>
      </x:c>
      <x:c r="P179" s="52" t="n">
        <x:f>IF(I179=1,IFERROR(VALUE(SUBSTITUTE(SUBSTITUTE(_xlfn.XLOOKUP(H179,Rates_Raw!$AF$5:$AF$464,Rates_Raw!$I$5:$I$464,""),"$",""),",","")),""),"")</x:f>
        <x:v>2540</x:v>
      </x:c>
      <x:c r="Q179" s="52" t="n">
        <x:f>IF(P179="","",P179*Guide!$B$15)</x:f>
        <x:v>66040</x:v>
      </x:c>
      <x:c r="R179" t="str">
        <x:f>IF(I179=0,"UNMATCHED",IF(I179&gt;1,"DUPLICATE KEY",IF(OR(N179="TITLE VARIANT",O179="REVIEW",O179="MISSING"),"REVIEW","VERIFIED")))</x:f>
        <x:v>VERIFIED</x:v>
      </x:c>
      <x:c r="S179" s="46" t="str">
        <x:v>Not Reviewed</x:v>
      </x:c>
      <x:c r="T179" s="48"/>
    </x:row>
    <x:row r="180">
      <x:c r="A180" t="n">
        <x:f>Plan_Raw!A180</x:f>
        <x:v>952</x:v>
      </x:c>
      <x:c r="B180" t="str">
        <x:f>Plan_Raw!D180</x:f>
        <x:v>1090</x:v>
      </x:c>
      <x:c r="C180" t="str">
        <x:f>LEFT(Plan_Raw!B180,10)</x:f>
        <x:v>2025-07-01</x:v>
      </x:c>
      <x:c r="D180" t="str">
        <x:f>Plan_Raw!F180</x:f>
        <x:v>SFMTA</x:v>
      </x:c>
      <x:c r="E180" t="str">
        <x:f>Plan_Raw!E180</x:f>
        <x:v>IT Operations Support Apprent</x:v>
      </x:c>
      <x:c r="F180" t="str">
        <x:f>Plan_Raw!C180</x:f>
        <x:v>1090B</x:v>
      </x:c>
      <x:c r="G180" s="50" t="n">
        <x:f>IF(Plan_Raw!G180="","",IFERROR(VALUE(Plan_Raw!G180),""))</x:f>
        <x:v>31.75</x:v>
      </x:c>
      <x:c r="H180" t="str">
        <x:f>Plan_Raw!AH180</x:f>
        <x:v>1090|SFMTA|2025-07-01</x:v>
      </x:c>
      <x:c r="I180" t="n">
        <x:f>COUNTIF(Rates_Raw!$AF$5:$AF$464,H180)</x:f>
        <x:v>1</x:v>
      </x:c>
      <x:c r="J180" t="str">
        <x:f>IF(I180=1,_xlfn.XLOOKUP(H180,Rates_Raw!$AF$5:$AF$464,Rates_Raw!$E$5:$E$464,""),"")</x:f>
        <x:v>IT Operations Support Apprent</x:v>
      </x:c>
      <x:c r="K180" t="n">
        <x:f>IF(I180=1,_xlfn.XLOOKUP(H180,Rates_Raw!$AF$5:$AF$464,Rates_Raw!$F$5:$F$464,""),"")</x:f>
        <x:v>21</x:v>
      </x:c>
      <x:c r="L180" s="50" t="n">
        <x:f>IF(I180=1,IFERROR(VALUE(SUBSTITUTE(_xlfn.XLOOKUP(H180,Rates_Raw!$AF$5:$AF$464,Rates_Raw!$L$5:$L$464,""),"$","")),""),"")</x:f>
        <x:v>31.75</x:v>
      </x:c>
      <x:c r="M180" s="50" t="n">
        <x:f>IF(OR(G180="",L180=""),"",ROUND(G180-L180,4))</x:f>
        <x:v>0</x:v>
      </x:c>
      <x:c r="N180" t="str">
        <x:f>IF(I180=0,"NO MATCH",IF(I180&gt;1,"AMBIGUOUS",IF(EXACT(TRIM(E180),TRIM(J180)),"EXACT","TITLE VARIANT")))</x:f>
        <x:v>EXACT</x:v>
      </x:c>
      <x:c r="O180" t="str">
        <x:f>IF(I180&lt;&gt;1,"NOT TESTED",IF(OR(G180="",L180=""),"MISSING",IF(ABS(M180)&lt;=Guide!$B$16,"PASS","REVIEW")))</x:f>
        <x:v>PASS</x:v>
      </x:c>
      <x:c r="P180" s="52" t="n">
        <x:f>IF(I180=1,IFERROR(VALUE(SUBSTITUTE(SUBSTITUTE(_xlfn.XLOOKUP(H180,Rates_Raw!$AF$5:$AF$464,Rates_Raw!$I$5:$I$464,""),"$",""),",","")),""),"")</x:f>
        <x:v>2540</x:v>
      </x:c>
      <x:c r="Q180" s="52" t="n">
        <x:f>IF(P180="","",P180*Guide!$B$15)</x:f>
        <x:v>66040</x:v>
      </x:c>
      <x:c r="R180" t="str">
        <x:f>IF(I180=0,"UNMATCHED",IF(I180&gt;1,"DUPLICATE KEY",IF(OR(N180="TITLE VARIANT",O180="REVIEW",O180="MISSING"),"REVIEW","VERIFIED")))</x:f>
        <x:v>VERIFIED</x:v>
      </x:c>
      <x:c r="S180" s="46" t="str">
        <x:v>Not Reviewed</x:v>
      </x:c>
      <x:c r="T180" s="48"/>
    </x:row>
    <x:row r="181">
      <x:c r="A181" t="n">
        <x:f>Plan_Raw!A181</x:f>
        <x:v>946</x:v>
      </x:c>
      <x:c r="B181" t="str">
        <x:f>Plan_Raw!D181</x:f>
        <x:v>1090</x:v>
      </x:c>
      <x:c r="C181" t="str">
        <x:f>LEFT(Plan_Raw!B181,10)</x:f>
        <x:v>2026-01-03</x:v>
      </x:c>
      <x:c r="D181" t="str">
        <x:f>Plan_Raw!F181</x:f>
        <x:v>COMMN</x:v>
      </x:c>
      <x:c r="E181" t="str">
        <x:f>Plan_Raw!E181</x:f>
        <x:v>IT Operations Support Apprenti</x:v>
      </x:c>
      <x:c r="F181" t="str">
        <x:f>Plan_Raw!C181</x:f>
        <x:v>1090C</x:v>
      </x:c>
      <x:c r="G181" s="50" t="n">
        <x:f>IF(Plan_Raw!G181="","",IFERROR(VALUE(Plan_Raw!G181),""))</x:f>
        <x:v>32.225</x:v>
      </x:c>
      <x:c r="H181" t="str">
        <x:f>Plan_Raw!AH181</x:f>
        <x:v>1090|COMMN|2026-01-03</x:v>
      </x:c>
      <x:c r="I181" t="n">
        <x:f>COUNTIF(Rates_Raw!$AF$5:$AF$464,H181)</x:f>
        <x:v>1</x:v>
      </x:c>
      <x:c r="J181" t="str">
        <x:f>IF(I181=1,_xlfn.XLOOKUP(H181,Rates_Raw!$AF$5:$AF$464,Rates_Raw!$E$5:$E$464,""),"")</x:f>
        <x:v>IT Operations Support Apprenti</x:v>
      </x:c>
      <x:c r="K181" t="n">
        <x:f>IF(I181=1,_xlfn.XLOOKUP(H181,Rates_Raw!$AF$5:$AF$464,Rates_Raw!$F$5:$F$464,""),"")</x:f>
        <x:v>21</x:v>
      </x:c>
      <x:c r="L181" s="50" t="n">
        <x:f>IF(I181=1,IFERROR(VALUE(SUBSTITUTE(_xlfn.XLOOKUP(H181,Rates_Raw!$AF$5:$AF$464,Rates_Raw!$L$5:$L$464,""),"$","")),""),"")</x:f>
        <x:v>32.225</x:v>
      </x:c>
      <x:c r="M181" s="50" t="n">
        <x:f>IF(OR(G181="",L181=""),"",ROUND(G181-L181,4))</x:f>
        <x:v>0</x:v>
      </x:c>
      <x:c r="N181" t="str">
        <x:f>IF(I181=0,"NO MATCH",IF(I181&gt;1,"AMBIGUOUS",IF(EXACT(TRIM(E181),TRIM(J181)),"EXACT","TITLE VARIANT")))</x:f>
        <x:v>EXACT</x:v>
      </x:c>
      <x:c r="O181" t="str">
        <x:f>IF(I181&lt;&gt;1,"NOT TESTED",IF(OR(G181="",L181=""),"MISSING",IF(ABS(M181)&lt;=Guide!$B$16,"PASS","REVIEW")))</x:f>
        <x:v>PASS</x:v>
      </x:c>
      <x:c r="P181" s="52" t="n">
        <x:f>IF(I181=1,IFERROR(VALUE(SUBSTITUTE(SUBSTITUTE(_xlfn.XLOOKUP(H181,Rates_Raw!$AF$5:$AF$464,Rates_Raw!$I$5:$I$464,""),"$",""),",","")),""),"")</x:f>
        <x:v>2578</x:v>
      </x:c>
      <x:c r="Q181" s="52" t="n">
        <x:f>IF(P181="","",P181*Guide!$B$15)</x:f>
        <x:v>67028</x:v>
      </x:c>
      <x:c r="R181" t="str">
        <x:f>IF(I181=0,"UNMATCHED",IF(I181&gt;1,"DUPLICATE KEY",IF(OR(N181="TITLE VARIANT",O181="REVIEW",O181="MISSING"),"REVIEW","VERIFIED")))</x:f>
        <x:v>VERIFIED</x:v>
      </x:c>
      <x:c r="S181" s="46" t="str">
        <x:v>Not Reviewed</x:v>
      </x:c>
      <x:c r="T181" s="48"/>
    </x:row>
    <x:row r="182">
      <x:c r="A182" t="n">
        <x:f>Plan_Raw!A182</x:f>
        <x:v>953</x:v>
      </x:c>
      <x:c r="B182" t="str">
        <x:f>Plan_Raw!D182</x:f>
        <x:v>1090</x:v>
      </x:c>
      <x:c r="C182" t="str">
        <x:f>LEFT(Plan_Raw!B182,10)</x:f>
        <x:v>2026-01-03</x:v>
      </x:c>
      <x:c r="D182" t="str">
        <x:f>Plan_Raw!F182</x:f>
        <x:v>SFMTA</x:v>
      </x:c>
      <x:c r="E182" t="str">
        <x:f>Plan_Raw!E182</x:f>
        <x:v>IT Operations Support Apprent</x:v>
      </x:c>
      <x:c r="F182" t="str">
        <x:f>Plan_Raw!C182</x:f>
        <x:v>1090C</x:v>
      </x:c>
      <x:c r="G182" s="50" t="n">
        <x:f>IF(Plan_Raw!G182="","",IFERROR(VALUE(Plan_Raw!G182),""))</x:f>
        <x:v>32.225</x:v>
      </x:c>
      <x:c r="H182" t="str">
        <x:f>Plan_Raw!AH182</x:f>
        <x:v>1090|SFMTA|2026-01-03</x:v>
      </x:c>
      <x:c r="I182" t="n">
        <x:f>COUNTIF(Rates_Raw!$AF$5:$AF$464,H182)</x:f>
        <x:v>1</x:v>
      </x:c>
      <x:c r="J182" t="str">
        <x:f>IF(I182=1,_xlfn.XLOOKUP(H182,Rates_Raw!$AF$5:$AF$464,Rates_Raw!$E$5:$E$464,""),"")</x:f>
        <x:v>IT Operations Support Apprent</x:v>
      </x:c>
      <x:c r="K182" t="n">
        <x:f>IF(I182=1,_xlfn.XLOOKUP(H182,Rates_Raw!$AF$5:$AF$464,Rates_Raw!$F$5:$F$464,""),"")</x:f>
        <x:v>21</x:v>
      </x:c>
      <x:c r="L182" s="50" t="n">
        <x:f>IF(I182=1,IFERROR(VALUE(SUBSTITUTE(_xlfn.XLOOKUP(H182,Rates_Raw!$AF$5:$AF$464,Rates_Raw!$L$5:$L$464,""),"$","")),""),"")</x:f>
        <x:v>32.225</x:v>
      </x:c>
      <x:c r="M182" s="50" t="n">
        <x:f>IF(OR(G182="",L182=""),"",ROUND(G182-L182,4))</x:f>
        <x:v>0</x:v>
      </x:c>
      <x:c r="N182" t="str">
        <x:f>IF(I182=0,"NO MATCH",IF(I182&gt;1,"AMBIGUOUS",IF(EXACT(TRIM(E182),TRIM(J182)),"EXACT","TITLE VARIANT")))</x:f>
        <x:v>EXACT</x:v>
      </x:c>
      <x:c r="O182" t="str">
        <x:f>IF(I182&lt;&gt;1,"NOT TESTED",IF(OR(G182="",L182=""),"MISSING",IF(ABS(M182)&lt;=Guide!$B$16,"PASS","REVIEW")))</x:f>
        <x:v>PASS</x:v>
      </x:c>
      <x:c r="P182" s="52" t="n">
        <x:f>IF(I182=1,IFERROR(VALUE(SUBSTITUTE(SUBSTITUTE(_xlfn.XLOOKUP(H182,Rates_Raw!$AF$5:$AF$464,Rates_Raw!$I$5:$I$464,""),"$",""),",","")),""),"")</x:f>
        <x:v>2578</x:v>
      </x:c>
      <x:c r="Q182" s="52" t="n">
        <x:f>IF(P182="","",P182*Guide!$B$15)</x:f>
        <x:v>67028</x:v>
      </x:c>
      <x:c r="R182" t="str">
        <x:f>IF(I182=0,"UNMATCHED",IF(I182&gt;1,"DUPLICATE KEY",IF(OR(N182="TITLE VARIANT",O182="REVIEW",O182="MISSING"),"REVIEW","VERIFIED")))</x:f>
        <x:v>VERIFIED</x:v>
      </x:c>
      <x:c r="S182" s="46" t="str">
        <x:v>Not Reviewed</x:v>
      </x:c>
      <x:c r="T182" s="48"/>
    </x:row>
    <x:row r="183">
      <x:c r="A183" t="n">
        <x:f>Plan_Raw!A183</x:f>
        <x:v>947</x:v>
      </x:c>
      <x:c r="B183" t="str">
        <x:f>Plan_Raw!D183</x:f>
        <x:v>1090</x:v>
      </x:c>
      <x:c r="C183" t="str">
        <x:f>LEFT(Plan_Raw!B183,10)</x:f>
        <x:v>2026-07-01</x:v>
      </x:c>
      <x:c r="D183" t="str">
        <x:f>Plan_Raw!F183</x:f>
        <x:v>COMMN</x:v>
      </x:c>
      <x:c r="E183" t="str">
        <x:f>Plan_Raw!E183</x:f>
        <x:v>IT Operations Support Apprenti</x:v>
      </x:c>
      <x:c r="F183" t="str">
        <x:f>Plan_Raw!C183</x:f>
        <x:v>1090D</x:v>
      </x:c>
      <x:c r="G183" s="50" t="n">
        <x:f>IF(Plan_Raw!G183="","",IFERROR(VALUE(Plan_Raw!G183),""))</x:f>
        <x:v>32.875</x:v>
      </x:c>
      <x:c r="H183" t="str">
        <x:f>Plan_Raw!AH183</x:f>
        <x:v>1090|COMMN|2026-07-01</x:v>
      </x:c>
      <x:c r="I183" t="n">
        <x:f>COUNTIF(Rates_Raw!$AF$5:$AF$464,H183)</x:f>
        <x:v>0</x:v>
      </x:c>
      <x:c r="J183" t="str">
        <x:f>IF(I183=1,_xlfn.XLOOKUP(H183,Rates_Raw!$AF$5:$AF$464,Rates_Raw!$E$5:$E$464,""),"")</x:f>
      </x:c>
      <x:c r="K183" t="str">
        <x:f>IF(I183=1,_xlfn.XLOOKUP(H183,Rates_Raw!$AF$5:$AF$464,Rates_Raw!$F$5:$F$464,""),"")</x:f>
      </x:c>
      <x:c r="L183" s="50" t="str">
        <x:f>IF(I183=1,IFERROR(VALUE(SUBSTITUTE(_xlfn.XLOOKUP(H183,Rates_Raw!$AF$5:$AF$464,Rates_Raw!$L$5:$L$464,""),"$","")),""),"")</x:f>
      </x:c>
      <x:c r="M183" s="50" t="str">
        <x:f>IF(OR(G183="",L183=""),"",ROUND(G183-L183,4))</x:f>
      </x:c>
      <x:c r="N183" t="str">
        <x:f>IF(I183=0,"NO MATCH",IF(I183&gt;1,"AMBIGUOUS",IF(EXACT(TRIM(E183),TRIM(J183)),"EXACT","TITLE VARIANT")))</x:f>
        <x:v>NO MATCH</x:v>
      </x:c>
      <x:c r="O183" t="str">
        <x:f>IF(I183&lt;&gt;1,"NOT TESTED",IF(OR(G183="",L183=""),"MISSING",IF(ABS(M183)&lt;=Guide!$B$16,"PASS","REVIEW")))</x:f>
        <x:v>NOT TESTED</x:v>
      </x:c>
      <x:c r="P183" s="52" t="str">
        <x:f>IF(I183=1,IFERROR(VALUE(SUBSTITUTE(SUBSTITUTE(_xlfn.XLOOKUP(H183,Rates_Raw!$AF$5:$AF$464,Rates_Raw!$I$5:$I$464,""),"$",""),",","")),""),"")</x:f>
      </x:c>
      <x:c r="Q183" s="52" t="str">
        <x:f>IF(P183="","",P183*Guide!$B$15)</x:f>
      </x:c>
      <x:c r="R183" t="str">
        <x:f>IF(I183=0,"UNMATCHED",IF(I183&gt;1,"DUPLICATE KEY",IF(OR(N183="TITLE VARIANT",O183="REVIEW",O183="MISSING"),"REVIEW","VERIFIED")))</x:f>
        <x:v>UNMATCHED</x:v>
      </x:c>
      <x:c r="S183" s="46" t="str">
        <x:v>Not Reviewed</x:v>
      </x:c>
      <x:c r="T183" s="48"/>
    </x:row>
    <x:row r="184">
      <x:c r="A184" t="n">
        <x:f>Plan_Raw!A184</x:f>
        <x:v>954</x:v>
      </x:c>
      <x:c r="B184" t="str">
        <x:f>Plan_Raw!D184</x:f>
        <x:v>1090</x:v>
      </x:c>
      <x:c r="C184" t="str">
        <x:f>LEFT(Plan_Raw!B184,10)</x:f>
        <x:v>2026-07-01</x:v>
      </x:c>
      <x:c r="D184" t="str">
        <x:f>Plan_Raw!F184</x:f>
        <x:v>SFMTA</x:v>
      </x:c>
      <x:c r="E184" t="str">
        <x:f>Plan_Raw!E184</x:f>
        <x:v>IT Operations Support Apprent</x:v>
      </x:c>
      <x:c r="F184" t="str">
        <x:f>Plan_Raw!C184</x:f>
        <x:v>1090D</x:v>
      </x:c>
      <x:c r="G184" s="50" t="n">
        <x:f>IF(Plan_Raw!G184="","",IFERROR(VALUE(Plan_Raw!G184),""))</x:f>
        <x:v>32.875</x:v>
      </x:c>
      <x:c r="H184" t="str">
        <x:f>Plan_Raw!AH184</x:f>
        <x:v>1090|SFMTA|2026-07-01</x:v>
      </x:c>
      <x:c r="I184" t="n">
        <x:f>COUNTIF(Rates_Raw!$AF$5:$AF$464,H184)</x:f>
        <x:v>0</x:v>
      </x:c>
      <x:c r="J184" t="str">
        <x:f>IF(I184=1,_xlfn.XLOOKUP(H184,Rates_Raw!$AF$5:$AF$464,Rates_Raw!$E$5:$E$464,""),"")</x:f>
      </x:c>
      <x:c r="K184" t="str">
        <x:f>IF(I184=1,_xlfn.XLOOKUP(H184,Rates_Raw!$AF$5:$AF$464,Rates_Raw!$F$5:$F$464,""),"")</x:f>
      </x:c>
      <x:c r="L184" s="50" t="str">
        <x:f>IF(I184=1,IFERROR(VALUE(SUBSTITUTE(_xlfn.XLOOKUP(H184,Rates_Raw!$AF$5:$AF$464,Rates_Raw!$L$5:$L$464,""),"$","")),""),"")</x:f>
      </x:c>
      <x:c r="M184" s="50" t="str">
        <x:f>IF(OR(G184="",L184=""),"",ROUND(G184-L184,4))</x:f>
      </x:c>
      <x:c r="N184" t="str">
        <x:f>IF(I184=0,"NO MATCH",IF(I184&gt;1,"AMBIGUOUS",IF(EXACT(TRIM(E184),TRIM(J184)),"EXACT","TITLE VARIANT")))</x:f>
        <x:v>NO MATCH</x:v>
      </x:c>
      <x:c r="O184" t="str">
        <x:f>IF(I184&lt;&gt;1,"NOT TESTED",IF(OR(G184="",L184=""),"MISSING",IF(ABS(M184)&lt;=Guide!$B$16,"PASS","REVIEW")))</x:f>
        <x:v>NOT TESTED</x:v>
      </x:c>
      <x:c r="P184" s="52" t="str">
        <x:f>IF(I184=1,IFERROR(VALUE(SUBSTITUTE(SUBSTITUTE(_xlfn.XLOOKUP(H184,Rates_Raw!$AF$5:$AF$464,Rates_Raw!$I$5:$I$464,""),"$",""),",","")),""),"")</x:f>
      </x:c>
      <x:c r="Q184" s="52" t="str">
        <x:f>IF(P184="","",P184*Guide!$B$15)</x:f>
      </x:c>
      <x:c r="R184" t="str">
        <x:f>IF(I184=0,"UNMATCHED",IF(I184&gt;1,"DUPLICATE KEY",IF(OR(N184="TITLE VARIANT",O184="REVIEW",O184="MISSING"),"REVIEW","VERIFIED")))</x:f>
        <x:v>UNMATCHED</x:v>
      </x:c>
      <x:c r="S184" s="46" t="str">
        <x:v>Not Reviewed</x:v>
      </x:c>
      <x:c r="T184" s="48"/>
    </x:row>
    <x:row r="185">
      <x:c r="A185" t="n">
        <x:f>Plan_Raw!A185</x:f>
        <x:v>955</x:v>
      </x:c>
      <x:c r="B185" t="str">
        <x:f>Plan_Raw!D185</x:f>
        <x:v>1091</x:v>
      </x:c>
      <x:c r="C185" t="str">
        <x:f>LEFT(Plan_Raw!B185,10)</x:f>
        <x:v>2020-07-01</x:v>
      </x:c>
      <x:c r="D185" t="str">
        <x:f>Plan_Raw!F185</x:f>
        <x:v>COMMN</x:v>
      </x:c>
      <x:c r="E185" t="str">
        <x:f>Plan_Raw!E185</x:f>
        <x:v>IT Operations Support Administrator I</x:v>
      </x:c>
      <x:c r="F185" t="str">
        <x:f>Plan_Raw!C185</x:f>
        <x:v>1091S</x:v>
      </x:c>
      <x:c r="G185" s="50" t="n">
        <x:f>IF(Plan_Raw!G185="","",IFERROR(VALUE(Plan_Raw!G185),""))</x:f>
        <x:v>28.4125</x:v>
      </x:c>
      <x:c r="H185" t="str">
        <x:f>Plan_Raw!AH185</x:f>
        <x:v>1091|COMMN|2020-07-01</x:v>
      </x:c>
      <x:c r="I185" t="n">
        <x:f>COUNTIF(Rates_Raw!$AF$5:$AF$464,H185)</x:f>
        <x:v>1</x:v>
      </x:c>
      <x:c r="J185" t="str">
        <x:f>IF(I185=1,_xlfn.XLOOKUP(H185,Rates_Raw!$AF$5:$AF$464,Rates_Raw!$E$5:$E$464,""),"")</x:f>
        <x:v>IT Operations Support Administrator I</x:v>
      </x:c>
      <x:c r="K185" t="n">
        <x:f>IF(I185=1,_xlfn.XLOOKUP(H185,Rates_Raw!$AF$5:$AF$464,Rates_Raw!$F$5:$F$464,""),"")</x:f>
        <x:v>21</x:v>
      </x:c>
      <x:c r="L185" s="50" t="n">
        <x:f>IF(I185=1,IFERROR(VALUE(SUBSTITUTE(_xlfn.XLOOKUP(H185,Rates_Raw!$AF$5:$AF$464,Rates_Raw!$L$5:$L$464,""),"$","")),""),"")</x:f>
        <x:v>28.4125</x:v>
      </x:c>
      <x:c r="M185" s="50" t="n">
        <x:f>IF(OR(G185="",L185=""),"",ROUND(G185-L185,4))</x:f>
        <x:v>0</x:v>
      </x:c>
      <x:c r="N185" t="str">
        <x:f>IF(I185=0,"NO MATCH",IF(I185&gt;1,"AMBIGUOUS",IF(EXACT(TRIM(E185),TRIM(J185)),"EXACT","TITLE VARIANT")))</x:f>
        <x:v>EXACT</x:v>
      </x:c>
      <x:c r="O185" t="str">
        <x:f>IF(I185&lt;&gt;1,"NOT TESTED",IF(OR(G185="",L185=""),"MISSING",IF(ABS(M185)&lt;=Guide!$B$16,"PASS","REVIEW")))</x:f>
        <x:v>PASS</x:v>
      </x:c>
      <x:c r="P185" s="52" t="n">
        <x:f>IF(I185=1,IFERROR(VALUE(SUBSTITUTE(SUBSTITUTE(_xlfn.XLOOKUP(H185,Rates_Raw!$AF$5:$AF$464,Rates_Raw!$I$5:$I$464,""),"$",""),",","")),""),"")</x:f>
        <x:v>2273</x:v>
      </x:c>
      <x:c r="Q185" s="52" t="n">
        <x:f>IF(P185="","",P185*Guide!$B$15)</x:f>
        <x:v>59098</x:v>
      </x:c>
      <x:c r="R185" t="str">
        <x:f>IF(I185=0,"UNMATCHED",IF(I185&gt;1,"DUPLICATE KEY",IF(OR(N185="TITLE VARIANT",O185="REVIEW",O185="MISSING"),"REVIEW","VERIFIED")))</x:f>
        <x:v>VERIFIED</x:v>
      </x:c>
      <x:c r="S185" s="46" t="str">
        <x:v>Not Reviewed</x:v>
      </x:c>
      <x:c r="T185" s="48"/>
    </x:row>
    <x:row r="186">
      <x:c r="A186" t="n">
        <x:f>Plan_Raw!A186</x:f>
        <x:v>961</x:v>
      </x:c>
      <x:c r="B186" t="str">
        <x:f>Plan_Raw!D186</x:f>
        <x:v>1091</x:v>
      </x:c>
      <x:c r="C186" t="str">
        <x:f>LEFT(Plan_Raw!B186,10)</x:f>
        <x:v>2024-01-06</x:v>
      </x:c>
      <x:c r="D186" t="str">
        <x:f>Plan_Raw!F186</x:f>
        <x:v>COMMN</x:v>
      </x:c>
      <x:c r="E186" t="str">
        <x:f>Plan_Raw!E186</x:f>
        <x:v>IT Operations Support Administrator I</x:v>
      </x:c>
      <x:c r="F186" t="str">
        <x:f>Plan_Raw!C186</x:f>
        <x:v>1091Y</x:v>
      </x:c>
      <x:c r="G186" s="50" t="n">
        <x:f>IF(Plan_Raw!G186="","",IFERROR(VALUE(Plan_Raw!G186),""))</x:f>
        <x:v>33.575</x:v>
      </x:c>
      <x:c r="H186" t="str">
        <x:f>Plan_Raw!AH186</x:f>
        <x:v>1091|COMMN|2024-01-06</x:v>
      </x:c>
      <x:c r="I186" t="n">
        <x:f>COUNTIF(Rates_Raw!$AF$5:$AF$464,H186)</x:f>
        <x:v>1</x:v>
      </x:c>
      <x:c r="J186" t="str">
        <x:f>IF(I186=1,_xlfn.XLOOKUP(H186,Rates_Raw!$AF$5:$AF$464,Rates_Raw!$E$5:$E$464,""),"")</x:f>
        <x:v>IT Operations Support Administrator I</x:v>
      </x:c>
      <x:c r="K186" t="n">
        <x:f>IF(I186=1,_xlfn.XLOOKUP(H186,Rates_Raw!$AF$5:$AF$464,Rates_Raw!$F$5:$F$464,""),"")</x:f>
        <x:v>21</x:v>
      </x:c>
      <x:c r="L186" s="50" t="n">
        <x:f>IF(I186=1,IFERROR(VALUE(SUBSTITUTE(_xlfn.XLOOKUP(H186,Rates_Raw!$AF$5:$AF$464,Rates_Raw!$L$5:$L$464,""),"$","")),""),"")</x:f>
        <x:v>33.575</x:v>
      </x:c>
      <x:c r="M186" s="50" t="n">
        <x:f>IF(OR(G186="",L186=""),"",ROUND(G186-L186,4))</x:f>
        <x:v>0</x:v>
      </x:c>
      <x:c r="N186" t="str">
        <x:f>IF(I186=0,"NO MATCH",IF(I186&gt;1,"AMBIGUOUS",IF(EXACT(TRIM(E186),TRIM(J186)),"EXACT","TITLE VARIANT")))</x:f>
        <x:v>EXACT</x:v>
      </x:c>
      <x:c r="O186" t="str">
        <x:f>IF(I186&lt;&gt;1,"NOT TESTED",IF(OR(G186="",L186=""),"MISSING",IF(ABS(M186)&lt;=Guide!$B$16,"PASS","REVIEW")))</x:f>
        <x:v>PASS</x:v>
      </x:c>
      <x:c r="P186" s="52" t="n">
        <x:f>IF(I186=1,IFERROR(VALUE(SUBSTITUTE(SUBSTITUTE(_xlfn.XLOOKUP(H186,Rates_Raw!$AF$5:$AF$464,Rates_Raw!$I$5:$I$464,""),"$",""),",","")),""),"")</x:f>
        <x:v>2686</x:v>
      </x:c>
      <x:c r="Q186" s="52" t="n">
        <x:f>IF(P186="","",P186*Guide!$B$15)</x:f>
        <x:v>69836</x:v>
      </x:c>
      <x:c r="R186" t="str">
        <x:f>IF(I186=0,"UNMATCHED",IF(I186&gt;1,"DUPLICATE KEY",IF(OR(N186="TITLE VARIANT",O186="REVIEW",O186="MISSING"),"REVIEW","VERIFIED")))</x:f>
        <x:v>VERIFIED</x:v>
      </x:c>
      <x:c r="S186" s="46" t="str">
        <x:v>Not Reviewed</x:v>
      </x:c>
      <x:c r="T186" s="48"/>
    </x:row>
    <x:row r="187">
      <x:c r="A187" t="n">
        <x:f>Plan_Raw!A187</x:f>
        <x:v>973</x:v>
      </x:c>
      <x:c r="B187" t="str">
        <x:f>Plan_Raw!D187</x:f>
        <x:v>1091</x:v>
      </x:c>
      <x:c r="C187" t="str">
        <x:f>LEFT(Plan_Raw!B187,10)</x:f>
        <x:v>2024-01-06</x:v>
      </x:c>
      <x:c r="D187" t="str">
        <x:f>Plan_Raw!F187</x:f>
        <x:v>SFMTA</x:v>
      </x:c>
      <x:c r="E187" t="str">
        <x:f>Plan_Raw!E187</x:f>
        <x:v>IT Operations Support Administrator I</x:v>
      </x:c>
      <x:c r="F187" t="str">
        <x:f>Plan_Raw!C187</x:f>
        <x:v>1091Y</x:v>
      </x:c>
      <x:c r="G187" s="50" t="n">
        <x:f>IF(Plan_Raw!G187="","",IFERROR(VALUE(Plan_Raw!G187),""))</x:f>
        <x:v>33.575</x:v>
      </x:c>
      <x:c r="H187" t="str">
        <x:f>Plan_Raw!AH187</x:f>
        <x:v>1091|SFMTA|2024-01-06</x:v>
      </x:c>
      <x:c r="I187" t="n">
        <x:f>COUNTIF(Rates_Raw!$AF$5:$AF$464,H187)</x:f>
        <x:v>1</x:v>
      </x:c>
      <x:c r="J187" t="str">
        <x:f>IF(I187=1,_xlfn.XLOOKUP(H187,Rates_Raw!$AF$5:$AF$464,Rates_Raw!$E$5:$E$464,""),"")</x:f>
        <x:v>IT Operations Support Administrator I</x:v>
      </x:c>
      <x:c r="K187" t="n">
        <x:f>IF(I187=1,_xlfn.XLOOKUP(H187,Rates_Raw!$AF$5:$AF$464,Rates_Raw!$F$5:$F$464,""),"")</x:f>
        <x:v>21</x:v>
      </x:c>
      <x:c r="L187" s="50" t="n">
        <x:f>IF(I187=1,IFERROR(VALUE(SUBSTITUTE(_xlfn.XLOOKUP(H187,Rates_Raw!$AF$5:$AF$464,Rates_Raw!$L$5:$L$464,""),"$","")),""),"")</x:f>
        <x:v>33.575</x:v>
      </x:c>
      <x:c r="M187" s="50" t="n">
        <x:f>IF(OR(G187="",L187=""),"",ROUND(G187-L187,4))</x:f>
        <x:v>0</x:v>
      </x:c>
      <x:c r="N187" t="str">
        <x:f>IF(I187=0,"NO MATCH",IF(I187&gt;1,"AMBIGUOUS",IF(EXACT(TRIM(E187),TRIM(J187)),"EXACT","TITLE VARIANT")))</x:f>
        <x:v>EXACT</x:v>
      </x:c>
      <x:c r="O187" t="str">
        <x:f>IF(I187&lt;&gt;1,"NOT TESTED",IF(OR(G187="",L187=""),"MISSING",IF(ABS(M187)&lt;=Guide!$B$16,"PASS","REVIEW")))</x:f>
        <x:v>PASS</x:v>
      </x:c>
      <x:c r="P187" s="52" t="n">
        <x:f>IF(I187=1,IFERROR(VALUE(SUBSTITUTE(SUBSTITUTE(_xlfn.XLOOKUP(H187,Rates_Raw!$AF$5:$AF$464,Rates_Raw!$I$5:$I$464,""),"$",""),",","")),""),"")</x:f>
        <x:v>2686</x:v>
      </x:c>
      <x:c r="Q187" s="52" t="n">
        <x:f>IF(P187="","",P187*Guide!$B$15)</x:f>
        <x:v>69836</x:v>
      </x:c>
      <x:c r="R187" t="str">
        <x:f>IF(I187=0,"UNMATCHED",IF(I187&gt;1,"DUPLICATE KEY",IF(OR(N187="TITLE VARIANT",O187="REVIEW",O187="MISSING"),"REVIEW","VERIFIED")))</x:f>
        <x:v>VERIFIED</x:v>
      </x:c>
      <x:c r="S187" s="46" t="str">
        <x:v>Not Reviewed</x:v>
      </x:c>
      <x:c r="T187" s="48"/>
    </x:row>
    <x:row r="188">
      <x:c r="A188" t="n">
        <x:f>Plan_Raw!A188</x:f>
        <x:v>962</x:v>
      </x:c>
      <x:c r="B188" t="str">
        <x:f>Plan_Raw!D188</x:f>
        <x:v>1091</x:v>
      </x:c>
      <x:c r="C188" t="str">
        <x:f>LEFT(Plan_Raw!B188,10)</x:f>
        <x:v>2024-07-01</x:v>
      </x:c>
      <x:c r="D188" t="str">
        <x:f>Plan_Raw!F188</x:f>
        <x:v>COMMN</x:v>
      </x:c>
      <x:c r="E188" t="str">
        <x:f>Plan_Raw!E188</x:f>
        <x:v>IT Operations Support Administrator I</x:v>
      </x:c>
      <x:c r="F188" t="str">
        <x:f>Plan_Raw!C188</x:f>
        <x:v>1091Z</x:v>
      </x:c>
      <x:c r="G188" s="50" t="n">
        <x:f>IF(Plan_Raw!G188="","",IFERROR(VALUE(Plan_Raw!G188),""))</x:f>
        <x:v>34.4125</x:v>
      </x:c>
      <x:c r="H188" t="str">
        <x:f>Plan_Raw!AH188</x:f>
        <x:v>1091|COMMN|2024-07-01</x:v>
      </x:c>
      <x:c r="I188" t="n">
        <x:f>COUNTIF(Rates_Raw!$AF$5:$AF$464,H188)</x:f>
        <x:v>1</x:v>
      </x:c>
      <x:c r="J188" t="str">
        <x:f>IF(I188=1,_xlfn.XLOOKUP(H188,Rates_Raw!$AF$5:$AF$464,Rates_Raw!$E$5:$E$464,""),"")</x:f>
        <x:v>IT Operations Support Administrator I</x:v>
      </x:c>
      <x:c r="K188" t="n">
        <x:f>IF(I188=1,_xlfn.XLOOKUP(H188,Rates_Raw!$AF$5:$AF$464,Rates_Raw!$F$5:$F$464,""),"")</x:f>
        <x:v>21</x:v>
      </x:c>
      <x:c r="L188" s="50" t="n">
        <x:f>IF(I188=1,IFERROR(VALUE(SUBSTITUTE(_xlfn.XLOOKUP(H188,Rates_Raw!$AF$5:$AF$464,Rates_Raw!$L$5:$L$464,""),"$","")),""),"")</x:f>
        <x:v>34.4125</x:v>
      </x:c>
      <x:c r="M188" s="50" t="n">
        <x:f>IF(OR(G188="",L188=""),"",ROUND(G188-L188,4))</x:f>
        <x:v>0</x:v>
      </x:c>
      <x:c r="N188" t="str">
        <x:f>IF(I188=0,"NO MATCH",IF(I188&gt;1,"AMBIGUOUS",IF(EXACT(TRIM(E188),TRIM(J188)),"EXACT","TITLE VARIANT")))</x:f>
        <x:v>EXACT</x:v>
      </x:c>
      <x:c r="O188" t="str">
        <x:f>IF(I188&lt;&gt;1,"NOT TESTED",IF(OR(G188="",L188=""),"MISSING",IF(ABS(M188)&lt;=Guide!$B$16,"PASS","REVIEW")))</x:f>
        <x:v>PASS</x:v>
      </x:c>
      <x:c r="P188" s="52" t="n">
        <x:f>IF(I188=1,IFERROR(VALUE(SUBSTITUTE(SUBSTITUTE(_xlfn.XLOOKUP(H188,Rates_Raw!$AF$5:$AF$464,Rates_Raw!$I$5:$I$464,""),"$",""),",","")),""),"")</x:f>
        <x:v>2753</x:v>
      </x:c>
      <x:c r="Q188" s="52" t="n">
        <x:f>IF(P188="","",P188*Guide!$B$15)</x:f>
        <x:v>71578</x:v>
      </x:c>
      <x:c r="R188" t="str">
        <x:f>IF(I188=0,"UNMATCHED",IF(I188&gt;1,"DUPLICATE KEY",IF(OR(N188="TITLE VARIANT",O188="REVIEW",O188="MISSING"),"REVIEW","VERIFIED")))</x:f>
        <x:v>VERIFIED</x:v>
      </x:c>
      <x:c r="S188" s="46" t="str">
        <x:v>Not Reviewed</x:v>
      </x:c>
      <x:c r="T188" s="48"/>
    </x:row>
    <x:row r="189">
      <x:c r="A189" t="n">
        <x:f>Plan_Raw!A189</x:f>
        <x:v>974</x:v>
      </x:c>
      <x:c r="B189" t="str">
        <x:f>Plan_Raw!D189</x:f>
        <x:v>1091</x:v>
      </x:c>
      <x:c r="C189" t="str">
        <x:f>LEFT(Plan_Raw!B189,10)</x:f>
        <x:v>2024-07-01</x:v>
      </x:c>
      <x:c r="D189" t="str">
        <x:f>Plan_Raw!F189</x:f>
        <x:v>SFMTA</x:v>
      </x:c>
      <x:c r="E189" t="str">
        <x:f>Plan_Raw!E189</x:f>
        <x:v>IT Operations Support Administrator I</x:v>
      </x:c>
      <x:c r="F189" t="str">
        <x:f>Plan_Raw!C189</x:f>
        <x:v>1091Z</x:v>
      </x:c>
      <x:c r="G189" s="50" t="n">
        <x:f>IF(Plan_Raw!G189="","",IFERROR(VALUE(Plan_Raw!G189),""))</x:f>
        <x:v>34.4125</x:v>
      </x:c>
      <x:c r="H189" t="str">
        <x:f>Plan_Raw!AH189</x:f>
        <x:v>1091|SFMTA|2024-07-01</x:v>
      </x:c>
      <x:c r="I189" t="n">
        <x:f>COUNTIF(Rates_Raw!$AF$5:$AF$464,H189)</x:f>
        <x:v>1</x:v>
      </x:c>
      <x:c r="J189" t="str">
        <x:f>IF(I189=1,_xlfn.XLOOKUP(H189,Rates_Raw!$AF$5:$AF$464,Rates_Raw!$E$5:$E$464,""),"")</x:f>
        <x:v>IT Operations Support Administrator I</x:v>
      </x:c>
      <x:c r="K189" t="n">
        <x:f>IF(I189=1,_xlfn.XLOOKUP(H189,Rates_Raw!$AF$5:$AF$464,Rates_Raw!$F$5:$F$464,""),"")</x:f>
        <x:v>21</x:v>
      </x:c>
      <x:c r="L189" s="50" t="n">
        <x:f>IF(I189=1,IFERROR(VALUE(SUBSTITUTE(_xlfn.XLOOKUP(H189,Rates_Raw!$AF$5:$AF$464,Rates_Raw!$L$5:$L$464,""),"$","")),""),"")</x:f>
        <x:v>34.4125</x:v>
      </x:c>
      <x:c r="M189" s="50" t="n">
        <x:f>IF(OR(G189="",L189=""),"",ROUND(G189-L189,4))</x:f>
        <x:v>0</x:v>
      </x:c>
      <x:c r="N189" t="str">
        <x:f>IF(I189=0,"NO MATCH",IF(I189&gt;1,"AMBIGUOUS",IF(EXACT(TRIM(E189),TRIM(J189)),"EXACT","TITLE VARIANT")))</x:f>
        <x:v>EXACT</x:v>
      </x:c>
      <x:c r="O189" t="str">
        <x:f>IF(I189&lt;&gt;1,"NOT TESTED",IF(OR(G189="",L189=""),"MISSING",IF(ABS(M189)&lt;=Guide!$B$16,"PASS","REVIEW")))</x:f>
        <x:v>PASS</x:v>
      </x:c>
      <x:c r="P189" s="52" t="n">
        <x:f>IF(I189=1,IFERROR(VALUE(SUBSTITUTE(SUBSTITUTE(_xlfn.XLOOKUP(H189,Rates_Raw!$AF$5:$AF$464,Rates_Raw!$I$5:$I$464,""),"$",""),",","")),""),"")</x:f>
        <x:v>2753</x:v>
      </x:c>
      <x:c r="Q189" s="52" t="n">
        <x:f>IF(P189="","",P189*Guide!$B$15)</x:f>
        <x:v>71578</x:v>
      </x:c>
      <x:c r="R189" t="str">
        <x:f>IF(I189=0,"UNMATCHED",IF(I189&gt;1,"DUPLICATE KEY",IF(OR(N189="TITLE VARIANT",O189="REVIEW",O189="MISSING"),"REVIEW","VERIFIED")))</x:f>
        <x:v>VERIFIED</x:v>
      </x:c>
      <x:c r="S189" s="46" t="str">
        <x:v>Not Reviewed</x:v>
      </x:c>
      <x:c r="T189" s="48"/>
    </x:row>
    <x:row r="190">
      <x:c r="A190" t="n">
        <x:f>Plan_Raw!A190</x:f>
        <x:v>963</x:v>
      </x:c>
      <x:c r="B190" t="str">
        <x:f>Plan_Raw!D190</x:f>
        <x:v>1091</x:v>
      </x:c>
      <x:c r="C190" t="str">
        <x:f>LEFT(Plan_Raw!B190,10)</x:f>
        <x:v>2025-01-04</x:v>
      </x:c>
      <x:c r="D190" t="str">
        <x:f>Plan_Raw!F190</x:f>
        <x:v>COMMN</x:v>
      </x:c>
      <x:c r="E190" t="str">
        <x:f>Plan_Raw!E190</x:f>
        <x:v>IT Operations Support Administrator I</x:v>
      </x:c>
      <x:c r="F190" t="str">
        <x:f>Plan_Raw!C190</x:f>
        <x:v>1091A</x:v>
      </x:c>
      <x:c r="G190" s="50" t="n">
        <x:f>IF(Plan_Raw!G190="","",IFERROR(VALUE(Plan_Raw!G190),""))</x:f>
        <x:v>34.925</x:v>
      </x:c>
      <x:c r="H190" t="str">
        <x:f>Plan_Raw!AH190</x:f>
        <x:v>1091|COMMN|2025-01-04</x:v>
      </x:c>
      <x:c r="I190" t="n">
        <x:f>COUNTIF(Rates_Raw!$AF$5:$AF$464,H190)</x:f>
        <x:v>1</x:v>
      </x:c>
      <x:c r="J190" t="str">
        <x:f>IF(I190=1,_xlfn.XLOOKUP(H190,Rates_Raw!$AF$5:$AF$464,Rates_Raw!$E$5:$E$464,""),"")</x:f>
        <x:v>IT Operations Support Administrator I</x:v>
      </x:c>
      <x:c r="K190" t="n">
        <x:f>IF(I190=1,_xlfn.XLOOKUP(H190,Rates_Raw!$AF$5:$AF$464,Rates_Raw!$F$5:$F$464,""),"")</x:f>
        <x:v>21</x:v>
      </x:c>
      <x:c r="L190" s="50" t="n">
        <x:f>IF(I190=1,IFERROR(VALUE(SUBSTITUTE(_xlfn.XLOOKUP(H190,Rates_Raw!$AF$5:$AF$464,Rates_Raw!$L$5:$L$464,""),"$","")),""),"")</x:f>
        <x:v>34.925</x:v>
      </x:c>
      <x:c r="M190" s="50" t="n">
        <x:f>IF(OR(G190="",L190=""),"",ROUND(G190-L190,4))</x:f>
        <x:v>0</x:v>
      </x:c>
      <x:c r="N190" t="str">
        <x:f>IF(I190=0,"NO MATCH",IF(I190&gt;1,"AMBIGUOUS",IF(EXACT(TRIM(E190),TRIM(J190)),"EXACT","TITLE VARIANT")))</x:f>
        <x:v>EXACT</x:v>
      </x:c>
      <x:c r="O190" t="str">
        <x:f>IF(I190&lt;&gt;1,"NOT TESTED",IF(OR(G190="",L190=""),"MISSING",IF(ABS(M190)&lt;=Guide!$B$16,"PASS","REVIEW")))</x:f>
        <x:v>PASS</x:v>
      </x:c>
      <x:c r="P190" s="52" t="n">
        <x:f>IF(I190=1,IFERROR(VALUE(SUBSTITUTE(SUBSTITUTE(_xlfn.XLOOKUP(H190,Rates_Raw!$AF$5:$AF$464,Rates_Raw!$I$5:$I$464,""),"$",""),",","")),""),"")</x:f>
        <x:v>2794</x:v>
      </x:c>
      <x:c r="Q190" s="52" t="n">
        <x:f>IF(P190="","",P190*Guide!$B$15)</x:f>
        <x:v>72644</x:v>
      </x:c>
      <x:c r="R190" t="str">
        <x:f>IF(I190=0,"UNMATCHED",IF(I190&gt;1,"DUPLICATE KEY",IF(OR(N190="TITLE VARIANT",O190="REVIEW",O190="MISSING"),"REVIEW","VERIFIED")))</x:f>
        <x:v>VERIFIED</x:v>
      </x:c>
      <x:c r="S190" s="46" t="str">
        <x:v>Not Reviewed</x:v>
      </x:c>
      <x:c r="T190" s="48"/>
    </x:row>
    <x:row r="191">
      <x:c r="A191" t="n">
        <x:f>Plan_Raw!A191</x:f>
        <x:v>975</x:v>
      </x:c>
      <x:c r="B191" t="str">
        <x:f>Plan_Raw!D191</x:f>
        <x:v>1091</x:v>
      </x:c>
      <x:c r="C191" t="str">
        <x:f>LEFT(Plan_Raw!B191,10)</x:f>
        <x:v>2025-01-04</x:v>
      </x:c>
      <x:c r="D191" t="str">
        <x:f>Plan_Raw!F191</x:f>
        <x:v>SFMTA</x:v>
      </x:c>
      <x:c r="E191" t="str">
        <x:f>Plan_Raw!E191</x:f>
        <x:v>IT Operations Support Administrator I</x:v>
      </x:c>
      <x:c r="F191" t="str">
        <x:f>Plan_Raw!C191</x:f>
        <x:v>1091A</x:v>
      </x:c>
      <x:c r="G191" s="50" t="n">
        <x:f>IF(Plan_Raw!G191="","",IFERROR(VALUE(Plan_Raw!G191),""))</x:f>
        <x:v>34.925</x:v>
      </x:c>
      <x:c r="H191" t="str">
        <x:f>Plan_Raw!AH191</x:f>
        <x:v>1091|SFMTA|2025-01-04</x:v>
      </x:c>
      <x:c r="I191" t="n">
        <x:f>COUNTIF(Rates_Raw!$AF$5:$AF$464,H191)</x:f>
        <x:v>1</x:v>
      </x:c>
      <x:c r="J191" t="str">
        <x:f>IF(I191=1,_xlfn.XLOOKUP(H191,Rates_Raw!$AF$5:$AF$464,Rates_Raw!$E$5:$E$464,""),"")</x:f>
        <x:v>IT Operations Support Administrator I</x:v>
      </x:c>
      <x:c r="K191" t="n">
        <x:f>IF(I191=1,_xlfn.XLOOKUP(H191,Rates_Raw!$AF$5:$AF$464,Rates_Raw!$F$5:$F$464,""),"")</x:f>
        <x:v>21</x:v>
      </x:c>
      <x:c r="L191" s="50" t="n">
        <x:f>IF(I191=1,IFERROR(VALUE(SUBSTITUTE(_xlfn.XLOOKUP(H191,Rates_Raw!$AF$5:$AF$464,Rates_Raw!$L$5:$L$464,""),"$","")),""),"")</x:f>
        <x:v>34.925</x:v>
      </x:c>
      <x:c r="M191" s="50" t="n">
        <x:f>IF(OR(G191="",L191=""),"",ROUND(G191-L191,4))</x:f>
        <x:v>0</x:v>
      </x:c>
      <x:c r="N191" t="str">
        <x:f>IF(I191=0,"NO MATCH",IF(I191&gt;1,"AMBIGUOUS",IF(EXACT(TRIM(E191),TRIM(J191)),"EXACT","TITLE VARIANT")))</x:f>
        <x:v>EXACT</x:v>
      </x:c>
      <x:c r="O191" t="str">
        <x:f>IF(I191&lt;&gt;1,"NOT TESTED",IF(OR(G191="",L191=""),"MISSING",IF(ABS(M191)&lt;=Guide!$B$16,"PASS","REVIEW")))</x:f>
        <x:v>PASS</x:v>
      </x:c>
      <x:c r="P191" s="52" t="n">
        <x:f>IF(I191=1,IFERROR(VALUE(SUBSTITUTE(SUBSTITUTE(_xlfn.XLOOKUP(H191,Rates_Raw!$AF$5:$AF$464,Rates_Raw!$I$5:$I$464,""),"$",""),",","")),""),"")</x:f>
        <x:v>2794</x:v>
      </x:c>
      <x:c r="Q191" s="52" t="n">
        <x:f>IF(P191="","",P191*Guide!$B$15)</x:f>
        <x:v>72644</x:v>
      </x:c>
      <x:c r="R191" t="str">
        <x:f>IF(I191=0,"UNMATCHED",IF(I191&gt;1,"DUPLICATE KEY",IF(OR(N191="TITLE VARIANT",O191="REVIEW",O191="MISSING"),"REVIEW","VERIFIED")))</x:f>
        <x:v>VERIFIED</x:v>
      </x:c>
      <x:c r="S191" s="46" t="str">
        <x:v>Not Reviewed</x:v>
      </x:c>
      <x:c r="T191" s="48"/>
    </x:row>
    <x:row r="192">
      <x:c r="A192" t="n">
        <x:f>Plan_Raw!A192</x:f>
        <x:v>964</x:v>
      </x:c>
      <x:c r="B192" t="str">
        <x:f>Plan_Raw!D192</x:f>
        <x:v>1091</x:v>
      </x:c>
      <x:c r="C192" t="str">
        <x:f>LEFT(Plan_Raw!B192,10)</x:f>
        <x:v>2025-07-01</x:v>
      </x:c>
      <x:c r="D192" t="str">
        <x:f>Plan_Raw!F192</x:f>
        <x:v>COMMN</x:v>
      </x:c>
      <x:c r="E192" t="str">
        <x:f>Plan_Raw!E192</x:f>
        <x:v>IT Operations Support Admin I</x:v>
      </x:c>
      <x:c r="F192" t="str">
        <x:f>Plan_Raw!C192</x:f>
        <x:v>1091B</x:v>
      </x:c>
      <x:c r="G192" s="50" t="n">
        <x:f>IF(Plan_Raw!G192="","",IFERROR(VALUE(Plan_Raw!G192),""))</x:f>
        <x:v>35.625</x:v>
      </x:c>
      <x:c r="H192" t="str">
        <x:f>Plan_Raw!AH192</x:f>
        <x:v>1091|COMMN|2025-07-01</x:v>
      </x:c>
      <x:c r="I192" t="n">
        <x:f>COUNTIF(Rates_Raw!$AF$5:$AF$464,H192)</x:f>
        <x:v>1</x:v>
      </x:c>
      <x:c r="J192" t="str">
        <x:f>IF(I192=1,_xlfn.XLOOKUP(H192,Rates_Raw!$AF$5:$AF$464,Rates_Raw!$E$5:$E$464,""),"")</x:f>
        <x:v>IT Operations Support Admin I</x:v>
      </x:c>
      <x:c r="K192" t="n">
        <x:f>IF(I192=1,_xlfn.XLOOKUP(H192,Rates_Raw!$AF$5:$AF$464,Rates_Raw!$F$5:$F$464,""),"")</x:f>
        <x:v>21</x:v>
      </x:c>
      <x:c r="L192" s="50" t="n">
        <x:f>IF(I192=1,IFERROR(VALUE(SUBSTITUTE(_xlfn.XLOOKUP(H192,Rates_Raw!$AF$5:$AF$464,Rates_Raw!$L$5:$L$464,""),"$","")),""),"")</x:f>
        <x:v>35.625</x:v>
      </x:c>
      <x:c r="M192" s="50" t="n">
        <x:f>IF(OR(G192="",L192=""),"",ROUND(G192-L192,4))</x:f>
        <x:v>0</x:v>
      </x:c>
      <x:c r="N192" t="str">
        <x:f>IF(I192=0,"NO MATCH",IF(I192&gt;1,"AMBIGUOUS",IF(EXACT(TRIM(E192),TRIM(J192)),"EXACT","TITLE VARIANT")))</x:f>
        <x:v>EXACT</x:v>
      </x:c>
      <x:c r="O192" t="str">
        <x:f>IF(I192&lt;&gt;1,"NOT TESTED",IF(OR(G192="",L192=""),"MISSING",IF(ABS(M192)&lt;=Guide!$B$16,"PASS","REVIEW")))</x:f>
        <x:v>PASS</x:v>
      </x:c>
      <x:c r="P192" s="52" t="n">
        <x:f>IF(I192=1,IFERROR(VALUE(SUBSTITUTE(SUBSTITUTE(_xlfn.XLOOKUP(H192,Rates_Raw!$AF$5:$AF$464,Rates_Raw!$I$5:$I$464,""),"$",""),",","")),""),"")</x:f>
        <x:v>2850</x:v>
      </x:c>
      <x:c r="Q192" s="52" t="n">
        <x:f>IF(P192="","",P192*Guide!$B$15)</x:f>
        <x:v>74100</x:v>
      </x:c>
      <x:c r="R192" t="str">
        <x:f>IF(I192=0,"UNMATCHED",IF(I192&gt;1,"DUPLICATE KEY",IF(OR(N192="TITLE VARIANT",O192="REVIEW",O192="MISSING"),"REVIEW","VERIFIED")))</x:f>
        <x:v>VERIFIED</x:v>
      </x:c>
      <x:c r="S192" s="46" t="str">
        <x:v>Not Reviewed</x:v>
      </x:c>
      <x:c r="T192" s="48"/>
    </x:row>
    <x:row r="193">
      <x:c r="A193" t="n">
        <x:f>Plan_Raw!A193</x:f>
        <x:v>976</x:v>
      </x:c>
      <x:c r="B193" t="str">
        <x:f>Plan_Raw!D193</x:f>
        <x:v>1091</x:v>
      </x:c>
      <x:c r="C193" t="str">
        <x:f>LEFT(Plan_Raw!B193,10)</x:f>
        <x:v>2025-07-01</x:v>
      </x:c>
      <x:c r="D193" t="str">
        <x:f>Plan_Raw!F193</x:f>
        <x:v>SFMTA</x:v>
      </x:c>
      <x:c r="E193" t="str">
        <x:f>Plan_Raw!E193</x:f>
        <x:v>IT Operations Support Admin I</x:v>
      </x:c>
      <x:c r="F193" t="str">
        <x:f>Plan_Raw!C193</x:f>
        <x:v>1091B</x:v>
      </x:c>
      <x:c r="G193" s="50" t="n">
        <x:f>IF(Plan_Raw!G193="","",IFERROR(VALUE(Plan_Raw!G193),""))</x:f>
        <x:v>35.625</x:v>
      </x:c>
      <x:c r="H193" t="str">
        <x:f>Plan_Raw!AH193</x:f>
        <x:v>1091|SFMTA|2025-07-01</x:v>
      </x:c>
      <x:c r="I193" t="n">
        <x:f>COUNTIF(Rates_Raw!$AF$5:$AF$464,H193)</x:f>
        <x:v>1</x:v>
      </x:c>
      <x:c r="J193" t="str">
        <x:f>IF(I193=1,_xlfn.XLOOKUP(H193,Rates_Raw!$AF$5:$AF$464,Rates_Raw!$E$5:$E$464,""),"")</x:f>
        <x:v>IT Operations Support Admin I</x:v>
      </x:c>
      <x:c r="K193" t="n">
        <x:f>IF(I193=1,_xlfn.XLOOKUP(H193,Rates_Raw!$AF$5:$AF$464,Rates_Raw!$F$5:$F$464,""),"")</x:f>
        <x:v>21</x:v>
      </x:c>
      <x:c r="L193" s="50" t="n">
        <x:f>IF(I193=1,IFERROR(VALUE(SUBSTITUTE(_xlfn.XLOOKUP(H193,Rates_Raw!$AF$5:$AF$464,Rates_Raw!$L$5:$L$464,""),"$","")),""),"")</x:f>
        <x:v>35.625</x:v>
      </x:c>
      <x:c r="M193" s="50" t="n">
        <x:f>IF(OR(G193="",L193=""),"",ROUND(G193-L193,4))</x:f>
        <x:v>0</x:v>
      </x:c>
      <x:c r="N193" t="str">
        <x:f>IF(I193=0,"NO MATCH",IF(I193&gt;1,"AMBIGUOUS",IF(EXACT(TRIM(E193),TRIM(J193)),"EXACT","TITLE VARIANT")))</x:f>
        <x:v>EXACT</x:v>
      </x:c>
      <x:c r="O193" t="str">
        <x:f>IF(I193&lt;&gt;1,"NOT TESTED",IF(OR(G193="",L193=""),"MISSING",IF(ABS(M193)&lt;=Guide!$B$16,"PASS","REVIEW")))</x:f>
        <x:v>PASS</x:v>
      </x:c>
      <x:c r="P193" s="52" t="n">
        <x:f>IF(I193=1,IFERROR(VALUE(SUBSTITUTE(SUBSTITUTE(_xlfn.XLOOKUP(H193,Rates_Raw!$AF$5:$AF$464,Rates_Raw!$I$5:$I$464,""),"$",""),",","")),""),"")</x:f>
        <x:v>2850</x:v>
      </x:c>
      <x:c r="Q193" s="52" t="n">
        <x:f>IF(P193="","",P193*Guide!$B$15)</x:f>
        <x:v>74100</x:v>
      </x:c>
      <x:c r="R193" t="str">
        <x:f>IF(I193=0,"UNMATCHED",IF(I193&gt;1,"DUPLICATE KEY",IF(OR(N193="TITLE VARIANT",O193="REVIEW",O193="MISSING"),"REVIEW","VERIFIED")))</x:f>
        <x:v>VERIFIED</x:v>
      </x:c>
      <x:c r="S193" s="46" t="str">
        <x:v>Not Reviewed</x:v>
      </x:c>
      <x:c r="T193" s="48"/>
    </x:row>
    <x:row r="194">
      <x:c r="A194" t="n">
        <x:f>Plan_Raw!A194</x:f>
        <x:v>965</x:v>
      </x:c>
      <x:c r="B194" t="str">
        <x:f>Plan_Raw!D194</x:f>
        <x:v>1091</x:v>
      </x:c>
      <x:c r="C194" t="str">
        <x:f>LEFT(Plan_Raw!B194,10)</x:f>
        <x:v>2026-01-03</x:v>
      </x:c>
      <x:c r="D194" t="str">
        <x:f>Plan_Raw!F194</x:f>
        <x:v>COMMN</x:v>
      </x:c>
      <x:c r="E194" t="str">
        <x:f>Plan_Raw!E194</x:f>
        <x:v>IT Operations Support Admin I</x:v>
      </x:c>
      <x:c r="F194" t="str">
        <x:f>Plan_Raw!C194</x:f>
        <x:v>1091C</x:v>
      </x:c>
      <x:c r="G194" s="50" t="n">
        <x:f>IF(Plan_Raw!G194="","",IFERROR(VALUE(Plan_Raw!G194),""))</x:f>
        <x:v>36.1625</x:v>
      </x:c>
      <x:c r="H194" t="str">
        <x:f>Plan_Raw!AH194</x:f>
        <x:v>1091|COMMN|2026-01-03</x:v>
      </x:c>
      <x:c r="I194" t="n">
        <x:f>COUNTIF(Rates_Raw!$AF$5:$AF$464,H194)</x:f>
        <x:v>1</x:v>
      </x:c>
      <x:c r="J194" t="str">
        <x:f>IF(I194=1,_xlfn.XLOOKUP(H194,Rates_Raw!$AF$5:$AF$464,Rates_Raw!$E$5:$E$464,""),"")</x:f>
        <x:v>IT Operations Support Admin I</x:v>
      </x:c>
      <x:c r="K194" t="n">
        <x:f>IF(I194=1,_xlfn.XLOOKUP(H194,Rates_Raw!$AF$5:$AF$464,Rates_Raw!$F$5:$F$464,""),"")</x:f>
        <x:v>21</x:v>
      </x:c>
      <x:c r="L194" s="50" t="n">
        <x:f>IF(I194=1,IFERROR(VALUE(SUBSTITUTE(_xlfn.XLOOKUP(H194,Rates_Raw!$AF$5:$AF$464,Rates_Raw!$L$5:$L$464,""),"$","")),""),"")</x:f>
        <x:v>36.1625</x:v>
      </x:c>
      <x:c r="M194" s="50" t="n">
        <x:f>IF(OR(G194="",L194=""),"",ROUND(G194-L194,4))</x:f>
        <x:v>0</x:v>
      </x:c>
      <x:c r="N194" t="str">
        <x:f>IF(I194=0,"NO MATCH",IF(I194&gt;1,"AMBIGUOUS",IF(EXACT(TRIM(E194),TRIM(J194)),"EXACT","TITLE VARIANT")))</x:f>
        <x:v>EXACT</x:v>
      </x:c>
      <x:c r="O194" t="str">
        <x:f>IF(I194&lt;&gt;1,"NOT TESTED",IF(OR(G194="",L194=""),"MISSING",IF(ABS(M194)&lt;=Guide!$B$16,"PASS","REVIEW")))</x:f>
        <x:v>PASS</x:v>
      </x:c>
      <x:c r="P194" s="52" t="n">
        <x:f>IF(I194=1,IFERROR(VALUE(SUBSTITUTE(SUBSTITUTE(_xlfn.XLOOKUP(H194,Rates_Raw!$AF$5:$AF$464,Rates_Raw!$I$5:$I$464,""),"$",""),",","")),""),"")</x:f>
        <x:v>2893</x:v>
      </x:c>
      <x:c r="Q194" s="52" t="n">
        <x:f>IF(P194="","",P194*Guide!$B$15)</x:f>
        <x:v>75218</x:v>
      </x:c>
      <x:c r="R194" t="str">
        <x:f>IF(I194=0,"UNMATCHED",IF(I194&gt;1,"DUPLICATE KEY",IF(OR(N194="TITLE VARIANT",O194="REVIEW",O194="MISSING"),"REVIEW","VERIFIED")))</x:f>
        <x:v>VERIFIED</x:v>
      </x:c>
      <x:c r="S194" s="46" t="str">
        <x:v>Not Reviewed</x:v>
      </x:c>
      <x:c r="T194" s="48"/>
    </x:row>
    <x:row r="195">
      <x:c r="A195" t="n">
        <x:f>Plan_Raw!A195</x:f>
        <x:v>977</x:v>
      </x:c>
      <x:c r="B195" t="str">
        <x:f>Plan_Raw!D195</x:f>
        <x:v>1091</x:v>
      </x:c>
      <x:c r="C195" t="str">
        <x:f>LEFT(Plan_Raw!B195,10)</x:f>
        <x:v>2026-01-03</x:v>
      </x:c>
      <x:c r="D195" t="str">
        <x:f>Plan_Raw!F195</x:f>
        <x:v>SFMTA</x:v>
      </x:c>
      <x:c r="E195" t="str">
        <x:f>Plan_Raw!E195</x:f>
        <x:v>IT Operations Support Admin I</x:v>
      </x:c>
      <x:c r="F195" t="str">
        <x:f>Plan_Raw!C195</x:f>
        <x:v>1091C</x:v>
      </x:c>
      <x:c r="G195" s="50" t="n">
        <x:f>IF(Plan_Raw!G195="","",IFERROR(VALUE(Plan_Raw!G195),""))</x:f>
        <x:v>36.1625</x:v>
      </x:c>
      <x:c r="H195" t="str">
        <x:f>Plan_Raw!AH195</x:f>
        <x:v>1091|SFMTA|2026-01-03</x:v>
      </x:c>
      <x:c r="I195" t="n">
        <x:f>COUNTIF(Rates_Raw!$AF$5:$AF$464,H195)</x:f>
        <x:v>1</x:v>
      </x:c>
      <x:c r="J195" t="str">
        <x:f>IF(I195=1,_xlfn.XLOOKUP(H195,Rates_Raw!$AF$5:$AF$464,Rates_Raw!$E$5:$E$464,""),"")</x:f>
        <x:v>IT Operations Support Admin I</x:v>
      </x:c>
      <x:c r="K195" t="n">
        <x:f>IF(I195=1,_xlfn.XLOOKUP(H195,Rates_Raw!$AF$5:$AF$464,Rates_Raw!$F$5:$F$464,""),"")</x:f>
        <x:v>21</x:v>
      </x:c>
      <x:c r="L195" s="50" t="n">
        <x:f>IF(I195=1,IFERROR(VALUE(SUBSTITUTE(_xlfn.XLOOKUP(H195,Rates_Raw!$AF$5:$AF$464,Rates_Raw!$L$5:$L$464,""),"$","")),""),"")</x:f>
        <x:v>36.1625</x:v>
      </x:c>
      <x:c r="M195" s="50" t="n">
        <x:f>IF(OR(G195="",L195=""),"",ROUND(G195-L195,4))</x:f>
        <x:v>0</x:v>
      </x:c>
      <x:c r="N195" t="str">
        <x:f>IF(I195=0,"NO MATCH",IF(I195&gt;1,"AMBIGUOUS",IF(EXACT(TRIM(E195),TRIM(J195)),"EXACT","TITLE VARIANT")))</x:f>
        <x:v>EXACT</x:v>
      </x:c>
      <x:c r="O195" t="str">
        <x:f>IF(I195&lt;&gt;1,"NOT TESTED",IF(OR(G195="",L195=""),"MISSING",IF(ABS(M195)&lt;=Guide!$B$16,"PASS","REVIEW")))</x:f>
        <x:v>PASS</x:v>
      </x:c>
      <x:c r="P195" s="52" t="n">
        <x:f>IF(I195=1,IFERROR(VALUE(SUBSTITUTE(SUBSTITUTE(_xlfn.XLOOKUP(H195,Rates_Raw!$AF$5:$AF$464,Rates_Raw!$I$5:$I$464,""),"$",""),",","")),""),"")</x:f>
        <x:v>2893</x:v>
      </x:c>
      <x:c r="Q195" s="52" t="n">
        <x:f>IF(P195="","",P195*Guide!$B$15)</x:f>
        <x:v>75218</x:v>
      </x:c>
      <x:c r="R195" t="str">
        <x:f>IF(I195=0,"UNMATCHED",IF(I195&gt;1,"DUPLICATE KEY",IF(OR(N195="TITLE VARIANT",O195="REVIEW",O195="MISSING"),"REVIEW","VERIFIED")))</x:f>
        <x:v>VERIFIED</x:v>
      </x:c>
      <x:c r="S195" s="46" t="str">
        <x:v>Not Reviewed</x:v>
      </x:c>
      <x:c r="T195" s="48"/>
    </x:row>
    <x:row r="196">
      <x:c r="A196" t="n">
        <x:f>Plan_Raw!A196</x:f>
        <x:v>966</x:v>
      </x:c>
      <x:c r="B196" t="str">
        <x:f>Plan_Raw!D196</x:f>
        <x:v>1091</x:v>
      </x:c>
      <x:c r="C196" t="str">
        <x:f>LEFT(Plan_Raw!B196,10)</x:f>
        <x:v>2026-07-01</x:v>
      </x:c>
      <x:c r="D196" t="str">
        <x:f>Plan_Raw!F196</x:f>
        <x:v>COMMN</x:v>
      </x:c>
      <x:c r="E196" t="str">
        <x:f>Plan_Raw!E196</x:f>
        <x:v>IT Operations Support Admin I</x:v>
      </x:c>
      <x:c r="F196" t="str">
        <x:f>Plan_Raw!C196</x:f>
        <x:v>1091D</x:v>
      </x:c>
      <x:c r="G196" s="50" t="n">
        <x:f>IF(Plan_Raw!G196="","",IFERROR(VALUE(Plan_Raw!G196),""))</x:f>
        <x:v>36.8875</x:v>
      </x:c>
      <x:c r="H196" t="str">
        <x:f>Plan_Raw!AH196</x:f>
        <x:v>1091|COMMN|2026-07-01</x:v>
      </x:c>
      <x:c r="I196" t="n">
        <x:f>COUNTIF(Rates_Raw!$AF$5:$AF$464,H196)</x:f>
        <x:v>0</x:v>
      </x:c>
      <x:c r="J196" t="str">
        <x:f>IF(I196=1,_xlfn.XLOOKUP(H196,Rates_Raw!$AF$5:$AF$464,Rates_Raw!$E$5:$E$464,""),"")</x:f>
      </x:c>
      <x:c r="K196" t="str">
        <x:f>IF(I196=1,_xlfn.XLOOKUP(H196,Rates_Raw!$AF$5:$AF$464,Rates_Raw!$F$5:$F$464,""),"")</x:f>
      </x:c>
      <x:c r="L196" s="50" t="str">
        <x:f>IF(I196=1,IFERROR(VALUE(SUBSTITUTE(_xlfn.XLOOKUP(H196,Rates_Raw!$AF$5:$AF$464,Rates_Raw!$L$5:$L$464,""),"$","")),""),"")</x:f>
      </x:c>
      <x:c r="M196" s="50" t="str">
        <x:f>IF(OR(G196="",L196=""),"",ROUND(G196-L196,4))</x:f>
      </x:c>
      <x:c r="N196" t="str">
        <x:f>IF(I196=0,"NO MATCH",IF(I196&gt;1,"AMBIGUOUS",IF(EXACT(TRIM(E196),TRIM(J196)),"EXACT","TITLE VARIANT")))</x:f>
        <x:v>NO MATCH</x:v>
      </x:c>
      <x:c r="O196" t="str">
        <x:f>IF(I196&lt;&gt;1,"NOT TESTED",IF(OR(G196="",L196=""),"MISSING",IF(ABS(M196)&lt;=Guide!$B$16,"PASS","REVIEW")))</x:f>
        <x:v>NOT TESTED</x:v>
      </x:c>
      <x:c r="P196" s="52" t="str">
        <x:f>IF(I196=1,IFERROR(VALUE(SUBSTITUTE(SUBSTITUTE(_xlfn.XLOOKUP(H196,Rates_Raw!$AF$5:$AF$464,Rates_Raw!$I$5:$I$464,""),"$",""),",","")),""),"")</x:f>
      </x:c>
      <x:c r="Q196" s="52" t="str">
        <x:f>IF(P196="","",P196*Guide!$B$15)</x:f>
      </x:c>
      <x:c r="R196" t="str">
        <x:f>IF(I196=0,"UNMATCHED",IF(I196&gt;1,"DUPLICATE KEY",IF(OR(N196="TITLE VARIANT",O196="REVIEW",O196="MISSING"),"REVIEW","VERIFIED")))</x:f>
        <x:v>UNMATCHED</x:v>
      </x:c>
      <x:c r="S196" s="46" t="str">
        <x:v>Not Reviewed</x:v>
      </x:c>
      <x:c r="T196" s="48"/>
    </x:row>
    <x:row r="197">
      <x:c r="A197" t="n">
        <x:f>Plan_Raw!A197</x:f>
        <x:v>978</x:v>
      </x:c>
      <x:c r="B197" t="str">
        <x:f>Plan_Raw!D197</x:f>
        <x:v>1091</x:v>
      </x:c>
      <x:c r="C197" t="str">
        <x:f>LEFT(Plan_Raw!B197,10)</x:f>
        <x:v>2026-07-01</x:v>
      </x:c>
      <x:c r="D197" t="str">
        <x:f>Plan_Raw!F197</x:f>
        <x:v>SFMTA</x:v>
      </x:c>
      <x:c r="E197" t="str">
        <x:f>Plan_Raw!E197</x:f>
        <x:v>IT Operations Support Admin I</x:v>
      </x:c>
      <x:c r="F197" t="str">
        <x:f>Plan_Raw!C197</x:f>
        <x:v>1091D</x:v>
      </x:c>
      <x:c r="G197" s="50" t="n">
        <x:f>IF(Plan_Raw!G197="","",IFERROR(VALUE(Plan_Raw!G197),""))</x:f>
        <x:v>36.8875</x:v>
      </x:c>
      <x:c r="H197" t="str">
        <x:f>Plan_Raw!AH197</x:f>
        <x:v>1091|SFMTA|2026-07-01</x:v>
      </x:c>
      <x:c r="I197" t="n">
        <x:f>COUNTIF(Rates_Raw!$AF$5:$AF$464,H197)</x:f>
        <x:v>0</x:v>
      </x:c>
      <x:c r="J197" t="str">
        <x:f>IF(I197=1,_xlfn.XLOOKUP(H197,Rates_Raw!$AF$5:$AF$464,Rates_Raw!$E$5:$E$464,""),"")</x:f>
      </x:c>
      <x:c r="K197" t="str">
        <x:f>IF(I197=1,_xlfn.XLOOKUP(H197,Rates_Raw!$AF$5:$AF$464,Rates_Raw!$F$5:$F$464,""),"")</x:f>
      </x:c>
      <x:c r="L197" s="50" t="str">
        <x:f>IF(I197=1,IFERROR(VALUE(SUBSTITUTE(_xlfn.XLOOKUP(H197,Rates_Raw!$AF$5:$AF$464,Rates_Raw!$L$5:$L$464,""),"$","")),""),"")</x:f>
      </x:c>
      <x:c r="M197" s="50" t="str">
        <x:f>IF(OR(G197="",L197=""),"",ROUND(G197-L197,4))</x:f>
      </x:c>
      <x:c r="N197" t="str">
        <x:f>IF(I197=0,"NO MATCH",IF(I197&gt;1,"AMBIGUOUS",IF(EXACT(TRIM(E197),TRIM(J197)),"EXACT","TITLE VARIANT")))</x:f>
        <x:v>NO MATCH</x:v>
      </x:c>
      <x:c r="O197" t="str">
        <x:f>IF(I197&lt;&gt;1,"NOT TESTED",IF(OR(G197="",L197=""),"MISSING",IF(ABS(M197)&lt;=Guide!$B$16,"PASS","REVIEW")))</x:f>
        <x:v>NOT TESTED</x:v>
      </x:c>
      <x:c r="P197" s="52" t="str">
        <x:f>IF(I197=1,IFERROR(VALUE(SUBSTITUTE(SUBSTITUTE(_xlfn.XLOOKUP(H197,Rates_Raw!$AF$5:$AF$464,Rates_Raw!$I$5:$I$464,""),"$",""),",","")),""),"")</x:f>
      </x:c>
      <x:c r="Q197" s="52" t="str">
        <x:f>IF(P197="","",P197*Guide!$B$15)</x:f>
      </x:c>
      <x:c r="R197" t="str">
        <x:f>IF(I197=0,"UNMATCHED",IF(I197&gt;1,"DUPLICATE KEY",IF(OR(N197="TITLE VARIANT",O197="REVIEW",O197="MISSING"),"REVIEW","VERIFIED")))</x:f>
        <x:v>UNMATCHED</x:v>
      </x:c>
      <x:c r="S197" s="46" t="str">
        <x:v>Not Reviewed</x:v>
      </x:c>
      <x:c r="T197" s="48"/>
    </x:row>
    <x:row r="198">
      <x:c r="A198" t="n">
        <x:f>Plan_Raw!A198</x:f>
        <x:v>979</x:v>
      </x:c>
      <x:c r="B198" t="str">
        <x:f>Plan_Raw!D198</x:f>
        <x:v>1092</x:v>
      </x:c>
      <x:c r="C198" t="str">
        <x:f>LEFT(Plan_Raw!B198,10)</x:f>
        <x:v>2020-07-01</x:v>
      </x:c>
      <x:c r="D198" t="str">
        <x:f>Plan_Raw!F198</x:f>
        <x:v>COMMN</x:v>
      </x:c>
      <x:c r="E198" t="str">
        <x:f>Plan_Raw!E198</x:f>
        <x:v>IT Operations Support Administrator II</x:v>
      </x:c>
      <x:c r="F198" t="str">
        <x:f>Plan_Raw!C198</x:f>
        <x:v>1092S</x:v>
      </x:c>
      <x:c r="G198" s="50" t="n">
        <x:f>IF(Plan_Raw!G198="","",IFERROR(VALUE(Plan_Raw!G198),""))</x:f>
        <x:v>33.3625</x:v>
      </x:c>
      <x:c r="H198" t="str">
        <x:f>Plan_Raw!AH198</x:f>
        <x:v>1092|COMMN|2020-07-01</x:v>
      </x:c>
      <x:c r="I198" t="n">
        <x:f>COUNTIF(Rates_Raw!$AF$5:$AF$464,H198)</x:f>
        <x:v>1</x:v>
      </x:c>
      <x:c r="J198" t="str">
        <x:f>IF(I198=1,_xlfn.XLOOKUP(H198,Rates_Raw!$AF$5:$AF$464,Rates_Raw!$E$5:$E$464,""),"")</x:f>
        <x:v>IT Operations Support Administrator II</x:v>
      </x:c>
      <x:c r="K198" t="n">
        <x:f>IF(I198=1,_xlfn.XLOOKUP(H198,Rates_Raw!$AF$5:$AF$464,Rates_Raw!$F$5:$F$464,""),"")</x:f>
        <x:v>21</x:v>
      </x:c>
      <x:c r="L198" s="50" t="n">
        <x:f>IF(I198=1,IFERROR(VALUE(SUBSTITUTE(_xlfn.XLOOKUP(H198,Rates_Raw!$AF$5:$AF$464,Rates_Raw!$L$5:$L$464,""),"$","")),""),"")</x:f>
        <x:v>33.3625</x:v>
      </x:c>
      <x:c r="M198" s="50" t="n">
        <x:f>IF(OR(G198="",L198=""),"",ROUND(G198-L198,4))</x:f>
        <x:v>0</x:v>
      </x:c>
      <x:c r="N198" t="str">
        <x:f>IF(I198=0,"NO MATCH",IF(I198&gt;1,"AMBIGUOUS",IF(EXACT(TRIM(E198),TRIM(J198)),"EXACT","TITLE VARIANT")))</x:f>
        <x:v>EXACT</x:v>
      </x:c>
      <x:c r="O198" t="str">
        <x:f>IF(I198&lt;&gt;1,"NOT TESTED",IF(OR(G198="",L198=""),"MISSING",IF(ABS(M198)&lt;=Guide!$B$16,"PASS","REVIEW")))</x:f>
        <x:v>PASS</x:v>
      </x:c>
      <x:c r="P198" s="52" t="n">
        <x:f>IF(I198=1,IFERROR(VALUE(SUBSTITUTE(SUBSTITUTE(_xlfn.XLOOKUP(H198,Rates_Raw!$AF$5:$AF$464,Rates_Raw!$I$5:$I$464,""),"$",""),",","")),""),"")</x:f>
        <x:v>2669</x:v>
      </x:c>
      <x:c r="Q198" s="52" t="n">
        <x:f>IF(P198="","",P198*Guide!$B$15)</x:f>
        <x:v>69394</x:v>
      </x:c>
      <x:c r="R198" t="str">
        <x:f>IF(I198=0,"UNMATCHED",IF(I198&gt;1,"DUPLICATE KEY",IF(OR(N198="TITLE VARIANT",O198="REVIEW",O198="MISSING"),"REVIEW","VERIFIED")))</x:f>
        <x:v>VERIFIED</x:v>
      </x:c>
      <x:c r="S198" s="46" t="str">
        <x:v>Not Reviewed</x:v>
      </x:c>
      <x:c r="T198" s="48"/>
    </x:row>
    <x:row r="199">
      <x:c r="A199" t="n">
        <x:f>Plan_Raw!A199</x:f>
        <x:v>985</x:v>
      </x:c>
      <x:c r="B199" t="str">
        <x:f>Plan_Raw!D199</x:f>
        <x:v>1092</x:v>
      </x:c>
      <x:c r="C199" t="str">
        <x:f>LEFT(Plan_Raw!B199,10)</x:f>
        <x:v>2024-01-06</x:v>
      </x:c>
      <x:c r="D199" t="str">
        <x:f>Plan_Raw!F199</x:f>
        <x:v>COMMN</x:v>
      </x:c>
      <x:c r="E199" t="str">
        <x:f>Plan_Raw!E199</x:f>
        <x:v>IT Operations Support Administrator II</x:v>
      </x:c>
      <x:c r="F199" t="str">
        <x:f>Plan_Raw!C199</x:f>
        <x:v>1092Y</x:v>
      </x:c>
      <x:c r="G199" s="50" t="n">
        <x:f>IF(Plan_Raw!G199="","",IFERROR(VALUE(Plan_Raw!G199),""))</x:f>
        <x:v>39.425</x:v>
      </x:c>
      <x:c r="H199" t="str">
        <x:f>Plan_Raw!AH199</x:f>
        <x:v>1092|COMMN|2024-01-06</x:v>
      </x:c>
      <x:c r="I199" t="n">
        <x:f>COUNTIF(Rates_Raw!$AF$5:$AF$464,H199)</x:f>
        <x:v>1</x:v>
      </x:c>
      <x:c r="J199" t="str">
        <x:f>IF(I199=1,_xlfn.XLOOKUP(H199,Rates_Raw!$AF$5:$AF$464,Rates_Raw!$E$5:$E$464,""),"")</x:f>
        <x:v>IT Operations Support Administrator II</x:v>
      </x:c>
      <x:c r="K199" t="n">
        <x:f>IF(I199=1,_xlfn.XLOOKUP(H199,Rates_Raw!$AF$5:$AF$464,Rates_Raw!$F$5:$F$464,""),"")</x:f>
        <x:v>21</x:v>
      </x:c>
      <x:c r="L199" s="50" t="n">
        <x:f>IF(I199=1,IFERROR(VALUE(SUBSTITUTE(_xlfn.XLOOKUP(H199,Rates_Raw!$AF$5:$AF$464,Rates_Raw!$L$5:$L$464,""),"$","")),""),"")</x:f>
        <x:v>39.425</x:v>
      </x:c>
      <x:c r="M199" s="50" t="n">
        <x:f>IF(OR(G199="",L199=""),"",ROUND(G199-L199,4))</x:f>
        <x:v>0</x:v>
      </x:c>
      <x:c r="N199" t="str">
        <x:f>IF(I199=0,"NO MATCH",IF(I199&gt;1,"AMBIGUOUS",IF(EXACT(TRIM(E199),TRIM(J199)),"EXACT","TITLE VARIANT")))</x:f>
        <x:v>EXACT</x:v>
      </x:c>
      <x:c r="O199" t="str">
        <x:f>IF(I199&lt;&gt;1,"NOT TESTED",IF(OR(G199="",L199=""),"MISSING",IF(ABS(M199)&lt;=Guide!$B$16,"PASS","REVIEW")))</x:f>
        <x:v>PASS</x:v>
      </x:c>
      <x:c r="P199" s="52" t="n">
        <x:f>IF(I199=1,IFERROR(VALUE(SUBSTITUTE(SUBSTITUTE(_xlfn.XLOOKUP(H199,Rates_Raw!$AF$5:$AF$464,Rates_Raw!$I$5:$I$464,""),"$",""),",","")),""),"")</x:f>
        <x:v>3154</x:v>
      </x:c>
      <x:c r="Q199" s="52" t="n">
        <x:f>IF(P199="","",P199*Guide!$B$15)</x:f>
        <x:v>82004</x:v>
      </x:c>
      <x:c r="R199" t="str">
        <x:f>IF(I199=0,"UNMATCHED",IF(I199&gt;1,"DUPLICATE KEY",IF(OR(N199="TITLE VARIANT",O199="REVIEW",O199="MISSING"),"REVIEW","VERIFIED")))</x:f>
        <x:v>VERIFIED</x:v>
      </x:c>
      <x:c r="S199" s="46" t="str">
        <x:v>Not Reviewed</x:v>
      </x:c>
      <x:c r="T199" s="48"/>
    </x:row>
    <x:row r="200">
      <x:c r="A200" t="n">
        <x:f>Plan_Raw!A200</x:f>
        <x:v>997</x:v>
      </x:c>
      <x:c r="B200" t="str">
        <x:f>Plan_Raw!D200</x:f>
        <x:v>1092</x:v>
      </x:c>
      <x:c r="C200" t="str">
        <x:f>LEFT(Plan_Raw!B200,10)</x:f>
        <x:v>2024-01-06</x:v>
      </x:c>
      <x:c r="D200" t="str">
        <x:f>Plan_Raw!F200</x:f>
        <x:v>SFMTA</x:v>
      </x:c>
      <x:c r="E200" t="str">
        <x:f>Plan_Raw!E200</x:f>
        <x:v>IT Operations Support Administrator II</x:v>
      </x:c>
      <x:c r="F200" t="str">
        <x:f>Plan_Raw!C200</x:f>
        <x:v>1092Y</x:v>
      </x:c>
      <x:c r="G200" s="50" t="n">
        <x:f>IF(Plan_Raw!G200="","",IFERROR(VALUE(Plan_Raw!G200),""))</x:f>
        <x:v>39.425</x:v>
      </x:c>
      <x:c r="H200" t="str">
        <x:f>Plan_Raw!AH200</x:f>
        <x:v>1092|SFMTA|2024-01-06</x:v>
      </x:c>
      <x:c r="I200" t="n">
        <x:f>COUNTIF(Rates_Raw!$AF$5:$AF$464,H200)</x:f>
        <x:v>1</x:v>
      </x:c>
      <x:c r="J200" t="str">
        <x:f>IF(I200=1,_xlfn.XLOOKUP(H200,Rates_Raw!$AF$5:$AF$464,Rates_Raw!$E$5:$E$464,""),"")</x:f>
        <x:v>IT Operations Support Administrator II</x:v>
      </x:c>
      <x:c r="K200" t="n">
        <x:f>IF(I200=1,_xlfn.XLOOKUP(H200,Rates_Raw!$AF$5:$AF$464,Rates_Raw!$F$5:$F$464,""),"")</x:f>
        <x:v>21</x:v>
      </x:c>
      <x:c r="L200" s="50" t="n">
        <x:f>IF(I200=1,IFERROR(VALUE(SUBSTITUTE(_xlfn.XLOOKUP(H200,Rates_Raw!$AF$5:$AF$464,Rates_Raw!$L$5:$L$464,""),"$","")),""),"")</x:f>
        <x:v>39.425</x:v>
      </x:c>
      <x:c r="M200" s="50" t="n">
        <x:f>IF(OR(G200="",L200=""),"",ROUND(G200-L200,4))</x:f>
        <x:v>0</x:v>
      </x:c>
      <x:c r="N200" t="str">
        <x:f>IF(I200=0,"NO MATCH",IF(I200&gt;1,"AMBIGUOUS",IF(EXACT(TRIM(E200),TRIM(J200)),"EXACT","TITLE VARIANT")))</x:f>
        <x:v>EXACT</x:v>
      </x:c>
      <x:c r="O200" t="str">
        <x:f>IF(I200&lt;&gt;1,"NOT TESTED",IF(OR(G200="",L200=""),"MISSING",IF(ABS(M200)&lt;=Guide!$B$16,"PASS","REVIEW")))</x:f>
        <x:v>PASS</x:v>
      </x:c>
      <x:c r="P200" s="52" t="n">
        <x:f>IF(I200=1,IFERROR(VALUE(SUBSTITUTE(SUBSTITUTE(_xlfn.XLOOKUP(H200,Rates_Raw!$AF$5:$AF$464,Rates_Raw!$I$5:$I$464,""),"$",""),",","")),""),"")</x:f>
        <x:v>3154</x:v>
      </x:c>
      <x:c r="Q200" s="52" t="n">
        <x:f>IF(P200="","",P200*Guide!$B$15)</x:f>
        <x:v>82004</x:v>
      </x:c>
      <x:c r="R200" t="str">
        <x:f>IF(I200=0,"UNMATCHED",IF(I200&gt;1,"DUPLICATE KEY",IF(OR(N200="TITLE VARIANT",O200="REVIEW",O200="MISSING"),"REVIEW","VERIFIED")))</x:f>
        <x:v>VERIFIED</x:v>
      </x:c>
      <x:c r="S200" s="46" t="str">
        <x:v>Not Reviewed</x:v>
      </x:c>
      <x:c r="T200" s="48"/>
    </x:row>
    <x:row r="201">
      <x:c r="A201" t="n">
        <x:f>Plan_Raw!A201</x:f>
        <x:v>986</x:v>
      </x:c>
      <x:c r="B201" t="str">
        <x:f>Plan_Raw!D201</x:f>
        <x:v>1092</x:v>
      </x:c>
      <x:c r="C201" t="str">
        <x:f>LEFT(Plan_Raw!B201,10)</x:f>
        <x:v>2024-07-01</x:v>
      </x:c>
      <x:c r="D201" t="str">
        <x:f>Plan_Raw!F201</x:f>
        <x:v>COMMN</x:v>
      </x:c>
      <x:c r="E201" t="str">
        <x:f>Plan_Raw!E201</x:f>
        <x:v>IT Operations Support Administrator II</x:v>
      </x:c>
      <x:c r="F201" t="str">
        <x:f>Plan_Raw!C201</x:f>
        <x:v>1092Z</x:v>
      </x:c>
      <x:c r="G201" s="50" t="n">
        <x:f>IF(Plan_Raw!G201="","",IFERROR(VALUE(Plan_Raw!G201),""))</x:f>
        <x:v>40.4125</x:v>
      </x:c>
      <x:c r="H201" t="str">
        <x:f>Plan_Raw!AH201</x:f>
        <x:v>1092|COMMN|2024-07-01</x:v>
      </x:c>
      <x:c r="I201" t="n">
        <x:f>COUNTIF(Rates_Raw!$AF$5:$AF$464,H201)</x:f>
        <x:v>1</x:v>
      </x:c>
      <x:c r="J201" t="str">
        <x:f>IF(I201=1,_xlfn.XLOOKUP(H201,Rates_Raw!$AF$5:$AF$464,Rates_Raw!$E$5:$E$464,""),"")</x:f>
        <x:v>IT Operations Support Administrator II</x:v>
      </x:c>
      <x:c r="K201" t="n">
        <x:f>IF(I201=1,_xlfn.XLOOKUP(H201,Rates_Raw!$AF$5:$AF$464,Rates_Raw!$F$5:$F$464,""),"")</x:f>
        <x:v>21</x:v>
      </x:c>
      <x:c r="L201" s="50" t="n">
        <x:f>IF(I201=1,IFERROR(VALUE(SUBSTITUTE(_xlfn.XLOOKUP(H201,Rates_Raw!$AF$5:$AF$464,Rates_Raw!$L$5:$L$464,""),"$","")),""),"")</x:f>
        <x:v>40.4125</x:v>
      </x:c>
      <x:c r="M201" s="50" t="n">
        <x:f>IF(OR(G201="",L201=""),"",ROUND(G201-L201,4))</x:f>
        <x:v>0</x:v>
      </x:c>
      <x:c r="N201" t="str">
        <x:f>IF(I201=0,"NO MATCH",IF(I201&gt;1,"AMBIGUOUS",IF(EXACT(TRIM(E201),TRIM(J201)),"EXACT","TITLE VARIANT")))</x:f>
        <x:v>EXACT</x:v>
      </x:c>
      <x:c r="O201" t="str">
        <x:f>IF(I201&lt;&gt;1,"NOT TESTED",IF(OR(G201="",L201=""),"MISSING",IF(ABS(M201)&lt;=Guide!$B$16,"PASS","REVIEW")))</x:f>
        <x:v>PASS</x:v>
      </x:c>
      <x:c r="P201" s="52" t="n">
        <x:f>IF(I201=1,IFERROR(VALUE(SUBSTITUTE(SUBSTITUTE(_xlfn.XLOOKUP(H201,Rates_Raw!$AF$5:$AF$464,Rates_Raw!$I$5:$I$464,""),"$",""),",","")),""),"")</x:f>
        <x:v>3233</x:v>
      </x:c>
      <x:c r="Q201" s="52" t="n">
        <x:f>IF(P201="","",P201*Guide!$B$15)</x:f>
        <x:v>84058</x:v>
      </x:c>
      <x:c r="R201" t="str">
        <x:f>IF(I201=0,"UNMATCHED",IF(I201&gt;1,"DUPLICATE KEY",IF(OR(N201="TITLE VARIANT",O201="REVIEW",O201="MISSING"),"REVIEW","VERIFIED")))</x:f>
        <x:v>VERIFIED</x:v>
      </x:c>
      <x:c r="S201" s="46" t="str">
        <x:v>Not Reviewed</x:v>
      </x:c>
      <x:c r="T201" s="48"/>
    </x:row>
    <x:row r="202">
      <x:c r="A202" t="n">
        <x:f>Plan_Raw!A202</x:f>
        <x:v>998</x:v>
      </x:c>
      <x:c r="B202" t="str">
        <x:f>Plan_Raw!D202</x:f>
        <x:v>1092</x:v>
      </x:c>
      <x:c r="C202" t="str">
        <x:f>LEFT(Plan_Raw!B202,10)</x:f>
        <x:v>2024-07-01</x:v>
      </x:c>
      <x:c r="D202" t="str">
        <x:f>Plan_Raw!F202</x:f>
        <x:v>SFMTA</x:v>
      </x:c>
      <x:c r="E202" t="str">
        <x:f>Plan_Raw!E202</x:f>
        <x:v>IT Operations Support Administrator II</x:v>
      </x:c>
      <x:c r="F202" t="str">
        <x:f>Plan_Raw!C202</x:f>
        <x:v>1092Z</x:v>
      </x:c>
      <x:c r="G202" s="50" t="n">
        <x:f>IF(Plan_Raw!G202="","",IFERROR(VALUE(Plan_Raw!G202),""))</x:f>
        <x:v>40.4125</x:v>
      </x:c>
      <x:c r="H202" t="str">
        <x:f>Plan_Raw!AH202</x:f>
        <x:v>1092|SFMTA|2024-07-01</x:v>
      </x:c>
      <x:c r="I202" t="n">
        <x:f>COUNTIF(Rates_Raw!$AF$5:$AF$464,H202)</x:f>
        <x:v>1</x:v>
      </x:c>
      <x:c r="J202" t="str">
        <x:f>IF(I202=1,_xlfn.XLOOKUP(H202,Rates_Raw!$AF$5:$AF$464,Rates_Raw!$E$5:$E$464,""),"")</x:f>
        <x:v>IT Operations Support Administrator II</x:v>
      </x:c>
      <x:c r="K202" t="n">
        <x:f>IF(I202=1,_xlfn.XLOOKUP(H202,Rates_Raw!$AF$5:$AF$464,Rates_Raw!$F$5:$F$464,""),"")</x:f>
        <x:v>21</x:v>
      </x:c>
      <x:c r="L202" s="50" t="n">
        <x:f>IF(I202=1,IFERROR(VALUE(SUBSTITUTE(_xlfn.XLOOKUP(H202,Rates_Raw!$AF$5:$AF$464,Rates_Raw!$L$5:$L$464,""),"$","")),""),"")</x:f>
        <x:v>40.4125</x:v>
      </x:c>
      <x:c r="M202" s="50" t="n">
        <x:f>IF(OR(G202="",L202=""),"",ROUND(G202-L202,4))</x:f>
        <x:v>0</x:v>
      </x:c>
      <x:c r="N202" t="str">
        <x:f>IF(I202=0,"NO MATCH",IF(I202&gt;1,"AMBIGUOUS",IF(EXACT(TRIM(E202),TRIM(J202)),"EXACT","TITLE VARIANT")))</x:f>
        <x:v>EXACT</x:v>
      </x:c>
      <x:c r="O202" t="str">
        <x:f>IF(I202&lt;&gt;1,"NOT TESTED",IF(OR(G202="",L202=""),"MISSING",IF(ABS(M202)&lt;=Guide!$B$16,"PASS","REVIEW")))</x:f>
        <x:v>PASS</x:v>
      </x:c>
      <x:c r="P202" s="52" t="n">
        <x:f>IF(I202=1,IFERROR(VALUE(SUBSTITUTE(SUBSTITUTE(_xlfn.XLOOKUP(H202,Rates_Raw!$AF$5:$AF$464,Rates_Raw!$I$5:$I$464,""),"$",""),",","")),""),"")</x:f>
        <x:v>3233</x:v>
      </x:c>
      <x:c r="Q202" s="52" t="n">
        <x:f>IF(P202="","",P202*Guide!$B$15)</x:f>
        <x:v>84058</x:v>
      </x:c>
      <x:c r="R202" t="str">
        <x:f>IF(I202=0,"UNMATCHED",IF(I202&gt;1,"DUPLICATE KEY",IF(OR(N202="TITLE VARIANT",O202="REVIEW",O202="MISSING"),"REVIEW","VERIFIED")))</x:f>
        <x:v>VERIFIED</x:v>
      </x:c>
      <x:c r="S202" s="46" t="str">
        <x:v>Not Reviewed</x:v>
      </x:c>
      <x:c r="T202" s="48"/>
    </x:row>
    <x:row r="203">
      <x:c r="A203" t="n">
        <x:f>Plan_Raw!A203</x:f>
        <x:v>987</x:v>
      </x:c>
      <x:c r="B203" t="str">
        <x:f>Plan_Raw!D203</x:f>
        <x:v>1092</x:v>
      </x:c>
      <x:c r="C203" t="str">
        <x:f>LEFT(Plan_Raw!B203,10)</x:f>
        <x:v>2025-01-04</x:v>
      </x:c>
      <x:c r="D203" t="str">
        <x:f>Plan_Raw!F203</x:f>
        <x:v>COMMN</x:v>
      </x:c>
      <x:c r="E203" t="str">
        <x:f>Plan_Raw!E203</x:f>
        <x:v>IT Operations Support Administrator II</x:v>
      </x:c>
      <x:c r="F203" t="str">
        <x:f>Plan_Raw!C203</x:f>
        <x:v>1092A</x:v>
      </x:c>
      <x:c r="G203" s="50" t="n">
        <x:f>IF(Plan_Raw!G203="","",IFERROR(VALUE(Plan_Raw!G203),""))</x:f>
        <x:v>41.0125</x:v>
      </x:c>
      <x:c r="H203" t="str">
        <x:f>Plan_Raw!AH203</x:f>
        <x:v>1092|COMMN|2025-01-04</x:v>
      </x:c>
      <x:c r="I203" t="n">
        <x:f>COUNTIF(Rates_Raw!$AF$5:$AF$464,H203)</x:f>
        <x:v>1</x:v>
      </x:c>
      <x:c r="J203" t="str">
        <x:f>IF(I203=1,_xlfn.XLOOKUP(H203,Rates_Raw!$AF$5:$AF$464,Rates_Raw!$E$5:$E$464,""),"")</x:f>
        <x:v>IT Operations Support Administrator II</x:v>
      </x:c>
      <x:c r="K203" t="n">
        <x:f>IF(I203=1,_xlfn.XLOOKUP(H203,Rates_Raw!$AF$5:$AF$464,Rates_Raw!$F$5:$F$464,""),"")</x:f>
        <x:v>21</x:v>
      </x:c>
      <x:c r="L203" s="50" t="n">
        <x:f>IF(I203=1,IFERROR(VALUE(SUBSTITUTE(_xlfn.XLOOKUP(H203,Rates_Raw!$AF$5:$AF$464,Rates_Raw!$L$5:$L$464,""),"$","")),""),"")</x:f>
        <x:v>41.0125</x:v>
      </x:c>
      <x:c r="M203" s="50" t="n">
        <x:f>IF(OR(G203="",L203=""),"",ROUND(G203-L203,4))</x:f>
        <x:v>0</x:v>
      </x:c>
      <x:c r="N203" t="str">
        <x:f>IF(I203=0,"NO MATCH",IF(I203&gt;1,"AMBIGUOUS",IF(EXACT(TRIM(E203),TRIM(J203)),"EXACT","TITLE VARIANT")))</x:f>
        <x:v>EXACT</x:v>
      </x:c>
      <x:c r="O203" t="str">
        <x:f>IF(I203&lt;&gt;1,"NOT TESTED",IF(OR(G203="",L203=""),"MISSING",IF(ABS(M203)&lt;=Guide!$B$16,"PASS","REVIEW")))</x:f>
        <x:v>PASS</x:v>
      </x:c>
      <x:c r="P203" s="52" t="n">
        <x:f>IF(I203=1,IFERROR(VALUE(SUBSTITUTE(SUBSTITUTE(_xlfn.XLOOKUP(H203,Rates_Raw!$AF$5:$AF$464,Rates_Raw!$I$5:$I$464,""),"$",""),",","")),""),"")</x:f>
        <x:v>3281</x:v>
      </x:c>
      <x:c r="Q203" s="52" t="n">
        <x:f>IF(P203="","",P203*Guide!$B$15)</x:f>
        <x:v>85306</x:v>
      </x:c>
      <x:c r="R203" t="str">
        <x:f>IF(I203=0,"UNMATCHED",IF(I203&gt;1,"DUPLICATE KEY",IF(OR(N203="TITLE VARIANT",O203="REVIEW",O203="MISSING"),"REVIEW","VERIFIED")))</x:f>
        <x:v>VERIFIED</x:v>
      </x:c>
      <x:c r="S203" s="46" t="str">
        <x:v>Not Reviewed</x:v>
      </x:c>
      <x:c r="T203" s="48"/>
    </x:row>
    <x:row r="204">
      <x:c r="A204" t="n">
        <x:f>Plan_Raw!A204</x:f>
        <x:v>999</x:v>
      </x:c>
      <x:c r="B204" t="str">
        <x:f>Plan_Raw!D204</x:f>
        <x:v>1092</x:v>
      </x:c>
      <x:c r="C204" t="str">
        <x:f>LEFT(Plan_Raw!B204,10)</x:f>
        <x:v>2025-01-04</x:v>
      </x:c>
      <x:c r="D204" t="str">
        <x:f>Plan_Raw!F204</x:f>
        <x:v>SFMTA</x:v>
      </x:c>
      <x:c r="E204" t="str">
        <x:f>Plan_Raw!E204</x:f>
        <x:v>IT Operations Support Administrator II</x:v>
      </x:c>
      <x:c r="F204" t="str">
        <x:f>Plan_Raw!C204</x:f>
        <x:v>1092A</x:v>
      </x:c>
      <x:c r="G204" s="50" t="n">
        <x:f>IF(Plan_Raw!G204="","",IFERROR(VALUE(Plan_Raw!G204),""))</x:f>
        <x:v>41.0125</x:v>
      </x:c>
      <x:c r="H204" t="str">
        <x:f>Plan_Raw!AH204</x:f>
        <x:v>1092|SFMTA|2025-01-04</x:v>
      </x:c>
      <x:c r="I204" t="n">
        <x:f>COUNTIF(Rates_Raw!$AF$5:$AF$464,H204)</x:f>
        <x:v>1</x:v>
      </x:c>
      <x:c r="J204" t="str">
        <x:f>IF(I204=1,_xlfn.XLOOKUP(H204,Rates_Raw!$AF$5:$AF$464,Rates_Raw!$E$5:$E$464,""),"")</x:f>
        <x:v>IT Operations Support Administrator II</x:v>
      </x:c>
      <x:c r="K204" t="n">
        <x:f>IF(I204=1,_xlfn.XLOOKUP(H204,Rates_Raw!$AF$5:$AF$464,Rates_Raw!$F$5:$F$464,""),"")</x:f>
        <x:v>21</x:v>
      </x:c>
      <x:c r="L204" s="50" t="n">
        <x:f>IF(I204=1,IFERROR(VALUE(SUBSTITUTE(_xlfn.XLOOKUP(H204,Rates_Raw!$AF$5:$AF$464,Rates_Raw!$L$5:$L$464,""),"$","")),""),"")</x:f>
        <x:v>41.0125</x:v>
      </x:c>
      <x:c r="M204" s="50" t="n">
        <x:f>IF(OR(G204="",L204=""),"",ROUND(G204-L204,4))</x:f>
        <x:v>0</x:v>
      </x:c>
      <x:c r="N204" t="str">
        <x:f>IF(I204=0,"NO MATCH",IF(I204&gt;1,"AMBIGUOUS",IF(EXACT(TRIM(E204),TRIM(J204)),"EXACT","TITLE VARIANT")))</x:f>
        <x:v>EXACT</x:v>
      </x:c>
      <x:c r="O204" t="str">
        <x:f>IF(I204&lt;&gt;1,"NOT TESTED",IF(OR(G204="",L204=""),"MISSING",IF(ABS(M204)&lt;=Guide!$B$16,"PASS","REVIEW")))</x:f>
        <x:v>PASS</x:v>
      </x:c>
      <x:c r="P204" s="52" t="n">
        <x:f>IF(I204=1,IFERROR(VALUE(SUBSTITUTE(SUBSTITUTE(_xlfn.XLOOKUP(H204,Rates_Raw!$AF$5:$AF$464,Rates_Raw!$I$5:$I$464,""),"$",""),",","")),""),"")</x:f>
        <x:v>3281</x:v>
      </x:c>
      <x:c r="Q204" s="52" t="n">
        <x:f>IF(P204="","",P204*Guide!$B$15)</x:f>
        <x:v>85306</x:v>
      </x:c>
      <x:c r="R204" t="str">
        <x:f>IF(I204=0,"UNMATCHED",IF(I204&gt;1,"DUPLICATE KEY",IF(OR(N204="TITLE VARIANT",O204="REVIEW",O204="MISSING"),"REVIEW","VERIFIED")))</x:f>
        <x:v>VERIFIED</x:v>
      </x:c>
      <x:c r="S204" s="46" t="str">
        <x:v>Not Reviewed</x:v>
      </x:c>
      <x:c r="T204" s="48"/>
    </x:row>
    <x:row r="205">
      <x:c r="A205" t="n">
        <x:f>Plan_Raw!A205</x:f>
        <x:v>988</x:v>
      </x:c>
      <x:c r="B205" t="str">
        <x:f>Plan_Raw!D205</x:f>
        <x:v>1092</x:v>
      </x:c>
      <x:c r="C205" t="str">
        <x:f>LEFT(Plan_Raw!B205,10)</x:f>
        <x:v>2025-07-01</x:v>
      </x:c>
      <x:c r="D205" t="str">
        <x:f>Plan_Raw!F205</x:f>
        <x:v>COMMN</x:v>
      </x:c>
      <x:c r="E205" t="str">
        <x:f>Plan_Raw!E205</x:f>
        <x:v>IT Operations Support Admin II</x:v>
      </x:c>
      <x:c r="F205" t="str">
        <x:f>Plan_Raw!C205</x:f>
        <x:v>1092B</x:v>
      </x:c>
      <x:c r="G205" s="50" t="n">
        <x:f>IF(Plan_Raw!G205="","",IFERROR(VALUE(Plan_Raw!G205),""))</x:f>
        <x:v>41.8375</x:v>
      </x:c>
      <x:c r="H205" t="str">
        <x:f>Plan_Raw!AH205</x:f>
        <x:v>1092|COMMN|2025-07-01</x:v>
      </x:c>
      <x:c r="I205" t="n">
        <x:f>COUNTIF(Rates_Raw!$AF$5:$AF$464,H205)</x:f>
        <x:v>1</x:v>
      </x:c>
      <x:c r="J205" t="str">
        <x:f>IF(I205=1,_xlfn.XLOOKUP(H205,Rates_Raw!$AF$5:$AF$464,Rates_Raw!$E$5:$E$464,""),"")</x:f>
        <x:v>IT Operations Support Admin II</x:v>
      </x:c>
      <x:c r="K205" t="n">
        <x:f>IF(I205=1,_xlfn.XLOOKUP(H205,Rates_Raw!$AF$5:$AF$464,Rates_Raw!$F$5:$F$464,""),"")</x:f>
        <x:v>21</x:v>
      </x:c>
      <x:c r="L205" s="50" t="n">
        <x:f>IF(I205=1,IFERROR(VALUE(SUBSTITUTE(_xlfn.XLOOKUP(H205,Rates_Raw!$AF$5:$AF$464,Rates_Raw!$L$5:$L$464,""),"$","")),""),"")</x:f>
        <x:v>41.8375</x:v>
      </x:c>
      <x:c r="M205" s="50" t="n">
        <x:f>IF(OR(G205="",L205=""),"",ROUND(G205-L205,4))</x:f>
        <x:v>0</x:v>
      </x:c>
      <x:c r="N205" t="str">
        <x:f>IF(I205=0,"NO MATCH",IF(I205&gt;1,"AMBIGUOUS",IF(EXACT(TRIM(E205),TRIM(J205)),"EXACT","TITLE VARIANT")))</x:f>
        <x:v>EXACT</x:v>
      </x:c>
      <x:c r="O205" t="str">
        <x:f>IF(I205&lt;&gt;1,"NOT TESTED",IF(OR(G205="",L205=""),"MISSING",IF(ABS(M205)&lt;=Guide!$B$16,"PASS","REVIEW")))</x:f>
        <x:v>PASS</x:v>
      </x:c>
      <x:c r="P205" s="52" t="n">
        <x:f>IF(I205=1,IFERROR(VALUE(SUBSTITUTE(SUBSTITUTE(_xlfn.XLOOKUP(H205,Rates_Raw!$AF$5:$AF$464,Rates_Raw!$I$5:$I$464,""),"$",""),",","")),""),"")</x:f>
        <x:v>3347</x:v>
      </x:c>
      <x:c r="Q205" s="52" t="n">
        <x:f>IF(P205="","",P205*Guide!$B$15)</x:f>
        <x:v>87022</x:v>
      </x:c>
      <x:c r="R205" t="str">
        <x:f>IF(I205=0,"UNMATCHED",IF(I205&gt;1,"DUPLICATE KEY",IF(OR(N205="TITLE VARIANT",O205="REVIEW",O205="MISSING"),"REVIEW","VERIFIED")))</x:f>
        <x:v>VERIFIED</x:v>
      </x:c>
      <x:c r="S205" s="46" t="str">
        <x:v>Not Reviewed</x:v>
      </x:c>
      <x:c r="T205" s="48"/>
    </x:row>
    <x:row r="206">
      <x:c r="A206" t="n">
        <x:f>Plan_Raw!A206</x:f>
        <x:v>1000</x:v>
      </x:c>
      <x:c r="B206" t="str">
        <x:f>Plan_Raw!D206</x:f>
        <x:v>1092</x:v>
      </x:c>
      <x:c r="C206" t="str">
        <x:f>LEFT(Plan_Raw!B206,10)</x:f>
        <x:v>2025-07-01</x:v>
      </x:c>
      <x:c r="D206" t="str">
        <x:f>Plan_Raw!F206</x:f>
        <x:v>SFMTA</x:v>
      </x:c>
      <x:c r="E206" t="str">
        <x:f>Plan_Raw!E206</x:f>
        <x:v>IT Operations Support Admin II</x:v>
      </x:c>
      <x:c r="F206" t="str">
        <x:f>Plan_Raw!C206</x:f>
        <x:v>1092B</x:v>
      </x:c>
      <x:c r="G206" s="50" t="n">
        <x:f>IF(Plan_Raw!G206="","",IFERROR(VALUE(Plan_Raw!G206),""))</x:f>
        <x:v>41.8375</x:v>
      </x:c>
      <x:c r="H206" t="str">
        <x:f>Plan_Raw!AH206</x:f>
        <x:v>1092|SFMTA|2025-07-01</x:v>
      </x:c>
      <x:c r="I206" t="n">
        <x:f>COUNTIF(Rates_Raw!$AF$5:$AF$464,H206)</x:f>
        <x:v>1</x:v>
      </x:c>
      <x:c r="J206" t="str">
        <x:f>IF(I206=1,_xlfn.XLOOKUP(H206,Rates_Raw!$AF$5:$AF$464,Rates_Raw!$E$5:$E$464,""),"")</x:f>
        <x:v>IT Operations Support Admin II</x:v>
      </x:c>
      <x:c r="K206" t="n">
        <x:f>IF(I206=1,_xlfn.XLOOKUP(H206,Rates_Raw!$AF$5:$AF$464,Rates_Raw!$F$5:$F$464,""),"")</x:f>
        <x:v>21</x:v>
      </x:c>
      <x:c r="L206" s="50" t="n">
        <x:f>IF(I206=1,IFERROR(VALUE(SUBSTITUTE(_xlfn.XLOOKUP(H206,Rates_Raw!$AF$5:$AF$464,Rates_Raw!$L$5:$L$464,""),"$","")),""),"")</x:f>
        <x:v>41.8375</x:v>
      </x:c>
      <x:c r="M206" s="50" t="n">
        <x:f>IF(OR(G206="",L206=""),"",ROUND(G206-L206,4))</x:f>
        <x:v>0</x:v>
      </x:c>
      <x:c r="N206" t="str">
        <x:f>IF(I206=0,"NO MATCH",IF(I206&gt;1,"AMBIGUOUS",IF(EXACT(TRIM(E206),TRIM(J206)),"EXACT","TITLE VARIANT")))</x:f>
        <x:v>EXACT</x:v>
      </x:c>
      <x:c r="O206" t="str">
        <x:f>IF(I206&lt;&gt;1,"NOT TESTED",IF(OR(G206="",L206=""),"MISSING",IF(ABS(M206)&lt;=Guide!$B$16,"PASS","REVIEW")))</x:f>
        <x:v>PASS</x:v>
      </x:c>
      <x:c r="P206" s="52" t="n">
        <x:f>IF(I206=1,IFERROR(VALUE(SUBSTITUTE(SUBSTITUTE(_xlfn.XLOOKUP(H206,Rates_Raw!$AF$5:$AF$464,Rates_Raw!$I$5:$I$464,""),"$",""),",","")),""),"")</x:f>
        <x:v>3347</x:v>
      </x:c>
      <x:c r="Q206" s="52" t="n">
        <x:f>IF(P206="","",P206*Guide!$B$15)</x:f>
        <x:v>87022</x:v>
      </x:c>
      <x:c r="R206" t="str">
        <x:f>IF(I206=0,"UNMATCHED",IF(I206&gt;1,"DUPLICATE KEY",IF(OR(N206="TITLE VARIANT",O206="REVIEW",O206="MISSING"),"REVIEW","VERIFIED")))</x:f>
        <x:v>VERIFIED</x:v>
      </x:c>
      <x:c r="S206" s="46" t="str">
        <x:v>Not Reviewed</x:v>
      </x:c>
      <x:c r="T206" s="48"/>
    </x:row>
    <x:row r="207">
      <x:c r="A207" t="n">
        <x:f>Plan_Raw!A207</x:f>
        <x:v>989</x:v>
      </x:c>
      <x:c r="B207" t="str">
        <x:f>Plan_Raw!D207</x:f>
        <x:v>1092</x:v>
      </x:c>
      <x:c r="C207" t="str">
        <x:f>LEFT(Plan_Raw!B207,10)</x:f>
        <x:v>2026-01-03</x:v>
      </x:c>
      <x:c r="D207" t="str">
        <x:f>Plan_Raw!F207</x:f>
        <x:v>COMMN</x:v>
      </x:c>
      <x:c r="E207" t="str">
        <x:f>Plan_Raw!E207</x:f>
        <x:v>IT Operations Support Admin II</x:v>
      </x:c>
      <x:c r="F207" t="str">
        <x:f>Plan_Raw!C207</x:f>
        <x:v>1092C</x:v>
      </x:c>
      <x:c r="G207" s="50" t="n">
        <x:f>IF(Plan_Raw!G207="","",IFERROR(VALUE(Plan_Raw!G207),""))</x:f>
        <x:v>42.4625</x:v>
      </x:c>
      <x:c r="H207" t="str">
        <x:f>Plan_Raw!AH207</x:f>
        <x:v>1092|COMMN|2026-01-03</x:v>
      </x:c>
      <x:c r="I207" t="n">
        <x:f>COUNTIF(Rates_Raw!$AF$5:$AF$464,H207)</x:f>
        <x:v>1</x:v>
      </x:c>
      <x:c r="J207" t="str">
        <x:f>IF(I207=1,_xlfn.XLOOKUP(H207,Rates_Raw!$AF$5:$AF$464,Rates_Raw!$E$5:$E$464,""),"")</x:f>
        <x:v>IT Operations Support Admin II</x:v>
      </x:c>
      <x:c r="K207" t="n">
        <x:f>IF(I207=1,_xlfn.XLOOKUP(H207,Rates_Raw!$AF$5:$AF$464,Rates_Raw!$F$5:$F$464,""),"")</x:f>
        <x:v>21</x:v>
      </x:c>
      <x:c r="L207" s="50" t="n">
        <x:f>IF(I207=1,IFERROR(VALUE(SUBSTITUTE(_xlfn.XLOOKUP(H207,Rates_Raw!$AF$5:$AF$464,Rates_Raw!$L$5:$L$464,""),"$","")),""),"")</x:f>
        <x:v>42.4625</x:v>
      </x:c>
      <x:c r="M207" s="50" t="n">
        <x:f>IF(OR(G207="",L207=""),"",ROUND(G207-L207,4))</x:f>
        <x:v>0</x:v>
      </x:c>
      <x:c r="N207" t="str">
        <x:f>IF(I207=0,"NO MATCH",IF(I207&gt;1,"AMBIGUOUS",IF(EXACT(TRIM(E207),TRIM(J207)),"EXACT","TITLE VARIANT")))</x:f>
        <x:v>EXACT</x:v>
      </x:c>
      <x:c r="O207" t="str">
        <x:f>IF(I207&lt;&gt;1,"NOT TESTED",IF(OR(G207="",L207=""),"MISSING",IF(ABS(M207)&lt;=Guide!$B$16,"PASS","REVIEW")))</x:f>
        <x:v>PASS</x:v>
      </x:c>
      <x:c r="P207" s="52" t="n">
        <x:f>IF(I207=1,IFERROR(VALUE(SUBSTITUTE(SUBSTITUTE(_xlfn.XLOOKUP(H207,Rates_Raw!$AF$5:$AF$464,Rates_Raw!$I$5:$I$464,""),"$",""),",","")),""),"")</x:f>
        <x:v>3397</x:v>
      </x:c>
      <x:c r="Q207" s="52" t="n">
        <x:f>IF(P207="","",P207*Guide!$B$15)</x:f>
        <x:v>88322</x:v>
      </x:c>
      <x:c r="R207" t="str">
        <x:f>IF(I207=0,"UNMATCHED",IF(I207&gt;1,"DUPLICATE KEY",IF(OR(N207="TITLE VARIANT",O207="REVIEW",O207="MISSING"),"REVIEW","VERIFIED")))</x:f>
        <x:v>VERIFIED</x:v>
      </x:c>
      <x:c r="S207" s="46" t="str">
        <x:v>Not Reviewed</x:v>
      </x:c>
      <x:c r="T207" s="48"/>
    </x:row>
    <x:row r="208">
      <x:c r="A208" t="n">
        <x:f>Plan_Raw!A208</x:f>
        <x:v>1001</x:v>
      </x:c>
      <x:c r="B208" t="str">
        <x:f>Plan_Raw!D208</x:f>
        <x:v>1092</x:v>
      </x:c>
      <x:c r="C208" t="str">
        <x:f>LEFT(Plan_Raw!B208,10)</x:f>
        <x:v>2026-01-03</x:v>
      </x:c>
      <x:c r="D208" t="str">
        <x:f>Plan_Raw!F208</x:f>
        <x:v>SFMTA</x:v>
      </x:c>
      <x:c r="E208" t="str">
        <x:f>Plan_Raw!E208</x:f>
        <x:v>IT Operations Support Admin II</x:v>
      </x:c>
      <x:c r="F208" t="str">
        <x:f>Plan_Raw!C208</x:f>
        <x:v>1092C</x:v>
      </x:c>
      <x:c r="G208" s="50" t="n">
        <x:f>IF(Plan_Raw!G208="","",IFERROR(VALUE(Plan_Raw!G208),""))</x:f>
        <x:v>42.4625</x:v>
      </x:c>
      <x:c r="H208" t="str">
        <x:f>Plan_Raw!AH208</x:f>
        <x:v>1092|SFMTA|2026-01-03</x:v>
      </x:c>
      <x:c r="I208" t="n">
        <x:f>COUNTIF(Rates_Raw!$AF$5:$AF$464,H208)</x:f>
        <x:v>1</x:v>
      </x:c>
      <x:c r="J208" t="str">
        <x:f>IF(I208=1,_xlfn.XLOOKUP(H208,Rates_Raw!$AF$5:$AF$464,Rates_Raw!$E$5:$E$464,""),"")</x:f>
        <x:v>IT Operations Support Admin II</x:v>
      </x:c>
      <x:c r="K208" t="n">
        <x:f>IF(I208=1,_xlfn.XLOOKUP(H208,Rates_Raw!$AF$5:$AF$464,Rates_Raw!$F$5:$F$464,""),"")</x:f>
        <x:v>21</x:v>
      </x:c>
      <x:c r="L208" s="50" t="n">
        <x:f>IF(I208=1,IFERROR(VALUE(SUBSTITUTE(_xlfn.XLOOKUP(H208,Rates_Raw!$AF$5:$AF$464,Rates_Raw!$L$5:$L$464,""),"$","")),""),"")</x:f>
        <x:v>42.4625</x:v>
      </x:c>
      <x:c r="M208" s="50" t="n">
        <x:f>IF(OR(G208="",L208=""),"",ROUND(G208-L208,4))</x:f>
        <x:v>0</x:v>
      </x:c>
      <x:c r="N208" t="str">
        <x:f>IF(I208=0,"NO MATCH",IF(I208&gt;1,"AMBIGUOUS",IF(EXACT(TRIM(E208),TRIM(J208)),"EXACT","TITLE VARIANT")))</x:f>
        <x:v>EXACT</x:v>
      </x:c>
      <x:c r="O208" t="str">
        <x:f>IF(I208&lt;&gt;1,"NOT TESTED",IF(OR(G208="",L208=""),"MISSING",IF(ABS(M208)&lt;=Guide!$B$16,"PASS","REVIEW")))</x:f>
        <x:v>PASS</x:v>
      </x:c>
      <x:c r="P208" s="52" t="n">
        <x:f>IF(I208=1,IFERROR(VALUE(SUBSTITUTE(SUBSTITUTE(_xlfn.XLOOKUP(H208,Rates_Raw!$AF$5:$AF$464,Rates_Raw!$I$5:$I$464,""),"$",""),",","")),""),"")</x:f>
        <x:v>3397</x:v>
      </x:c>
      <x:c r="Q208" s="52" t="n">
        <x:f>IF(P208="","",P208*Guide!$B$15)</x:f>
        <x:v>88322</x:v>
      </x:c>
      <x:c r="R208" t="str">
        <x:f>IF(I208=0,"UNMATCHED",IF(I208&gt;1,"DUPLICATE KEY",IF(OR(N208="TITLE VARIANT",O208="REVIEW",O208="MISSING"),"REVIEW","VERIFIED")))</x:f>
        <x:v>VERIFIED</x:v>
      </x:c>
      <x:c r="S208" s="46" t="str">
        <x:v>Not Reviewed</x:v>
      </x:c>
      <x:c r="T208" s="48"/>
    </x:row>
    <x:row r="209">
      <x:c r="A209" t="n">
        <x:f>Plan_Raw!A209</x:f>
        <x:v>990</x:v>
      </x:c>
      <x:c r="B209" t="str">
        <x:f>Plan_Raw!D209</x:f>
        <x:v>1092</x:v>
      </x:c>
      <x:c r="C209" t="str">
        <x:f>LEFT(Plan_Raw!B209,10)</x:f>
        <x:v>2026-07-01</x:v>
      </x:c>
      <x:c r="D209" t="str">
        <x:f>Plan_Raw!F209</x:f>
        <x:v>COMMN</x:v>
      </x:c>
      <x:c r="E209" t="str">
        <x:f>Plan_Raw!E209</x:f>
        <x:v>IT Operations Support Admin II</x:v>
      </x:c>
      <x:c r="F209" t="str">
        <x:f>Plan_Raw!C209</x:f>
        <x:v>1092D</x:v>
      </x:c>
      <x:c r="G209" s="50" t="n">
        <x:f>IF(Plan_Raw!G209="","",IFERROR(VALUE(Plan_Raw!G209),""))</x:f>
        <x:v>43.3125</x:v>
      </x:c>
      <x:c r="H209" t="str">
        <x:f>Plan_Raw!AH209</x:f>
        <x:v>1092|COMMN|2026-07-01</x:v>
      </x:c>
      <x:c r="I209" t="n">
        <x:f>COUNTIF(Rates_Raw!$AF$5:$AF$464,H209)</x:f>
        <x:v>0</x:v>
      </x:c>
      <x:c r="J209" t="str">
        <x:f>IF(I209=1,_xlfn.XLOOKUP(H209,Rates_Raw!$AF$5:$AF$464,Rates_Raw!$E$5:$E$464,""),"")</x:f>
      </x:c>
      <x:c r="K209" t="str">
        <x:f>IF(I209=1,_xlfn.XLOOKUP(H209,Rates_Raw!$AF$5:$AF$464,Rates_Raw!$F$5:$F$464,""),"")</x:f>
      </x:c>
      <x:c r="L209" s="50" t="str">
        <x:f>IF(I209=1,IFERROR(VALUE(SUBSTITUTE(_xlfn.XLOOKUP(H209,Rates_Raw!$AF$5:$AF$464,Rates_Raw!$L$5:$L$464,""),"$","")),""),"")</x:f>
      </x:c>
      <x:c r="M209" s="50" t="str">
        <x:f>IF(OR(G209="",L209=""),"",ROUND(G209-L209,4))</x:f>
      </x:c>
      <x:c r="N209" t="str">
        <x:f>IF(I209=0,"NO MATCH",IF(I209&gt;1,"AMBIGUOUS",IF(EXACT(TRIM(E209),TRIM(J209)),"EXACT","TITLE VARIANT")))</x:f>
        <x:v>NO MATCH</x:v>
      </x:c>
      <x:c r="O209" t="str">
        <x:f>IF(I209&lt;&gt;1,"NOT TESTED",IF(OR(G209="",L209=""),"MISSING",IF(ABS(M209)&lt;=Guide!$B$16,"PASS","REVIEW")))</x:f>
        <x:v>NOT TESTED</x:v>
      </x:c>
      <x:c r="P209" s="52" t="str">
        <x:f>IF(I209=1,IFERROR(VALUE(SUBSTITUTE(SUBSTITUTE(_xlfn.XLOOKUP(H209,Rates_Raw!$AF$5:$AF$464,Rates_Raw!$I$5:$I$464,""),"$",""),",","")),""),"")</x:f>
      </x:c>
      <x:c r="Q209" s="52" t="str">
        <x:f>IF(P209="","",P209*Guide!$B$15)</x:f>
      </x:c>
      <x:c r="R209" t="str">
        <x:f>IF(I209=0,"UNMATCHED",IF(I209&gt;1,"DUPLICATE KEY",IF(OR(N209="TITLE VARIANT",O209="REVIEW",O209="MISSING"),"REVIEW","VERIFIED")))</x:f>
        <x:v>UNMATCHED</x:v>
      </x:c>
      <x:c r="S209" s="46" t="str">
        <x:v>Not Reviewed</x:v>
      </x:c>
      <x:c r="T209" s="48"/>
    </x:row>
    <x:row r="210">
      <x:c r="A210" t="n">
        <x:f>Plan_Raw!A210</x:f>
        <x:v>1002</x:v>
      </x:c>
      <x:c r="B210" t="str">
        <x:f>Plan_Raw!D210</x:f>
        <x:v>1092</x:v>
      </x:c>
      <x:c r="C210" t="str">
        <x:f>LEFT(Plan_Raw!B210,10)</x:f>
        <x:v>2026-07-01</x:v>
      </x:c>
      <x:c r="D210" t="str">
        <x:f>Plan_Raw!F210</x:f>
        <x:v>SFMTA</x:v>
      </x:c>
      <x:c r="E210" t="str">
        <x:f>Plan_Raw!E210</x:f>
        <x:v>IT Operations Support Admin II</x:v>
      </x:c>
      <x:c r="F210" t="str">
        <x:f>Plan_Raw!C210</x:f>
        <x:v>1092D</x:v>
      </x:c>
      <x:c r="G210" s="50" t="n">
        <x:f>IF(Plan_Raw!G210="","",IFERROR(VALUE(Plan_Raw!G210),""))</x:f>
        <x:v>43.3125</x:v>
      </x:c>
      <x:c r="H210" t="str">
        <x:f>Plan_Raw!AH210</x:f>
        <x:v>1092|SFMTA|2026-07-01</x:v>
      </x:c>
      <x:c r="I210" t="n">
        <x:f>COUNTIF(Rates_Raw!$AF$5:$AF$464,H210)</x:f>
        <x:v>0</x:v>
      </x:c>
      <x:c r="J210" t="str">
        <x:f>IF(I210=1,_xlfn.XLOOKUP(H210,Rates_Raw!$AF$5:$AF$464,Rates_Raw!$E$5:$E$464,""),"")</x:f>
      </x:c>
      <x:c r="K210" t="str">
        <x:f>IF(I210=1,_xlfn.XLOOKUP(H210,Rates_Raw!$AF$5:$AF$464,Rates_Raw!$F$5:$F$464,""),"")</x:f>
      </x:c>
      <x:c r="L210" s="50" t="str">
        <x:f>IF(I210=1,IFERROR(VALUE(SUBSTITUTE(_xlfn.XLOOKUP(H210,Rates_Raw!$AF$5:$AF$464,Rates_Raw!$L$5:$L$464,""),"$","")),""),"")</x:f>
      </x:c>
      <x:c r="M210" s="50" t="str">
        <x:f>IF(OR(G210="",L210=""),"",ROUND(G210-L210,4))</x:f>
      </x:c>
      <x:c r="N210" t="str">
        <x:f>IF(I210=0,"NO MATCH",IF(I210&gt;1,"AMBIGUOUS",IF(EXACT(TRIM(E210),TRIM(J210)),"EXACT","TITLE VARIANT")))</x:f>
        <x:v>NO MATCH</x:v>
      </x:c>
      <x:c r="O210" t="str">
        <x:f>IF(I210&lt;&gt;1,"NOT TESTED",IF(OR(G210="",L210=""),"MISSING",IF(ABS(M210)&lt;=Guide!$B$16,"PASS","REVIEW")))</x:f>
        <x:v>NOT TESTED</x:v>
      </x:c>
      <x:c r="P210" s="52" t="str">
        <x:f>IF(I210=1,IFERROR(VALUE(SUBSTITUTE(SUBSTITUTE(_xlfn.XLOOKUP(H210,Rates_Raw!$AF$5:$AF$464,Rates_Raw!$I$5:$I$464,""),"$",""),",","")),""),"")</x:f>
      </x:c>
      <x:c r="Q210" s="52" t="str">
        <x:f>IF(P210="","",P210*Guide!$B$15)</x:f>
      </x:c>
      <x:c r="R210" t="str">
        <x:f>IF(I210=0,"UNMATCHED",IF(I210&gt;1,"DUPLICATE KEY",IF(OR(N210="TITLE VARIANT",O210="REVIEW",O210="MISSING"),"REVIEW","VERIFIED")))</x:f>
        <x:v>UNMATCHED</x:v>
      </x:c>
      <x:c r="S210" s="46" t="str">
        <x:v>Not Reviewed</x:v>
      </x:c>
      <x:c r="T210" s="48"/>
    </x:row>
    <x:row r="211">
      <x:c r="A211" t="n">
        <x:f>Plan_Raw!A211</x:f>
        <x:v>1009</x:v>
      </x:c>
      <x:c r="B211" t="str">
        <x:f>Plan_Raw!D211</x:f>
        <x:v>1093</x:v>
      </x:c>
      <x:c r="C211" t="str">
        <x:f>LEFT(Plan_Raw!B211,10)</x:f>
        <x:v>2024-01-06</x:v>
      </x:c>
      <x:c r="D211" t="str">
        <x:f>Plan_Raw!F211</x:f>
        <x:v>COMMN</x:v>
      </x:c>
      <x:c r="E211" t="str">
        <x:f>Plan_Raw!E211</x:f>
        <x:v>IT Operations Support Administrator III</x:v>
      </x:c>
      <x:c r="F211" t="str">
        <x:f>Plan_Raw!C211</x:f>
        <x:v>1093Y</x:v>
      </x:c>
      <x:c r="G211" s="50" t="n">
        <x:f>IF(Plan_Raw!G211="","",IFERROR(VALUE(Plan_Raw!G211),""))</x:f>
        <x:v>47.9125</x:v>
      </x:c>
      <x:c r="H211" t="str">
        <x:f>Plan_Raw!AH211</x:f>
        <x:v>1093|COMMN|2024-01-06</x:v>
      </x:c>
      <x:c r="I211" t="n">
        <x:f>COUNTIF(Rates_Raw!$AF$5:$AF$464,H211)</x:f>
        <x:v>1</x:v>
      </x:c>
      <x:c r="J211" t="str">
        <x:f>IF(I211=1,_xlfn.XLOOKUP(H211,Rates_Raw!$AF$5:$AF$464,Rates_Raw!$E$5:$E$464,""),"")</x:f>
        <x:v>IT Operations Support Administrator III</x:v>
      </x:c>
      <x:c r="K211" t="n">
        <x:f>IF(I211=1,_xlfn.XLOOKUP(H211,Rates_Raw!$AF$5:$AF$464,Rates_Raw!$F$5:$F$464,""),"")</x:f>
        <x:v>21</x:v>
      </x:c>
      <x:c r="L211" s="50" t="n">
        <x:f>IF(I211=1,IFERROR(VALUE(SUBSTITUTE(_xlfn.XLOOKUP(H211,Rates_Raw!$AF$5:$AF$464,Rates_Raw!$L$5:$L$464,""),"$","")),""),"")</x:f>
        <x:v>47.9125</x:v>
      </x:c>
      <x:c r="M211" s="50" t="n">
        <x:f>IF(OR(G211="",L211=""),"",ROUND(G211-L211,4))</x:f>
        <x:v>0</x:v>
      </x:c>
      <x:c r="N211" t="str">
        <x:f>IF(I211=0,"NO MATCH",IF(I211&gt;1,"AMBIGUOUS",IF(EXACT(TRIM(E211),TRIM(J211)),"EXACT","TITLE VARIANT")))</x:f>
        <x:v>EXACT</x:v>
      </x:c>
      <x:c r="O211" t="str">
        <x:f>IF(I211&lt;&gt;1,"NOT TESTED",IF(OR(G211="",L211=""),"MISSING",IF(ABS(M211)&lt;=Guide!$B$16,"PASS","REVIEW")))</x:f>
        <x:v>PASS</x:v>
      </x:c>
      <x:c r="P211" s="52" t="n">
        <x:f>IF(I211=1,IFERROR(VALUE(SUBSTITUTE(SUBSTITUTE(_xlfn.XLOOKUP(H211,Rates_Raw!$AF$5:$AF$464,Rates_Raw!$I$5:$I$464,""),"$",""),",","")),""),"")</x:f>
        <x:v>3833</x:v>
      </x:c>
      <x:c r="Q211" s="52" t="n">
        <x:f>IF(P211="","",P211*Guide!$B$15)</x:f>
        <x:v>99658</x:v>
      </x:c>
      <x:c r="R211" t="str">
        <x:f>IF(I211=0,"UNMATCHED",IF(I211&gt;1,"DUPLICATE KEY",IF(OR(N211="TITLE VARIANT",O211="REVIEW",O211="MISSING"),"REVIEW","VERIFIED")))</x:f>
        <x:v>VERIFIED</x:v>
      </x:c>
      <x:c r="S211" s="46" t="str">
        <x:v>Not Reviewed</x:v>
      </x:c>
      <x:c r="T211" s="48"/>
    </x:row>
    <x:row r="212">
      <x:c r="A212" t="n">
        <x:f>Plan_Raw!A212</x:f>
        <x:v>1021</x:v>
      </x:c>
      <x:c r="B212" t="str">
        <x:f>Plan_Raw!D212</x:f>
        <x:v>1093</x:v>
      </x:c>
      <x:c r="C212" t="str">
        <x:f>LEFT(Plan_Raw!B212,10)</x:f>
        <x:v>2024-01-06</x:v>
      </x:c>
      <x:c r="D212" t="str">
        <x:f>Plan_Raw!F212</x:f>
        <x:v>SFMTA</x:v>
      </x:c>
      <x:c r="E212" t="str">
        <x:f>Plan_Raw!E212</x:f>
        <x:v>IT Operations Support Administrator III</x:v>
      </x:c>
      <x:c r="F212" t="str">
        <x:f>Plan_Raw!C212</x:f>
        <x:v>1093Y</x:v>
      </x:c>
      <x:c r="G212" s="50" t="n">
        <x:f>IF(Plan_Raw!G212="","",IFERROR(VALUE(Plan_Raw!G212),""))</x:f>
        <x:v>47.9125</x:v>
      </x:c>
      <x:c r="H212" t="str">
        <x:f>Plan_Raw!AH212</x:f>
        <x:v>1093|SFMTA|2024-01-06</x:v>
      </x:c>
      <x:c r="I212" t="n">
        <x:f>COUNTIF(Rates_Raw!$AF$5:$AF$464,H212)</x:f>
        <x:v>1</x:v>
      </x:c>
      <x:c r="J212" t="str">
        <x:f>IF(I212=1,_xlfn.XLOOKUP(H212,Rates_Raw!$AF$5:$AF$464,Rates_Raw!$E$5:$E$464,""),"")</x:f>
        <x:v>IT Operations Support Administrator III</x:v>
      </x:c>
      <x:c r="K212" t="n">
        <x:f>IF(I212=1,_xlfn.XLOOKUP(H212,Rates_Raw!$AF$5:$AF$464,Rates_Raw!$F$5:$F$464,""),"")</x:f>
        <x:v>21</x:v>
      </x:c>
      <x:c r="L212" s="50" t="n">
        <x:f>IF(I212=1,IFERROR(VALUE(SUBSTITUTE(_xlfn.XLOOKUP(H212,Rates_Raw!$AF$5:$AF$464,Rates_Raw!$L$5:$L$464,""),"$","")),""),"")</x:f>
        <x:v>47.9125</x:v>
      </x:c>
      <x:c r="M212" s="50" t="n">
        <x:f>IF(OR(G212="",L212=""),"",ROUND(G212-L212,4))</x:f>
        <x:v>0</x:v>
      </x:c>
      <x:c r="N212" t="str">
        <x:f>IF(I212=0,"NO MATCH",IF(I212&gt;1,"AMBIGUOUS",IF(EXACT(TRIM(E212),TRIM(J212)),"EXACT","TITLE VARIANT")))</x:f>
        <x:v>EXACT</x:v>
      </x:c>
      <x:c r="O212" t="str">
        <x:f>IF(I212&lt;&gt;1,"NOT TESTED",IF(OR(G212="",L212=""),"MISSING",IF(ABS(M212)&lt;=Guide!$B$16,"PASS","REVIEW")))</x:f>
        <x:v>PASS</x:v>
      </x:c>
      <x:c r="P212" s="52" t="n">
        <x:f>IF(I212=1,IFERROR(VALUE(SUBSTITUTE(SUBSTITUTE(_xlfn.XLOOKUP(H212,Rates_Raw!$AF$5:$AF$464,Rates_Raw!$I$5:$I$464,""),"$",""),",","")),""),"")</x:f>
        <x:v>3833</x:v>
      </x:c>
      <x:c r="Q212" s="52" t="n">
        <x:f>IF(P212="","",P212*Guide!$B$15)</x:f>
        <x:v>99658</x:v>
      </x:c>
      <x:c r="R212" t="str">
        <x:f>IF(I212=0,"UNMATCHED",IF(I212&gt;1,"DUPLICATE KEY",IF(OR(N212="TITLE VARIANT",O212="REVIEW",O212="MISSING"),"REVIEW","VERIFIED")))</x:f>
        <x:v>VERIFIED</x:v>
      </x:c>
      <x:c r="S212" s="46" t="str">
        <x:v>Not Reviewed</x:v>
      </x:c>
      <x:c r="T212" s="48"/>
    </x:row>
    <x:row r="213">
      <x:c r="A213" t="n">
        <x:f>Plan_Raw!A213</x:f>
        <x:v>1010</x:v>
      </x:c>
      <x:c r="B213" t="str">
        <x:f>Plan_Raw!D213</x:f>
        <x:v>1093</x:v>
      </x:c>
      <x:c r="C213" t="str">
        <x:f>LEFT(Plan_Raw!B213,10)</x:f>
        <x:v>2024-07-01</x:v>
      </x:c>
      <x:c r="D213" t="str">
        <x:f>Plan_Raw!F213</x:f>
        <x:v>COMMN</x:v>
      </x:c>
      <x:c r="E213" t="str">
        <x:f>Plan_Raw!E213</x:f>
        <x:v>IT Operations Support Administrator III</x:v>
      </x:c>
      <x:c r="F213" t="str">
        <x:f>Plan_Raw!C213</x:f>
        <x:v>1093Z</x:v>
      </x:c>
      <x:c r="G213" s="50" t="n">
        <x:f>IF(Plan_Raw!G213="","",IFERROR(VALUE(Plan_Raw!G213),""))</x:f>
        <x:v>49.1125</x:v>
      </x:c>
      <x:c r="H213" t="str">
        <x:f>Plan_Raw!AH213</x:f>
        <x:v>1093|COMMN|2024-07-01</x:v>
      </x:c>
      <x:c r="I213" t="n">
        <x:f>COUNTIF(Rates_Raw!$AF$5:$AF$464,H213)</x:f>
        <x:v>1</x:v>
      </x:c>
      <x:c r="J213" t="str">
        <x:f>IF(I213=1,_xlfn.XLOOKUP(H213,Rates_Raw!$AF$5:$AF$464,Rates_Raw!$E$5:$E$464,""),"")</x:f>
        <x:v>IT Operations Support Administrator III</x:v>
      </x:c>
      <x:c r="K213" t="n">
        <x:f>IF(I213=1,_xlfn.XLOOKUP(H213,Rates_Raw!$AF$5:$AF$464,Rates_Raw!$F$5:$F$464,""),"")</x:f>
        <x:v>21</x:v>
      </x:c>
      <x:c r="L213" s="50" t="n">
        <x:f>IF(I213=1,IFERROR(VALUE(SUBSTITUTE(_xlfn.XLOOKUP(H213,Rates_Raw!$AF$5:$AF$464,Rates_Raw!$L$5:$L$464,""),"$","")),""),"")</x:f>
        <x:v>49.1125</x:v>
      </x:c>
      <x:c r="M213" s="50" t="n">
        <x:f>IF(OR(G213="",L213=""),"",ROUND(G213-L213,4))</x:f>
        <x:v>0</x:v>
      </x:c>
      <x:c r="N213" t="str">
        <x:f>IF(I213=0,"NO MATCH",IF(I213&gt;1,"AMBIGUOUS",IF(EXACT(TRIM(E213),TRIM(J213)),"EXACT","TITLE VARIANT")))</x:f>
        <x:v>EXACT</x:v>
      </x:c>
      <x:c r="O213" t="str">
        <x:f>IF(I213&lt;&gt;1,"NOT TESTED",IF(OR(G213="",L213=""),"MISSING",IF(ABS(M213)&lt;=Guide!$B$16,"PASS","REVIEW")))</x:f>
        <x:v>PASS</x:v>
      </x:c>
      <x:c r="P213" s="52" t="n">
        <x:f>IF(I213=1,IFERROR(VALUE(SUBSTITUTE(SUBSTITUTE(_xlfn.XLOOKUP(H213,Rates_Raw!$AF$5:$AF$464,Rates_Raw!$I$5:$I$464,""),"$",""),",","")),""),"")</x:f>
        <x:v>3929</x:v>
      </x:c>
      <x:c r="Q213" s="52" t="n">
        <x:f>IF(P213="","",P213*Guide!$B$15)</x:f>
        <x:v>102154</x:v>
      </x:c>
      <x:c r="R213" t="str">
        <x:f>IF(I213=0,"UNMATCHED",IF(I213&gt;1,"DUPLICATE KEY",IF(OR(N213="TITLE VARIANT",O213="REVIEW",O213="MISSING"),"REVIEW","VERIFIED")))</x:f>
        <x:v>VERIFIED</x:v>
      </x:c>
      <x:c r="S213" s="46" t="str">
        <x:v>Not Reviewed</x:v>
      </x:c>
      <x:c r="T213" s="48"/>
    </x:row>
    <x:row r="214">
      <x:c r="A214" t="n">
        <x:f>Plan_Raw!A214</x:f>
        <x:v>1022</x:v>
      </x:c>
      <x:c r="B214" t="str">
        <x:f>Plan_Raw!D214</x:f>
        <x:v>1093</x:v>
      </x:c>
      <x:c r="C214" t="str">
        <x:f>LEFT(Plan_Raw!B214,10)</x:f>
        <x:v>2024-07-01</x:v>
      </x:c>
      <x:c r="D214" t="str">
        <x:f>Plan_Raw!F214</x:f>
        <x:v>SFMTA</x:v>
      </x:c>
      <x:c r="E214" t="str">
        <x:f>Plan_Raw!E214</x:f>
        <x:v>IT Operations Support Administrator III</x:v>
      </x:c>
      <x:c r="F214" t="str">
        <x:f>Plan_Raw!C214</x:f>
        <x:v>1093Z</x:v>
      </x:c>
      <x:c r="G214" s="50" t="n">
        <x:f>IF(Plan_Raw!G214="","",IFERROR(VALUE(Plan_Raw!G214),""))</x:f>
        <x:v>49.1125</x:v>
      </x:c>
      <x:c r="H214" t="str">
        <x:f>Plan_Raw!AH214</x:f>
        <x:v>1093|SFMTA|2024-07-01</x:v>
      </x:c>
      <x:c r="I214" t="n">
        <x:f>COUNTIF(Rates_Raw!$AF$5:$AF$464,H214)</x:f>
        <x:v>1</x:v>
      </x:c>
      <x:c r="J214" t="str">
        <x:f>IF(I214=1,_xlfn.XLOOKUP(H214,Rates_Raw!$AF$5:$AF$464,Rates_Raw!$E$5:$E$464,""),"")</x:f>
        <x:v>IT Operations Support Administrator III</x:v>
      </x:c>
      <x:c r="K214" t="n">
        <x:f>IF(I214=1,_xlfn.XLOOKUP(H214,Rates_Raw!$AF$5:$AF$464,Rates_Raw!$F$5:$F$464,""),"")</x:f>
        <x:v>21</x:v>
      </x:c>
      <x:c r="L214" s="50" t="n">
        <x:f>IF(I214=1,IFERROR(VALUE(SUBSTITUTE(_xlfn.XLOOKUP(H214,Rates_Raw!$AF$5:$AF$464,Rates_Raw!$L$5:$L$464,""),"$","")),""),"")</x:f>
        <x:v>49.1125</x:v>
      </x:c>
      <x:c r="M214" s="50" t="n">
        <x:f>IF(OR(G214="",L214=""),"",ROUND(G214-L214,4))</x:f>
        <x:v>0</x:v>
      </x:c>
      <x:c r="N214" t="str">
        <x:f>IF(I214=0,"NO MATCH",IF(I214&gt;1,"AMBIGUOUS",IF(EXACT(TRIM(E214),TRIM(J214)),"EXACT","TITLE VARIANT")))</x:f>
        <x:v>EXACT</x:v>
      </x:c>
      <x:c r="O214" t="str">
        <x:f>IF(I214&lt;&gt;1,"NOT TESTED",IF(OR(G214="",L214=""),"MISSING",IF(ABS(M214)&lt;=Guide!$B$16,"PASS","REVIEW")))</x:f>
        <x:v>PASS</x:v>
      </x:c>
      <x:c r="P214" s="52" t="n">
        <x:f>IF(I214=1,IFERROR(VALUE(SUBSTITUTE(SUBSTITUTE(_xlfn.XLOOKUP(H214,Rates_Raw!$AF$5:$AF$464,Rates_Raw!$I$5:$I$464,""),"$",""),",","")),""),"")</x:f>
        <x:v>3929</x:v>
      </x:c>
      <x:c r="Q214" s="52" t="n">
        <x:f>IF(P214="","",P214*Guide!$B$15)</x:f>
        <x:v>102154</x:v>
      </x:c>
      <x:c r="R214" t="str">
        <x:f>IF(I214=0,"UNMATCHED",IF(I214&gt;1,"DUPLICATE KEY",IF(OR(N214="TITLE VARIANT",O214="REVIEW",O214="MISSING"),"REVIEW","VERIFIED")))</x:f>
        <x:v>VERIFIED</x:v>
      </x:c>
      <x:c r="S214" s="46" t="str">
        <x:v>Not Reviewed</x:v>
      </x:c>
      <x:c r="T214" s="48"/>
    </x:row>
    <x:row r="215">
      <x:c r="A215" t="n">
        <x:f>Plan_Raw!A215</x:f>
        <x:v>1011</x:v>
      </x:c>
      <x:c r="B215" t="str">
        <x:f>Plan_Raw!D215</x:f>
        <x:v>1093</x:v>
      </x:c>
      <x:c r="C215" t="str">
        <x:f>LEFT(Plan_Raw!B215,10)</x:f>
        <x:v>2025-01-04</x:v>
      </x:c>
      <x:c r="D215" t="str">
        <x:f>Plan_Raw!F215</x:f>
        <x:v>COMMN</x:v>
      </x:c>
      <x:c r="E215" t="str">
        <x:f>Plan_Raw!E215</x:f>
        <x:v>IT Operations Support Administrator III</x:v>
      </x:c>
      <x:c r="F215" t="str">
        <x:f>Plan_Raw!C215</x:f>
        <x:v>1093A</x:v>
      </x:c>
      <x:c r="G215" s="50" t="n">
        <x:f>IF(Plan_Raw!G215="","",IFERROR(VALUE(Plan_Raw!G215),""))</x:f>
        <x:v>49.85</x:v>
      </x:c>
      <x:c r="H215" t="str">
        <x:f>Plan_Raw!AH215</x:f>
        <x:v>1093|COMMN|2025-01-04</x:v>
      </x:c>
      <x:c r="I215" t="n">
        <x:f>COUNTIF(Rates_Raw!$AF$5:$AF$464,H215)</x:f>
        <x:v>1</x:v>
      </x:c>
      <x:c r="J215" t="str">
        <x:f>IF(I215=1,_xlfn.XLOOKUP(H215,Rates_Raw!$AF$5:$AF$464,Rates_Raw!$E$5:$E$464,""),"")</x:f>
        <x:v>IT Operations Support Administrator III</x:v>
      </x:c>
      <x:c r="K215" t="n">
        <x:f>IF(I215=1,_xlfn.XLOOKUP(H215,Rates_Raw!$AF$5:$AF$464,Rates_Raw!$F$5:$F$464,""),"")</x:f>
        <x:v>21</x:v>
      </x:c>
      <x:c r="L215" s="50" t="n">
        <x:f>IF(I215=1,IFERROR(VALUE(SUBSTITUTE(_xlfn.XLOOKUP(H215,Rates_Raw!$AF$5:$AF$464,Rates_Raw!$L$5:$L$464,""),"$","")),""),"")</x:f>
        <x:v>49.85</x:v>
      </x:c>
      <x:c r="M215" s="50" t="n">
        <x:f>IF(OR(G215="",L215=""),"",ROUND(G215-L215,4))</x:f>
        <x:v>0</x:v>
      </x:c>
      <x:c r="N215" t="str">
        <x:f>IF(I215=0,"NO MATCH",IF(I215&gt;1,"AMBIGUOUS",IF(EXACT(TRIM(E215),TRIM(J215)),"EXACT","TITLE VARIANT")))</x:f>
        <x:v>EXACT</x:v>
      </x:c>
      <x:c r="O215" t="str">
        <x:f>IF(I215&lt;&gt;1,"NOT TESTED",IF(OR(G215="",L215=""),"MISSING",IF(ABS(M215)&lt;=Guide!$B$16,"PASS","REVIEW")))</x:f>
        <x:v>PASS</x:v>
      </x:c>
      <x:c r="P215" s="52" t="n">
        <x:f>IF(I215=1,IFERROR(VALUE(SUBSTITUTE(SUBSTITUTE(_xlfn.XLOOKUP(H215,Rates_Raw!$AF$5:$AF$464,Rates_Raw!$I$5:$I$464,""),"$",""),",","")),""),"")</x:f>
        <x:v>3988</x:v>
      </x:c>
      <x:c r="Q215" s="52" t="n">
        <x:f>IF(P215="","",P215*Guide!$B$15)</x:f>
        <x:v>103688</x:v>
      </x:c>
      <x:c r="R215" t="str">
        <x:f>IF(I215=0,"UNMATCHED",IF(I215&gt;1,"DUPLICATE KEY",IF(OR(N215="TITLE VARIANT",O215="REVIEW",O215="MISSING"),"REVIEW","VERIFIED")))</x:f>
        <x:v>VERIFIED</x:v>
      </x:c>
      <x:c r="S215" s="46" t="str">
        <x:v>Not Reviewed</x:v>
      </x:c>
      <x:c r="T215" s="48"/>
    </x:row>
    <x:row r="216">
      <x:c r="A216" t="n">
        <x:f>Plan_Raw!A216</x:f>
        <x:v>1023</x:v>
      </x:c>
      <x:c r="B216" t="str">
        <x:f>Plan_Raw!D216</x:f>
        <x:v>1093</x:v>
      </x:c>
      <x:c r="C216" t="str">
        <x:f>LEFT(Plan_Raw!B216,10)</x:f>
        <x:v>2025-01-04</x:v>
      </x:c>
      <x:c r="D216" t="str">
        <x:f>Plan_Raw!F216</x:f>
        <x:v>SFMTA</x:v>
      </x:c>
      <x:c r="E216" t="str">
        <x:f>Plan_Raw!E216</x:f>
        <x:v>IT Operations Support Administrator III</x:v>
      </x:c>
      <x:c r="F216" t="str">
        <x:f>Plan_Raw!C216</x:f>
        <x:v>1093A</x:v>
      </x:c>
      <x:c r="G216" s="50" t="n">
        <x:f>IF(Plan_Raw!G216="","",IFERROR(VALUE(Plan_Raw!G216),""))</x:f>
        <x:v>49.85</x:v>
      </x:c>
      <x:c r="H216" t="str">
        <x:f>Plan_Raw!AH216</x:f>
        <x:v>1093|SFMTA|2025-01-04</x:v>
      </x:c>
      <x:c r="I216" t="n">
        <x:f>COUNTIF(Rates_Raw!$AF$5:$AF$464,H216)</x:f>
        <x:v>1</x:v>
      </x:c>
      <x:c r="J216" t="str">
        <x:f>IF(I216=1,_xlfn.XLOOKUP(H216,Rates_Raw!$AF$5:$AF$464,Rates_Raw!$E$5:$E$464,""),"")</x:f>
        <x:v>IT Operations Support Administrator III</x:v>
      </x:c>
      <x:c r="K216" t="n">
        <x:f>IF(I216=1,_xlfn.XLOOKUP(H216,Rates_Raw!$AF$5:$AF$464,Rates_Raw!$F$5:$F$464,""),"")</x:f>
        <x:v>21</x:v>
      </x:c>
      <x:c r="L216" s="50" t="n">
        <x:f>IF(I216=1,IFERROR(VALUE(SUBSTITUTE(_xlfn.XLOOKUP(H216,Rates_Raw!$AF$5:$AF$464,Rates_Raw!$L$5:$L$464,""),"$","")),""),"")</x:f>
        <x:v>49.85</x:v>
      </x:c>
      <x:c r="M216" s="50" t="n">
        <x:f>IF(OR(G216="",L216=""),"",ROUND(G216-L216,4))</x:f>
        <x:v>0</x:v>
      </x:c>
      <x:c r="N216" t="str">
        <x:f>IF(I216=0,"NO MATCH",IF(I216&gt;1,"AMBIGUOUS",IF(EXACT(TRIM(E216),TRIM(J216)),"EXACT","TITLE VARIANT")))</x:f>
        <x:v>EXACT</x:v>
      </x:c>
      <x:c r="O216" t="str">
        <x:f>IF(I216&lt;&gt;1,"NOT TESTED",IF(OR(G216="",L216=""),"MISSING",IF(ABS(M216)&lt;=Guide!$B$16,"PASS","REVIEW")))</x:f>
        <x:v>PASS</x:v>
      </x:c>
      <x:c r="P216" s="52" t="n">
        <x:f>IF(I216=1,IFERROR(VALUE(SUBSTITUTE(SUBSTITUTE(_xlfn.XLOOKUP(H216,Rates_Raw!$AF$5:$AF$464,Rates_Raw!$I$5:$I$464,""),"$",""),",","")),""),"")</x:f>
        <x:v>3988</x:v>
      </x:c>
      <x:c r="Q216" s="52" t="n">
        <x:f>IF(P216="","",P216*Guide!$B$15)</x:f>
        <x:v>103688</x:v>
      </x:c>
      <x:c r="R216" t="str">
        <x:f>IF(I216=0,"UNMATCHED",IF(I216&gt;1,"DUPLICATE KEY",IF(OR(N216="TITLE VARIANT",O216="REVIEW",O216="MISSING"),"REVIEW","VERIFIED")))</x:f>
        <x:v>VERIFIED</x:v>
      </x:c>
      <x:c r="S216" s="46" t="str">
        <x:v>Not Reviewed</x:v>
      </x:c>
      <x:c r="T216" s="48"/>
    </x:row>
    <x:row r="217">
      <x:c r="A217" t="n">
        <x:f>Plan_Raw!A217</x:f>
        <x:v>1012</x:v>
      </x:c>
      <x:c r="B217" t="str">
        <x:f>Plan_Raw!D217</x:f>
        <x:v>1093</x:v>
      </x:c>
      <x:c r="C217" t="str">
        <x:f>LEFT(Plan_Raw!B217,10)</x:f>
        <x:v>2025-07-01</x:v>
      </x:c>
      <x:c r="D217" t="str">
        <x:f>Plan_Raw!F217</x:f>
        <x:v>COMMN</x:v>
      </x:c>
      <x:c r="E217" t="str">
        <x:f>Plan_Raw!E217</x:f>
        <x:v>IT Operations Support Admn III</x:v>
      </x:c>
      <x:c r="F217" t="str">
        <x:f>Plan_Raw!C217</x:f>
        <x:v>1093B</x:v>
      </x:c>
      <x:c r="G217" s="50" t="n">
        <x:f>IF(Plan_Raw!G217="","",IFERROR(VALUE(Plan_Raw!G217),""))</x:f>
        <x:v>50.85</x:v>
      </x:c>
      <x:c r="H217" t="str">
        <x:f>Plan_Raw!AH217</x:f>
        <x:v>1093|COMMN|2025-07-01</x:v>
      </x:c>
      <x:c r="I217" t="n">
        <x:f>COUNTIF(Rates_Raw!$AF$5:$AF$464,H217)</x:f>
        <x:v>1</x:v>
      </x:c>
      <x:c r="J217" t="str">
        <x:f>IF(I217=1,_xlfn.XLOOKUP(H217,Rates_Raw!$AF$5:$AF$464,Rates_Raw!$E$5:$E$464,""),"")</x:f>
        <x:v>IT Operations Support Admn III</x:v>
      </x:c>
      <x:c r="K217" t="n">
        <x:f>IF(I217=1,_xlfn.XLOOKUP(H217,Rates_Raw!$AF$5:$AF$464,Rates_Raw!$F$5:$F$464,""),"")</x:f>
        <x:v>21</x:v>
      </x:c>
      <x:c r="L217" s="50" t="n">
        <x:f>IF(I217=1,IFERROR(VALUE(SUBSTITUTE(_xlfn.XLOOKUP(H217,Rates_Raw!$AF$5:$AF$464,Rates_Raw!$L$5:$L$464,""),"$","")),""),"")</x:f>
        <x:v>50.85</x:v>
      </x:c>
      <x:c r="M217" s="50" t="n">
        <x:f>IF(OR(G217="",L217=""),"",ROUND(G217-L217,4))</x:f>
        <x:v>0</x:v>
      </x:c>
      <x:c r="N217" t="str">
        <x:f>IF(I217=0,"NO MATCH",IF(I217&gt;1,"AMBIGUOUS",IF(EXACT(TRIM(E217),TRIM(J217)),"EXACT","TITLE VARIANT")))</x:f>
        <x:v>EXACT</x:v>
      </x:c>
      <x:c r="O217" t="str">
        <x:f>IF(I217&lt;&gt;1,"NOT TESTED",IF(OR(G217="",L217=""),"MISSING",IF(ABS(M217)&lt;=Guide!$B$16,"PASS","REVIEW")))</x:f>
        <x:v>PASS</x:v>
      </x:c>
      <x:c r="P217" s="52" t="n">
        <x:f>IF(I217=1,IFERROR(VALUE(SUBSTITUTE(SUBSTITUTE(_xlfn.XLOOKUP(H217,Rates_Raw!$AF$5:$AF$464,Rates_Raw!$I$5:$I$464,""),"$",""),",","")),""),"")</x:f>
        <x:v>4068</x:v>
      </x:c>
      <x:c r="Q217" s="52" t="n">
        <x:f>IF(P217="","",P217*Guide!$B$15)</x:f>
        <x:v>105768</x:v>
      </x:c>
      <x:c r="R217" t="str">
        <x:f>IF(I217=0,"UNMATCHED",IF(I217&gt;1,"DUPLICATE KEY",IF(OR(N217="TITLE VARIANT",O217="REVIEW",O217="MISSING"),"REVIEW","VERIFIED")))</x:f>
        <x:v>VERIFIED</x:v>
      </x:c>
      <x:c r="S217" s="46" t="str">
        <x:v>Not Reviewed</x:v>
      </x:c>
      <x:c r="T217" s="48"/>
    </x:row>
    <x:row r="218">
      <x:c r="A218" t="n">
        <x:f>Plan_Raw!A218</x:f>
        <x:v>1024</x:v>
      </x:c>
      <x:c r="B218" t="str">
        <x:f>Plan_Raw!D218</x:f>
        <x:v>1093</x:v>
      </x:c>
      <x:c r="C218" t="str">
        <x:f>LEFT(Plan_Raw!B218,10)</x:f>
        <x:v>2025-07-01</x:v>
      </x:c>
      <x:c r="D218" t="str">
        <x:f>Plan_Raw!F218</x:f>
        <x:v>SFMTA</x:v>
      </x:c>
      <x:c r="E218" t="str">
        <x:f>Plan_Raw!E218</x:f>
        <x:v>IT Operations Support Admn III</x:v>
      </x:c>
      <x:c r="F218" t="str">
        <x:f>Plan_Raw!C218</x:f>
        <x:v>1093B</x:v>
      </x:c>
      <x:c r="G218" s="50" t="n">
        <x:f>IF(Plan_Raw!G218="","",IFERROR(VALUE(Plan_Raw!G218),""))</x:f>
        <x:v>50.85</x:v>
      </x:c>
      <x:c r="H218" t="str">
        <x:f>Plan_Raw!AH218</x:f>
        <x:v>1093|SFMTA|2025-07-01</x:v>
      </x:c>
      <x:c r="I218" t="n">
        <x:f>COUNTIF(Rates_Raw!$AF$5:$AF$464,H218)</x:f>
        <x:v>1</x:v>
      </x:c>
      <x:c r="J218" t="str">
        <x:f>IF(I218=1,_xlfn.XLOOKUP(H218,Rates_Raw!$AF$5:$AF$464,Rates_Raw!$E$5:$E$464,""),"")</x:f>
        <x:v>IT Operations Support Admn III</x:v>
      </x:c>
      <x:c r="K218" t="n">
        <x:f>IF(I218=1,_xlfn.XLOOKUP(H218,Rates_Raw!$AF$5:$AF$464,Rates_Raw!$F$5:$F$464,""),"")</x:f>
        <x:v>21</x:v>
      </x:c>
      <x:c r="L218" s="50" t="n">
        <x:f>IF(I218=1,IFERROR(VALUE(SUBSTITUTE(_xlfn.XLOOKUP(H218,Rates_Raw!$AF$5:$AF$464,Rates_Raw!$L$5:$L$464,""),"$","")),""),"")</x:f>
        <x:v>50.85</x:v>
      </x:c>
      <x:c r="M218" s="50" t="n">
        <x:f>IF(OR(G218="",L218=""),"",ROUND(G218-L218,4))</x:f>
        <x:v>0</x:v>
      </x:c>
      <x:c r="N218" t="str">
        <x:f>IF(I218=0,"NO MATCH",IF(I218&gt;1,"AMBIGUOUS",IF(EXACT(TRIM(E218),TRIM(J218)),"EXACT","TITLE VARIANT")))</x:f>
        <x:v>EXACT</x:v>
      </x:c>
      <x:c r="O218" t="str">
        <x:f>IF(I218&lt;&gt;1,"NOT TESTED",IF(OR(G218="",L218=""),"MISSING",IF(ABS(M218)&lt;=Guide!$B$16,"PASS","REVIEW")))</x:f>
        <x:v>PASS</x:v>
      </x:c>
      <x:c r="P218" s="52" t="n">
        <x:f>IF(I218=1,IFERROR(VALUE(SUBSTITUTE(SUBSTITUTE(_xlfn.XLOOKUP(H218,Rates_Raw!$AF$5:$AF$464,Rates_Raw!$I$5:$I$464,""),"$",""),",","")),""),"")</x:f>
        <x:v>4068</x:v>
      </x:c>
      <x:c r="Q218" s="52" t="n">
        <x:f>IF(P218="","",P218*Guide!$B$15)</x:f>
        <x:v>105768</x:v>
      </x:c>
      <x:c r="R218" t="str">
        <x:f>IF(I218=0,"UNMATCHED",IF(I218&gt;1,"DUPLICATE KEY",IF(OR(N218="TITLE VARIANT",O218="REVIEW",O218="MISSING"),"REVIEW","VERIFIED")))</x:f>
        <x:v>VERIFIED</x:v>
      </x:c>
      <x:c r="S218" s="46" t="str">
        <x:v>Not Reviewed</x:v>
      </x:c>
      <x:c r="T218" s="48"/>
    </x:row>
    <x:row r="219">
      <x:c r="A219" t="n">
        <x:f>Plan_Raw!A219</x:f>
        <x:v>1013</x:v>
      </x:c>
      <x:c r="B219" t="str">
        <x:f>Plan_Raw!D219</x:f>
        <x:v>1093</x:v>
      </x:c>
      <x:c r="C219" t="str">
        <x:f>LEFT(Plan_Raw!B219,10)</x:f>
        <x:v>2026-01-03</x:v>
      </x:c>
      <x:c r="D219" t="str">
        <x:f>Plan_Raw!F219</x:f>
        <x:v>COMMN</x:v>
      </x:c>
      <x:c r="E219" t="str">
        <x:f>Plan_Raw!E219</x:f>
        <x:v>IT Operations Support Admn III</x:v>
      </x:c>
      <x:c r="F219" t="str">
        <x:f>Plan_Raw!C219</x:f>
        <x:v>1093C</x:v>
      </x:c>
      <x:c r="G219" s="50" t="n">
        <x:f>IF(Plan_Raw!G219="","",IFERROR(VALUE(Plan_Raw!G219),""))</x:f>
        <x:v>51.6125</x:v>
      </x:c>
      <x:c r="H219" t="str">
        <x:f>Plan_Raw!AH219</x:f>
        <x:v>1093|COMMN|2026-01-03</x:v>
      </x:c>
      <x:c r="I219" t="n">
        <x:f>COUNTIF(Rates_Raw!$AF$5:$AF$464,H219)</x:f>
        <x:v>1</x:v>
      </x:c>
      <x:c r="J219" t="str">
        <x:f>IF(I219=1,_xlfn.XLOOKUP(H219,Rates_Raw!$AF$5:$AF$464,Rates_Raw!$E$5:$E$464,""),"")</x:f>
        <x:v>IT Operations Support Admn III</x:v>
      </x:c>
      <x:c r="K219" t="n">
        <x:f>IF(I219=1,_xlfn.XLOOKUP(H219,Rates_Raw!$AF$5:$AF$464,Rates_Raw!$F$5:$F$464,""),"")</x:f>
        <x:v>21</x:v>
      </x:c>
      <x:c r="L219" s="50" t="n">
        <x:f>IF(I219=1,IFERROR(VALUE(SUBSTITUTE(_xlfn.XLOOKUP(H219,Rates_Raw!$AF$5:$AF$464,Rates_Raw!$L$5:$L$464,""),"$","")),""),"")</x:f>
        <x:v>51.6125</x:v>
      </x:c>
      <x:c r="M219" s="50" t="n">
        <x:f>IF(OR(G219="",L219=""),"",ROUND(G219-L219,4))</x:f>
        <x:v>0</x:v>
      </x:c>
      <x:c r="N219" t="str">
        <x:f>IF(I219=0,"NO MATCH",IF(I219&gt;1,"AMBIGUOUS",IF(EXACT(TRIM(E219),TRIM(J219)),"EXACT","TITLE VARIANT")))</x:f>
        <x:v>EXACT</x:v>
      </x:c>
      <x:c r="O219" t="str">
        <x:f>IF(I219&lt;&gt;1,"NOT TESTED",IF(OR(G219="",L219=""),"MISSING",IF(ABS(M219)&lt;=Guide!$B$16,"PASS","REVIEW")))</x:f>
        <x:v>PASS</x:v>
      </x:c>
      <x:c r="P219" s="52" t="n">
        <x:f>IF(I219=1,IFERROR(VALUE(SUBSTITUTE(SUBSTITUTE(_xlfn.XLOOKUP(H219,Rates_Raw!$AF$5:$AF$464,Rates_Raw!$I$5:$I$464,""),"$",""),",","")),""),"")</x:f>
        <x:v>4129</x:v>
      </x:c>
      <x:c r="Q219" s="52" t="n">
        <x:f>IF(P219="","",P219*Guide!$B$15)</x:f>
        <x:v>107354</x:v>
      </x:c>
      <x:c r="R219" t="str">
        <x:f>IF(I219=0,"UNMATCHED",IF(I219&gt;1,"DUPLICATE KEY",IF(OR(N219="TITLE VARIANT",O219="REVIEW",O219="MISSING"),"REVIEW","VERIFIED")))</x:f>
        <x:v>VERIFIED</x:v>
      </x:c>
      <x:c r="S219" s="46" t="str">
        <x:v>Not Reviewed</x:v>
      </x:c>
      <x:c r="T219" s="48"/>
    </x:row>
    <x:row r="220">
      <x:c r="A220" t="n">
        <x:f>Plan_Raw!A220</x:f>
        <x:v>1025</x:v>
      </x:c>
      <x:c r="B220" t="str">
        <x:f>Plan_Raw!D220</x:f>
        <x:v>1093</x:v>
      </x:c>
      <x:c r="C220" t="str">
        <x:f>LEFT(Plan_Raw!B220,10)</x:f>
        <x:v>2026-01-03</x:v>
      </x:c>
      <x:c r="D220" t="str">
        <x:f>Plan_Raw!F220</x:f>
        <x:v>SFMTA</x:v>
      </x:c>
      <x:c r="E220" t="str">
        <x:f>Plan_Raw!E220</x:f>
        <x:v>IT Operations Support Admn III</x:v>
      </x:c>
      <x:c r="F220" t="str">
        <x:f>Plan_Raw!C220</x:f>
        <x:v>1093C</x:v>
      </x:c>
      <x:c r="G220" s="50" t="n">
        <x:f>IF(Plan_Raw!G220="","",IFERROR(VALUE(Plan_Raw!G220),""))</x:f>
        <x:v>51.6125</x:v>
      </x:c>
      <x:c r="H220" t="str">
        <x:f>Plan_Raw!AH220</x:f>
        <x:v>1093|SFMTA|2026-01-03</x:v>
      </x:c>
      <x:c r="I220" t="n">
        <x:f>COUNTIF(Rates_Raw!$AF$5:$AF$464,H220)</x:f>
        <x:v>1</x:v>
      </x:c>
      <x:c r="J220" t="str">
        <x:f>IF(I220=1,_xlfn.XLOOKUP(H220,Rates_Raw!$AF$5:$AF$464,Rates_Raw!$E$5:$E$464,""),"")</x:f>
        <x:v>IT Operations Support Admn III</x:v>
      </x:c>
      <x:c r="K220" t="n">
        <x:f>IF(I220=1,_xlfn.XLOOKUP(H220,Rates_Raw!$AF$5:$AF$464,Rates_Raw!$F$5:$F$464,""),"")</x:f>
        <x:v>21</x:v>
      </x:c>
      <x:c r="L220" s="50" t="n">
        <x:f>IF(I220=1,IFERROR(VALUE(SUBSTITUTE(_xlfn.XLOOKUP(H220,Rates_Raw!$AF$5:$AF$464,Rates_Raw!$L$5:$L$464,""),"$","")),""),"")</x:f>
        <x:v>51.6125</x:v>
      </x:c>
      <x:c r="M220" s="50" t="n">
        <x:f>IF(OR(G220="",L220=""),"",ROUND(G220-L220,4))</x:f>
        <x:v>0</x:v>
      </x:c>
      <x:c r="N220" t="str">
        <x:f>IF(I220=0,"NO MATCH",IF(I220&gt;1,"AMBIGUOUS",IF(EXACT(TRIM(E220),TRIM(J220)),"EXACT","TITLE VARIANT")))</x:f>
        <x:v>EXACT</x:v>
      </x:c>
      <x:c r="O220" t="str">
        <x:f>IF(I220&lt;&gt;1,"NOT TESTED",IF(OR(G220="",L220=""),"MISSING",IF(ABS(M220)&lt;=Guide!$B$16,"PASS","REVIEW")))</x:f>
        <x:v>PASS</x:v>
      </x:c>
      <x:c r="P220" s="52" t="n">
        <x:f>IF(I220=1,IFERROR(VALUE(SUBSTITUTE(SUBSTITUTE(_xlfn.XLOOKUP(H220,Rates_Raw!$AF$5:$AF$464,Rates_Raw!$I$5:$I$464,""),"$",""),",","")),""),"")</x:f>
        <x:v>4129</x:v>
      </x:c>
      <x:c r="Q220" s="52" t="n">
        <x:f>IF(P220="","",P220*Guide!$B$15)</x:f>
        <x:v>107354</x:v>
      </x:c>
      <x:c r="R220" t="str">
        <x:f>IF(I220=0,"UNMATCHED",IF(I220&gt;1,"DUPLICATE KEY",IF(OR(N220="TITLE VARIANT",O220="REVIEW",O220="MISSING"),"REVIEW","VERIFIED")))</x:f>
        <x:v>VERIFIED</x:v>
      </x:c>
      <x:c r="S220" s="46" t="str">
        <x:v>Not Reviewed</x:v>
      </x:c>
      <x:c r="T220" s="48"/>
    </x:row>
    <x:row r="221">
      <x:c r="A221" t="n">
        <x:f>Plan_Raw!A221</x:f>
        <x:v>1014</x:v>
      </x:c>
      <x:c r="B221" t="str">
        <x:f>Plan_Raw!D221</x:f>
        <x:v>1093</x:v>
      </x:c>
      <x:c r="C221" t="str">
        <x:f>LEFT(Plan_Raw!B221,10)</x:f>
        <x:v>2026-07-01</x:v>
      </x:c>
      <x:c r="D221" t="str">
        <x:f>Plan_Raw!F221</x:f>
        <x:v>COMMN</x:v>
      </x:c>
      <x:c r="E221" t="str">
        <x:f>Plan_Raw!E221</x:f>
        <x:v>IT Operations Support Admn III</x:v>
      </x:c>
      <x:c r="F221" t="str">
        <x:f>Plan_Raw!C221</x:f>
        <x:v>1093D</x:v>
      </x:c>
      <x:c r="G221" s="50" t="n">
        <x:f>IF(Plan_Raw!G221="","",IFERROR(VALUE(Plan_Raw!G221),""))</x:f>
        <x:v>52.65</x:v>
      </x:c>
      <x:c r="H221" t="str">
        <x:f>Plan_Raw!AH221</x:f>
        <x:v>1093|COMMN|2026-07-01</x:v>
      </x:c>
      <x:c r="I221" t="n">
        <x:f>COUNTIF(Rates_Raw!$AF$5:$AF$464,H221)</x:f>
        <x:v>0</x:v>
      </x:c>
      <x:c r="J221" t="str">
        <x:f>IF(I221=1,_xlfn.XLOOKUP(H221,Rates_Raw!$AF$5:$AF$464,Rates_Raw!$E$5:$E$464,""),"")</x:f>
      </x:c>
      <x:c r="K221" t="str">
        <x:f>IF(I221=1,_xlfn.XLOOKUP(H221,Rates_Raw!$AF$5:$AF$464,Rates_Raw!$F$5:$F$464,""),"")</x:f>
      </x:c>
      <x:c r="L221" s="50" t="str">
        <x:f>IF(I221=1,IFERROR(VALUE(SUBSTITUTE(_xlfn.XLOOKUP(H221,Rates_Raw!$AF$5:$AF$464,Rates_Raw!$L$5:$L$464,""),"$","")),""),"")</x:f>
      </x:c>
      <x:c r="M221" s="50" t="str">
        <x:f>IF(OR(G221="",L221=""),"",ROUND(G221-L221,4))</x:f>
      </x:c>
      <x:c r="N221" t="str">
        <x:f>IF(I221=0,"NO MATCH",IF(I221&gt;1,"AMBIGUOUS",IF(EXACT(TRIM(E221),TRIM(J221)),"EXACT","TITLE VARIANT")))</x:f>
        <x:v>NO MATCH</x:v>
      </x:c>
      <x:c r="O221" t="str">
        <x:f>IF(I221&lt;&gt;1,"NOT TESTED",IF(OR(G221="",L221=""),"MISSING",IF(ABS(M221)&lt;=Guide!$B$16,"PASS","REVIEW")))</x:f>
        <x:v>NOT TESTED</x:v>
      </x:c>
      <x:c r="P221" s="52" t="str">
        <x:f>IF(I221=1,IFERROR(VALUE(SUBSTITUTE(SUBSTITUTE(_xlfn.XLOOKUP(H221,Rates_Raw!$AF$5:$AF$464,Rates_Raw!$I$5:$I$464,""),"$",""),",","")),""),"")</x:f>
      </x:c>
      <x:c r="Q221" s="52" t="str">
        <x:f>IF(P221="","",P221*Guide!$B$15)</x:f>
      </x:c>
      <x:c r="R221" t="str">
        <x:f>IF(I221=0,"UNMATCHED",IF(I221&gt;1,"DUPLICATE KEY",IF(OR(N221="TITLE VARIANT",O221="REVIEW",O221="MISSING"),"REVIEW","VERIFIED")))</x:f>
        <x:v>UNMATCHED</x:v>
      </x:c>
      <x:c r="S221" s="46" t="str">
        <x:v>Not Reviewed</x:v>
      </x:c>
      <x:c r="T221" s="48"/>
    </x:row>
    <x:row r="222">
      <x:c r="A222" t="n">
        <x:f>Plan_Raw!A222</x:f>
        <x:v>1026</x:v>
      </x:c>
      <x:c r="B222" t="str">
        <x:f>Plan_Raw!D222</x:f>
        <x:v>1093</x:v>
      </x:c>
      <x:c r="C222" t="str">
        <x:f>LEFT(Plan_Raw!B222,10)</x:f>
        <x:v>2026-07-01</x:v>
      </x:c>
      <x:c r="D222" t="str">
        <x:f>Plan_Raw!F222</x:f>
        <x:v>SFMTA</x:v>
      </x:c>
      <x:c r="E222" t="str">
        <x:f>Plan_Raw!E222</x:f>
        <x:v>IT Operations Support Admn III</x:v>
      </x:c>
      <x:c r="F222" t="str">
        <x:f>Plan_Raw!C222</x:f>
        <x:v>1093D</x:v>
      </x:c>
      <x:c r="G222" s="50" t="n">
        <x:f>IF(Plan_Raw!G222="","",IFERROR(VALUE(Plan_Raw!G222),""))</x:f>
        <x:v>52.65</x:v>
      </x:c>
      <x:c r="H222" t="str">
        <x:f>Plan_Raw!AH222</x:f>
        <x:v>1093|SFMTA|2026-07-01</x:v>
      </x:c>
      <x:c r="I222" t="n">
        <x:f>COUNTIF(Rates_Raw!$AF$5:$AF$464,H222)</x:f>
        <x:v>0</x:v>
      </x:c>
      <x:c r="J222" t="str">
        <x:f>IF(I222=1,_xlfn.XLOOKUP(H222,Rates_Raw!$AF$5:$AF$464,Rates_Raw!$E$5:$E$464,""),"")</x:f>
      </x:c>
      <x:c r="K222" t="str">
        <x:f>IF(I222=1,_xlfn.XLOOKUP(H222,Rates_Raw!$AF$5:$AF$464,Rates_Raw!$F$5:$F$464,""),"")</x:f>
      </x:c>
      <x:c r="L222" s="50" t="str">
        <x:f>IF(I222=1,IFERROR(VALUE(SUBSTITUTE(_xlfn.XLOOKUP(H222,Rates_Raw!$AF$5:$AF$464,Rates_Raw!$L$5:$L$464,""),"$","")),""),"")</x:f>
      </x:c>
      <x:c r="M222" s="50" t="str">
        <x:f>IF(OR(G222="",L222=""),"",ROUND(G222-L222,4))</x:f>
      </x:c>
      <x:c r="N222" t="str">
        <x:f>IF(I222=0,"NO MATCH",IF(I222&gt;1,"AMBIGUOUS",IF(EXACT(TRIM(E222),TRIM(J222)),"EXACT","TITLE VARIANT")))</x:f>
        <x:v>NO MATCH</x:v>
      </x:c>
      <x:c r="O222" t="str">
        <x:f>IF(I222&lt;&gt;1,"NOT TESTED",IF(OR(G222="",L222=""),"MISSING",IF(ABS(M222)&lt;=Guide!$B$16,"PASS","REVIEW")))</x:f>
        <x:v>NOT TESTED</x:v>
      </x:c>
      <x:c r="P222" s="52" t="str">
        <x:f>IF(I222=1,IFERROR(VALUE(SUBSTITUTE(SUBSTITUTE(_xlfn.XLOOKUP(H222,Rates_Raw!$AF$5:$AF$464,Rates_Raw!$I$5:$I$464,""),"$",""),",","")),""),"")</x:f>
      </x:c>
      <x:c r="Q222" s="52" t="str">
        <x:f>IF(P222="","",P222*Guide!$B$15)</x:f>
      </x:c>
      <x:c r="R222" t="str">
        <x:f>IF(I222=0,"UNMATCHED",IF(I222&gt;1,"DUPLICATE KEY",IF(OR(N222="TITLE VARIANT",O222="REVIEW",O222="MISSING"),"REVIEW","VERIFIED")))</x:f>
        <x:v>UNMATCHED</x:v>
      </x:c>
      <x:c r="S222" s="46" t="str">
        <x:v>Not Reviewed</x:v>
      </x:c>
      <x:c r="T222" s="48"/>
    </x:row>
    <x:row r="223">
      <x:c r="A223" t="n">
        <x:f>Plan_Raw!A223</x:f>
        <x:v>1033</x:v>
      </x:c>
      <x:c r="B223" t="str">
        <x:f>Plan_Raw!D223</x:f>
        <x:v>1094</x:v>
      </x:c>
      <x:c r="C223" t="str">
        <x:f>LEFT(Plan_Raw!B223,10)</x:f>
        <x:v>2024-01-06</x:v>
      </x:c>
      <x:c r="D223" t="str">
        <x:f>Plan_Raw!F223</x:f>
        <x:v>COMMN</x:v>
      </x:c>
      <x:c r="E223" t="str">
        <x:f>Plan_Raw!E223</x:f>
        <x:v>IT Operations Support Administrator IV</x:v>
      </x:c>
      <x:c r="F223" t="str">
        <x:f>Plan_Raw!C223</x:f>
        <x:v>1094Y</x:v>
      </x:c>
      <x:c r="G223" s="50" t="n">
        <x:f>IF(Plan_Raw!G223="","",IFERROR(VALUE(Plan_Raw!G223),""))</x:f>
        <x:v>58.275</x:v>
      </x:c>
      <x:c r="H223" t="str">
        <x:f>Plan_Raw!AH223</x:f>
        <x:v>1094|COMMN|2024-01-06</x:v>
      </x:c>
      <x:c r="I223" t="n">
        <x:f>COUNTIF(Rates_Raw!$AF$5:$AF$464,H223)</x:f>
        <x:v>1</x:v>
      </x:c>
      <x:c r="J223" t="str">
        <x:f>IF(I223=1,_xlfn.XLOOKUP(H223,Rates_Raw!$AF$5:$AF$464,Rates_Raw!$E$5:$E$464,""),"")</x:f>
        <x:v>IT Operations Support Administrator IV</x:v>
      </x:c>
      <x:c r="K223" t="n">
        <x:f>IF(I223=1,_xlfn.XLOOKUP(H223,Rates_Raw!$AF$5:$AF$464,Rates_Raw!$F$5:$F$464,""),"")</x:f>
        <x:v>21</x:v>
      </x:c>
      <x:c r="L223" s="50" t="n">
        <x:f>IF(I223=1,IFERROR(VALUE(SUBSTITUTE(_xlfn.XLOOKUP(H223,Rates_Raw!$AF$5:$AF$464,Rates_Raw!$L$5:$L$464,""),"$","")),""),"")</x:f>
        <x:v>58.275</x:v>
      </x:c>
      <x:c r="M223" s="50" t="n">
        <x:f>IF(OR(G223="",L223=""),"",ROUND(G223-L223,4))</x:f>
        <x:v>0</x:v>
      </x:c>
      <x:c r="N223" t="str">
        <x:f>IF(I223=0,"NO MATCH",IF(I223&gt;1,"AMBIGUOUS",IF(EXACT(TRIM(E223),TRIM(J223)),"EXACT","TITLE VARIANT")))</x:f>
        <x:v>EXACT</x:v>
      </x:c>
      <x:c r="O223" t="str">
        <x:f>IF(I223&lt;&gt;1,"NOT TESTED",IF(OR(G223="",L223=""),"MISSING",IF(ABS(M223)&lt;=Guide!$B$16,"PASS","REVIEW")))</x:f>
        <x:v>PASS</x:v>
      </x:c>
      <x:c r="P223" s="52" t="n">
        <x:f>IF(I223=1,IFERROR(VALUE(SUBSTITUTE(SUBSTITUTE(_xlfn.XLOOKUP(H223,Rates_Raw!$AF$5:$AF$464,Rates_Raw!$I$5:$I$464,""),"$",""),",","")),""),"")</x:f>
        <x:v>4662</x:v>
      </x:c>
      <x:c r="Q223" s="52" t="n">
        <x:f>IF(P223="","",P223*Guide!$B$15)</x:f>
        <x:v>121212</x:v>
      </x:c>
      <x:c r="R223" t="str">
        <x:f>IF(I223=0,"UNMATCHED",IF(I223&gt;1,"DUPLICATE KEY",IF(OR(N223="TITLE VARIANT",O223="REVIEW",O223="MISSING"),"REVIEW","VERIFIED")))</x:f>
        <x:v>VERIFIED</x:v>
      </x:c>
      <x:c r="S223" s="46" t="str">
        <x:v>Not Reviewed</x:v>
      </x:c>
      <x:c r="T223" s="48"/>
    </x:row>
    <x:row r="224">
      <x:c r="A224" t="n">
        <x:f>Plan_Raw!A224</x:f>
        <x:v>1045</x:v>
      </x:c>
      <x:c r="B224" t="str">
        <x:f>Plan_Raw!D224</x:f>
        <x:v>1094</x:v>
      </x:c>
      <x:c r="C224" t="str">
        <x:f>LEFT(Plan_Raw!B224,10)</x:f>
        <x:v>2024-01-06</x:v>
      </x:c>
      <x:c r="D224" t="str">
        <x:f>Plan_Raw!F224</x:f>
        <x:v>SFMTA</x:v>
      </x:c>
      <x:c r="E224" t="str">
        <x:f>Plan_Raw!E224</x:f>
        <x:v>IT Operations Support Administrator IV</x:v>
      </x:c>
      <x:c r="F224" t="str">
        <x:f>Plan_Raw!C224</x:f>
        <x:v>1094Y</x:v>
      </x:c>
      <x:c r="G224" s="50" t="n">
        <x:f>IF(Plan_Raw!G224="","",IFERROR(VALUE(Plan_Raw!G224),""))</x:f>
        <x:v>58.275</x:v>
      </x:c>
      <x:c r="H224" t="str">
        <x:f>Plan_Raw!AH224</x:f>
        <x:v>1094|SFMTA|2024-01-06</x:v>
      </x:c>
      <x:c r="I224" t="n">
        <x:f>COUNTIF(Rates_Raw!$AF$5:$AF$464,H224)</x:f>
        <x:v>1</x:v>
      </x:c>
      <x:c r="J224" t="str">
        <x:f>IF(I224=1,_xlfn.XLOOKUP(H224,Rates_Raw!$AF$5:$AF$464,Rates_Raw!$E$5:$E$464,""),"")</x:f>
        <x:v>IT Operations Support Administrator IV</x:v>
      </x:c>
      <x:c r="K224" t="n">
        <x:f>IF(I224=1,_xlfn.XLOOKUP(H224,Rates_Raw!$AF$5:$AF$464,Rates_Raw!$F$5:$F$464,""),"")</x:f>
        <x:v>21</x:v>
      </x:c>
      <x:c r="L224" s="50" t="n">
        <x:f>IF(I224=1,IFERROR(VALUE(SUBSTITUTE(_xlfn.XLOOKUP(H224,Rates_Raw!$AF$5:$AF$464,Rates_Raw!$L$5:$L$464,""),"$","")),""),"")</x:f>
        <x:v>58.275</x:v>
      </x:c>
      <x:c r="M224" s="50" t="n">
        <x:f>IF(OR(G224="",L224=""),"",ROUND(G224-L224,4))</x:f>
        <x:v>0</x:v>
      </x:c>
      <x:c r="N224" t="str">
        <x:f>IF(I224=0,"NO MATCH",IF(I224&gt;1,"AMBIGUOUS",IF(EXACT(TRIM(E224),TRIM(J224)),"EXACT","TITLE VARIANT")))</x:f>
        <x:v>EXACT</x:v>
      </x:c>
      <x:c r="O224" t="str">
        <x:f>IF(I224&lt;&gt;1,"NOT TESTED",IF(OR(G224="",L224=""),"MISSING",IF(ABS(M224)&lt;=Guide!$B$16,"PASS","REVIEW")))</x:f>
        <x:v>PASS</x:v>
      </x:c>
      <x:c r="P224" s="52" t="n">
        <x:f>IF(I224=1,IFERROR(VALUE(SUBSTITUTE(SUBSTITUTE(_xlfn.XLOOKUP(H224,Rates_Raw!$AF$5:$AF$464,Rates_Raw!$I$5:$I$464,""),"$",""),",","")),""),"")</x:f>
        <x:v>4662</x:v>
      </x:c>
      <x:c r="Q224" s="52" t="n">
        <x:f>IF(P224="","",P224*Guide!$B$15)</x:f>
        <x:v>121212</x:v>
      </x:c>
      <x:c r="R224" t="str">
        <x:f>IF(I224=0,"UNMATCHED",IF(I224&gt;1,"DUPLICATE KEY",IF(OR(N224="TITLE VARIANT",O224="REVIEW",O224="MISSING"),"REVIEW","VERIFIED")))</x:f>
        <x:v>VERIFIED</x:v>
      </x:c>
      <x:c r="S224" s="46" t="str">
        <x:v>Not Reviewed</x:v>
      </x:c>
      <x:c r="T224" s="48"/>
    </x:row>
    <x:row r="225">
      <x:c r="A225" t="n">
        <x:f>Plan_Raw!A225</x:f>
        <x:v>1034</x:v>
      </x:c>
      <x:c r="B225" t="str">
        <x:f>Plan_Raw!D225</x:f>
        <x:v>1094</x:v>
      </x:c>
      <x:c r="C225" t="str">
        <x:f>LEFT(Plan_Raw!B225,10)</x:f>
        <x:v>2024-07-01</x:v>
      </x:c>
      <x:c r="D225" t="str">
        <x:f>Plan_Raw!F225</x:f>
        <x:v>COMMN</x:v>
      </x:c>
      <x:c r="E225" t="str">
        <x:f>Plan_Raw!E225</x:f>
        <x:v>IT Operations Support Administrator IV</x:v>
      </x:c>
      <x:c r="F225" t="str">
        <x:f>Plan_Raw!C225</x:f>
        <x:v>1094Z</x:v>
      </x:c>
      <x:c r="G225" s="50" t="n">
        <x:f>IF(Plan_Raw!G225="","",IFERROR(VALUE(Plan_Raw!G225),""))</x:f>
        <x:v>59.7375</x:v>
      </x:c>
      <x:c r="H225" t="str">
        <x:f>Plan_Raw!AH225</x:f>
        <x:v>1094|COMMN|2024-07-01</x:v>
      </x:c>
      <x:c r="I225" t="n">
        <x:f>COUNTIF(Rates_Raw!$AF$5:$AF$464,H225)</x:f>
        <x:v>1</x:v>
      </x:c>
      <x:c r="J225" t="str">
        <x:f>IF(I225=1,_xlfn.XLOOKUP(H225,Rates_Raw!$AF$5:$AF$464,Rates_Raw!$E$5:$E$464,""),"")</x:f>
        <x:v>IT Operations Support Administrator IV</x:v>
      </x:c>
      <x:c r="K225" t="n">
        <x:f>IF(I225=1,_xlfn.XLOOKUP(H225,Rates_Raw!$AF$5:$AF$464,Rates_Raw!$F$5:$F$464,""),"")</x:f>
        <x:v>21</x:v>
      </x:c>
      <x:c r="L225" s="50" t="n">
        <x:f>IF(I225=1,IFERROR(VALUE(SUBSTITUTE(_xlfn.XLOOKUP(H225,Rates_Raw!$AF$5:$AF$464,Rates_Raw!$L$5:$L$464,""),"$","")),""),"")</x:f>
        <x:v>59.7375</x:v>
      </x:c>
      <x:c r="M225" s="50" t="n">
        <x:f>IF(OR(G225="",L225=""),"",ROUND(G225-L225,4))</x:f>
        <x:v>0</x:v>
      </x:c>
      <x:c r="N225" t="str">
        <x:f>IF(I225=0,"NO MATCH",IF(I225&gt;1,"AMBIGUOUS",IF(EXACT(TRIM(E225),TRIM(J225)),"EXACT","TITLE VARIANT")))</x:f>
        <x:v>EXACT</x:v>
      </x:c>
      <x:c r="O225" t="str">
        <x:f>IF(I225&lt;&gt;1,"NOT TESTED",IF(OR(G225="",L225=""),"MISSING",IF(ABS(M225)&lt;=Guide!$B$16,"PASS","REVIEW")))</x:f>
        <x:v>PASS</x:v>
      </x:c>
      <x:c r="P225" s="52" t="n">
        <x:f>IF(I225=1,IFERROR(VALUE(SUBSTITUTE(SUBSTITUTE(_xlfn.XLOOKUP(H225,Rates_Raw!$AF$5:$AF$464,Rates_Raw!$I$5:$I$464,""),"$",""),",","")),""),"")</x:f>
        <x:v>4779</x:v>
      </x:c>
      <x:c r="Q225" s="52" t="n">
        <x:f>IF(P225="","",P225*Guide!$B$15)</x:f>
        <x:v>124254</x:v>
      </x:c>
      <x:c r="R225" t="str">
        <x:f>IF(I225=0,"UNMATCHED",IF(I225&gt;1,"DUPLICATE KEY",IF(OR(N225="TITLE VARIANT",O225="REVIEW",O225="MISSING"),"REVIEW","VERIFIED")))</x:f>
        <x:v>VERIFIED</x:v>
      </x:c>
      <x:c r="S225" s="46" t="str">
        <x:v>Not Reviewed</x:v>
      </x:c>
      <x:c r="T225" s="48"/>
    </x:row>
    <x:row r="226">
      <x:c r="A226" t="n">
        <x:f>Plan_Raw!A226</x:f>
        <x:v>1046</x:v>
      </x:c>
      <x:c r="B226" t="str">
        <x:f>Plan_Raw!D226</x:f>
        <x:v>1094</x:v>
      </x:c>
      <x:c r="C226" t="str">
        <x:f>LEFT(Plan_Raw!B226,10)</x:f>
        <x:v>2024-07-01</x:v>
      </x:c>
      <x:c r="D226" t="str">
        <x:f>Plan_Raw!F226</x:f>
        <x:v>SFMTA</x:v>
      </x:c>
      <x:c r="E226" t="str">
        <x:f>Plan_Raw!E226</x:f>
        <x:v>IT Operations Support Administrator IV</x:v>
      </x:c>
      <x:c r="F226" t="str">
        <x:f>Plan_Raw!C226</x:f>
        <x:v>1094Z</x:v>
      </x:c>
      <x:c r="G226" s="50" t="n">
        <x:f>IF(Plan_Raw!G226="","",IFERROR(VALUE(Plan_Raw!G226),""))</x:f>
        <x:v>59.7375</x:v>
      </x:c>
      <x:c r="H226" t="str">
        <x:f>Plan_Raw!AH226</x:f>
        <x:v>1094|SFMTA|2024-07-01</x:v>
      </x:c>
      <x:c r="I226" t="n">
        <x:f>COUNTIF(Rates_Raw!$AF$5:$AF$464,H226)</x:f>
        <x:v>1</x:v>
      </x:c>
      <x:c r="J226" t="str">
        <x:f>IF(I226=1,_xlfn.XLOOKUP(H226,Rates_Raw!$AF$5:$AF$464,Rates_Raw!$E$5:$E$464,""),"")</x:f>
        <x:v>IT Operations Support Administrator IV</x:v>
      </x:c>
      <x:c r="K226" t="n">
        <x:f>IF(I226=1,_xlfn.XLOOKUP(H226,Rates_Raw!$AF$5:$AF$464,Rates_Raw!$F$5:$F$464,""),"")</x:f>
        <x:v>21</x:v>
      </x:c>
      <x:c r="L226" s="50" t="n">
        <x:f>IF(I226=1,IFERROR(VALUE(SUBSTITUTE(_xlfn.XLOOKUP(H226,Rates_Raw!$AF$5:$AF$464,Rates_Raw!$L$5:$L$464,""),"$","")),""),"")</x:f>
        <x:v>59.7375</x:v>
      </x:c>
      <x:c r="M226" s="50" t="n">
        <x:f>IF(OR(G226="",L226=""),"",ROUND(G226-L226,4))</x:f>
        <x:v>0</x:v>
      </x:c>
      <x:c r="N226" t="str">
        <x:f>IF(I226=0,"NO MATCH",IF(I226&gt;1,"AMBIGUOUS",IF(EXACT(TRIM(E226),TRIM(J226)),"EXACT","TITLE VARIANT")))</x:f>
        <x:v>EXACT</x:v>
      </x:c>
      <x:c r="O226" t="str">
        <x:f>IF(I226&lt;&gt;1,"NOT TESTED",IF(OR(G226="",L226=""),"MISSING",IF(ABS(M226)&lt;=Guide!$B$16,"PASS","REVIEW")))</x:f>
        <x:v>PASS</x:v>
      </x:c>
      <x:c r="P226" s="52" t="n">
        <x:f>IF(I226=1,IFERROR(VALUE(SUBSTITUTE(SUBSTITUTE(_xlfn.XLOOKUP(H226,Rates_Raw!$AF$5:$AF$464,Rates_Raw!$I$5:$I$464,""),"$",""),",","")),""),"")</x:f>
        <x:v>4779</x:v>
      </x:c>
      <x:c r="Q226" s="52" t="n">
        <x:f>IF(P226="","",P226*Guide!$B$15)</x:f>
        <x:v>124254</x:v>
      </x:c>
      <x:c r="R226" t="str">
        <x:f>IF(I226=0,"UNMATCHED",IF(I226&gt;1,"DUPLICATE KEY",IF(OR(N226="TITLE VARIANT",O226="REVIEW",O226="MISSING"),"REVIEW","VERIFIED")))</x:f>
        <x:v>VERIFIED</x:v>
      </x:c>
      <x:c r="S226" s="46" t="str">
        <x:v>Not Reviewed</x:v>
      </x:c>
      <x:c r="T226" s="48"/>
    </x:row>
    <x:row r="227">
      <x:c r="A227" t="n">
        <x:f>Plan_Raw!A227</x:f>
        <x:v>1035</x:v>
      </x:c>
      <x:c r="B227" t="str">
        <x:f>Plan_Raw!D227</x:f>
        <x:v>1094</x:v>
      </x:c>
      <x:c r="C227" t="str">
        <x:f>LEFT(Plan_Raw!B227,10)</x:f>
        <x:v>2025-01-04</x:v>
      </x:c>
      <x:c r="D227" t="str">
        <x:f>Plan_Raw!F227</x:f>
        <x:v>COMMN</x:v>
      </x:c>
      <x:c r="E227" t="str">
        <x:f>Plan_Raw!E227</x:f>
        <x:v>IT Operations Support Administrator IV</x:v>
      </x:c>
      <x:c r="F227" t="str">
        <x:f>Plan_Raw!C227</x:f>
        <x:v>1094A</x:v>
      </x:c>
      <x:c r="G227" s="50" t="n">
        <x:f>IF(Plan_Raw!G227="","",IFERROR(VALUE(Plan_Raw!G227),""))</x:f>
        <x:v>60.6375</x:v>
      </x:c>
      <x:c r="H227" t="str">
        <x:f>Plan_Raw!AH227</x:f>
        <x:v>1094|COMMN|2025-01-04</x:v>
      </x:c>
      <x:c r="I227" t="n">
        <x:f>COUNTIF(Rates_Raw!$AF$5:$AF$464,H227)</x:f>
        <x:v>1</x:v>
      </x:c>
      <x:c r="J227" t="str">
        <x:f>IF(I227=1,_xlfn.XLOOKUP(H227,Rates_Raw!$AF$5:$AF$464,Rates_Raw!$E$5:$E$464,""),"")</x:f>
        <x:v>IT Operations Support Administrator IV</x:v>
      </x:c>
      <x:c r="K227" t="n">
        <x:f>IF(I227=1,_xlfn.XLOOKUP(H227,Rates_Raw!$AF$5:$AF$464,Rates_Raw!$F$5:$F$464,""),"")</x:f>
        <x:v>21</x:v>
      </x:c>
      <x:c r="L227" s="50" t="n">
        <x:f>IF(I227=1,IFERROR(VALUE(SUBSTITUTE(_xlfn.XLOOKUP(H227,Rates_Raw!$AF$5:$AF$464,Rates_Raw!$L$5:$L$464,""),"$","")),""),"")</x:f>
        <x:v>60.6375</x:v>
      </x:c>
      <x:c r="M227" s="50" t="n">
        <x:f>IF(OR(G227="",L227=""),"",ROUND(G227-L227,4))</x:f>
        <x:v>0</x:v>
      </x:c>
      <x:c r="N227" t="str">
        <x:f>IF(I227=0,"NO MATCH",IF(I227&gt;1,"AMBIGUOUS",IF(EXACT(TRIM(E227),TRIM(J227)),"EXACT","TITLE VARIANT")))</x:f>
        <x:v>EXACT</x:v>
      </x:c>
      <x:c r="O227" t="str">
        <x:f>IF(I227&lt;&gt;1,"NOT TESTED",IF(OR(G227="",L227=""),"MISSING",IF(ABS(M227)&lt;=Guide!$B$16,"PASS","REVIEW")))</x:f>
        <x:v>PASS</x:v>
      </x:c>
      <x:c r="P227" s="52" t="n">
        <x:f>IF(I227=1,IFERROR(VALUE(SUBSTITUTE(SUBSTITUTE(_xlfn.XLOOKUP(H227,Rates_Raw!$AF$5:$AF$464,Rates_Raw!$I$5:$I$464,""),"$",""),",","")),""),"")</x:f>
        <x:v>4851</x:v>
      </x:c>
      <x:c r="Q227" s="52" t="n">
        <x:f>IF(P227="","",P227*Guide!$B$15)</x:f>
        <x:v>126126</x:v>
      </x:c>
      <x:c r="R227" t="str">
        <x:f>IF(I227=0,"UNMATCHED",IF(I227&gt;1,"DUPLICATE KEY",IF(OR(N227="TITLE VARIANT",O227="REVIEW",O227="MISSING"),"REVIEW","VERIFIED")))</x:f>
        <x:v>VERIFIED</x:v>
      </x:c>
      <x:c r="S227" s="46" t="str">
        <x:v>Not Reviewed</x:v>
      </x:c>
      <x:c r="T227" s="48"/>
    </x:row>
    <x:row r="228">
      <x:c r="A228" t="n">
        <x:f>Plan_Raw!A228</x:f>
        <x:v>1047</x:v>
      </x:c>
      <x:c r="B228" t="str">
        <x:f>Plan_Raw!D228</x:f>
        <x:v>1094</x:v>
      </x:c>
      <x:c r="C228" t="str">
        <x:f>LEFT(Plan_Raw!B228,10)</x:f>
        <x:v>2025-01-04</x:v>
      </x:c>
      <x:c r="D228" t="str">
        <x:f>Plan_Raw!F228</x:f>
        <x:v>SFMTA</x:v>
      </x:c>
      <x:c r="E228" t="str">
        <x:f>Plan_Raw!E228</x:f>
        <x:v>IT Operations Support Administrator IV</x:v>
      </x:c>
      <x:c r="F228" t="str">
        <x:f>Plan_Raw!C228</x:f>
        <x:v>1094A</x:v>
      </x:c>
      <x:c r="G228" s="50" t="n">
        <x:f>IF(Plan_Raw!G228="","",IFERROR(VALUE(Plan_Raw!G228),""))</x:f>
        <x:v>60.6375</x:v>
      </x:c>
      <x:c r="H228" t="str">
        <x:f>Plan_Raw!AH228</x:f>
        <x:v>1094|SFMTA|2025-01-04</x:v>
      </x:c>
      <x:c r="I228" t="n">
        <x:f>COUNTIF(Rates_Raw!$AF$5:$AF$464,H228)</x:f>
        <x:v>1</x:v>
      </x:c>
      <x:c r="J228" t="str">
        <x:f>IF(I228=1,_xlfn.XLOOKUP(H228,Rates_Raw!$AF$5:$AF$464,Rates_Raw!$E$5:$E$464,""),"")</x:f>
        <x:v>IT Operations Support Administrator IV</x:v>
      </x:c>
      <x:c r="K228" t="n">
        <x:f>IF(I228=1,_xlfn.XLOOKUP(H228,Rates_Raw!$AF$5:$AF$464,Rates_Raw!$F$5:$F$464,""),"")</x:f>
        <x:v>21</x:v>
      </x:c>
      <x:c r="L228" s="50" t="n">
        <x:f>IF(I228=1,IFERROR(VALUE(SUBSTITUTE(_xlfn.XLOOKUP(H228,Rates_Raw!$AF$5:$AF$464,Rates_Raw!$L$5:$L$464,""),"$","")),""),"")</x:f>
        <x:v>60.6375</x:v>
      </x:c>
      <x:c r="M228" s="50" t="n">
        <x:f>IF(OR(G228="",L228=""),"",ROUND(G228-L228,4))</x:f>
        <x:v>0</x:v>
      </x:c>
      <x:c r="N228" t="str">
        <x:f>IF(I228=0,"NO MATCH",IF(I228&gt;1,"AMBIGUOUS",IF(EXACT(TRIM(E228),TRIM(J228)),"EXACT","TITLE VARIANT")))</x:f>
        <x:v>EXACT</x:v>
      </x:c>
      <x:c r="O228" t="str">
        <x:f>IF(I228&lt;&gt;1,"NOT TESTED",IF(OR(G228="",L228=""),"MISSING",IF(ABS(M228)&lt;=Guide!$B$16,"PASS","REVIEW")))</x:f>
        <x:v>PASS</x:v>
      </x:c>
      <x:c r="P228" s="52" t="n">
        <x:f>IF(I228=1,IFERROR(VALUE(SUBSTITUTE(SUBSTITUTE(_xlfn.XLOOKUP(H228,Rates_Raw!$AF$5:$AF$464,Rates_Raw!$I$5:$I$464,""),"$",""),",","")),""),"")</x:f>
        <x:v>4851</x:v>
      </x:c>
      <x:c r="Q228" s="52" t="n">
        <x:f>IF(P228="","",P228*Guide!$B$15)</x:f>
        <x:v>126126</x:v>
      </x:c>
      <x:c r="R228" t="str">
        <x:f>IF(I228=0,"UNMATCHED",IF(I228&gt;1,"DUPLICATE KEY",IF(OR(N228="TITLE VARIANT",O228="REVIEW",O228="MISSING"),"REVIEW","VERIFIED")))</x:f>
        <x:v>VERIFIED</x:v>
      </x:c>
      <x:c r="S228" s="46" t="str">
        <x:v>Not Reviewed</x:v>
      </x:c>
      <x:c r="T228" s="48"/>
    </x:row>
    <x:row r="229">
      <x:c r="A229" t="n">
        <x:f>Plan_Raw!A229</x:f>
        <x:v>1036</x:v>
      </x:c>
      <x:c r="B229" t="str">
        <x:f>Plan_Raw!D229</x:f>
        <x:v>1094</x:v>
      </x:c>
      <x:c r="C229" t="str">
        <x:f>LEFT(Plan_Raw!B229,10)</x:f>
        <x:v>2025-07-01</x:v>
      </x:c>
      <x:c r="D229" t="str">
        <x:f>Plan_Raw!F229</x:f>
        <x:v>COMMN</x:v>
      </x:c>
      <x:c r="E229" t="str">
        <x:f>Plan_Raw!E229</x:f>
        <x:v>IT Operations Support Admin IV</x:v>
      </x:c>
      <x:c r="F229" t="str">
        <x:f>Plan_Raw!C229</x:f>
        <x:v>1094B</x:v>
      </x:c>
      <x:c r="G229" s="50" t="n">
        <x:f>IF(Plan_Raw!G229="","",IFERROR(VALUE(Plan_Raw!G229),""))</x:f>
        <x:v>61.8625</x:v>
      </x:c>
      <x:c r="H229" t="str">
        <x:f>Plan_Raw!AH229</x:f>
        <x:v>1094|COMMN|2025-07-01</x:v>
      </x:c>
      <x:c r="I229" t="n">
        <x:f>COUNTIF(Rates_Raw!$AF$5:$AF$464,H229)</x:f>
        <x:v>1</x:v>
      </x:c>
      <x:c r="J229" t="str">
        <x:f>IF(I229=1,_xlfn.XLOOKUP(H229,Rates_Raw!$AF$5:$AF$464,Rates_Raw!$E$5:$E$464,""),"")</x:f>
        <x:v>IT Operations Support Admin IV</x:v>
      </x:c>
      <x:c r="K229" t="n">
        <x:f>IF(I229=1,_xlfn.XLOOKUP(H229,Rates_Raw!$AF$5:$AF$464,Rates_Raw!$F$5:$F$464,""),"")</x:f>
        <x:v>21</x:v>
      </x:c>
      <x:c r="L229" s="50" t="n">
        <x:f>IF(I229=1,IFERROR(VALUE(SUBSTITUTE(_xlfn.XLOOKUP(H229,Rates_Raw!$AF$5:$AF$464,Rates_Raw!$L$5:$L$464,""),"$","")),""),"")</x:f>
        <x:v>61.8625</x:v>
      </x:c>
      <x:c r="M229" s="50" t="n">
        <x:f>IF(OR(G229="",L229=""),"",ROUND(G229-L229,4))</x:f>
        <x:v>0</x:v>
      </x:c>
      <x:c r="N229" t="str">
        <x:f>IF(I229=0,"NO MATCH",IF(I229&gt;1,"AMBIGUOUS",IF(EXACT(TRIM(E229),TRIM(J229)),"EXACT","TITLE VARIANT")))</x:f>
        <x:v>EXACT</x:v>
      </x:c>
      <x:c r="O229" t="str">
        <x:f>IF(I229&lt;&gt;1,"NOT TESTED",IF(OR(G229="",L229=""),"MISSING",IF(ABS(M229)&lt;=Guide!$B$16,"PASS","REVIEW")))</x:f>
        <x:v>PASS</x:v>
      </x:c>
      <x:c r="P229" s="52" t="n">
        <x:f>IF(I229=1,IFERROR(VALUE(SUBSTITUTE(SUBSTITUTE(_xlfn.XLOOKUP(H229,Rates_Raw!$AF$5:$AF$464,Rates_Raw!$I$5:$I$464,""),"$",""),",","")),""),"")</x:f>
        <x:v>4949</x:v>
      </x:c>
      <x:c r="Q229" s="52" t="n">
        <x:f>IF(P229="","",P229*Guide!$B$15)</x:f>
        <x:v>128674</x:v>
      </x:c>
      <x:c r="R229" t="str">
        <x:f>IF(I229=0,"UNMATCHED",IF(I229&gt;1,"DUPLICATE KEY",IF(OR(N229="TITLE VARIANT",O229="REVIEW",O229="MISSING"),"REVIEW","VERIFIED")))</x:f>
        <x:v>VERIFIED</x:v>
      </x:c>
      <x:c r="S229" s="46" t="str">
        <x:v>Not Reviewed</x:v>
      </x:c>
      <x:c r="T229" s="48"/>
    </x:row>
    <x:row r="230">
      <x:c r="A230" t="n">
        <x:f>Plan_Raw!A230</x:f>
        <x:v>1048</x:v>
      </x:c>
      <x:c r="B230" t="str">
        <x:f>Plan_Raw!D230</x:f>
        <x:v>1094</x:v>
      </x:c>
      <x:c r="C230" t="str">
        <x:f>LEFT(Plan_Raw!B230,10)</x:f>
        <x:v>2025-07-01</x:v>
      </x:c>
      <x:c r="D230" t="str">
        <x:f>Plan_Raw!F230</x:f>
        <x:v>SFMTA</x:v>
      </x:c>
      <x:c r="E230" t="str">
        <x:f>Plan_Raw!E230</x:f>
        <x:v>IT Operations Support Admin IV</x:v>
      </x:c>
      <x:c r="F230" t="str">
        <x:f>Plan_Raw!C230</x:f>
        <x:v>1094B</x:v>
      </x:c>
      <x:c r="G230" s="50" t="n">
        <x:f>IF(Plan_Raw!G230="","",IFERROR(VALUE(Plan_Raw!G230),""))</x:f>
        <x:v>61.8625</x:v>
      </x:c>
      <x:c r="H230" t="str">
        <x:f>Plan_Raw!AH230</x:f>
        <x:v>1094|SFMTA|2025-07-01</x:v>
      </x:c>
      <x:c r="I230" t="n">
        <x:f>COUNTIF(Rates_Raw!$AF$5:$AF$464,H230)</x:f>
        <x:v>1</x:v>
      </x:c>
      <x:c r="J230" t="str">
        <x:f>IF(I230=1,_xlfn.XLOOKUP(H230,Rates_Raw!$AF$5:$AF$464,Rates_Raw!$E$5:$E$464,""),"")</x:f>
        <x:v>IT Operations Support Admin IV</x:v>
      </x:c>
      <x:c r="K230" t="n">
        <x:f>IF(I230=1,_xlfn.XLOOKUP(H230,Rates_Raw!$AF$5:$AF$464,Rates_Raw!$F$5:$F$464,""),"")</x:f>
        <x:v>21</x:v>
      </x:c>
      <x:c r="L230" s="50" t="n">
        <x:f>IF(I230=1,IFERROR(VALUE(SUBSTITUTE(_xlfn.XLOOKUP(H230,Rates_Raw!$AF$5:$AF$464,Rates_Raw!$L$5:$L$464,""),"$","")),""),"")</x:f>
        <x:v>61.8625</x:v>
      </x:c>
      <x:c r="M230" s="50" t="n">
        <x:f>IF(OR(G230="",L230=""),"",ROUND(G230-L230,4))</x:f>
        <x:v>0</x:v>
      </x:c>
      <x:c r="N230" t="str">
        <x:f>IF(I230=0,"NO MATCH",IF(I230&gt;1,"AMBIGUOUS",IF(EXACT(TRIM(E230),TRIM(J230)),"EXACT","TITLE VARIANT")))</x:f>
        <x:v>EXACT</x:v>
      </x:c>
      <x:c r="O230" t="str">
        <x:f>IF(I230&lt;&gt;1,"NOT TESTED",IF(OR(G230="",L230=""),"MISSING",IF(ABS(M230)&lt;=Guide!$B$16,"PASS","REVIEW")))</x:f>
        <x:v>PASS</x:v>
      </x:c>
      <x:c r="P230" s="52" t="n">
        <x:f>IF(I230=1,IFERROR(VALUE(SUBSTITUTE(SUBSTITUTE(_xlfn.XLOOKUP(H230,Rates_Raw!$AF$5:$AF$464,Rates_Raw!$I$5:$I$464,""),"$",""),",","")),""),"")</x:f>
        <x:v>4949</x:v>
      </x:c>
      <x:c r="Q230" s="52" t="n">
        <x:f>IF(P230="","",P230*Guide!$B$15)</x:f>
        <x:v>128674</x:v>
      </x:c>
      <x:c r="R230" t="str">
        <x:f>IF(I230=0,"UNMATCHED",IF(I230&gt;1,"DUPLICATE KEY",IF(OR(N230="TITLE VARIANT",O230="REVIEW",O230="MISSING"),"REVIEW","VERIFIED")))</x:f>
        <x:v>VERIFIED</x:v>
      </x:c>
      <x:c r="S230" s="46" t="str">
        <x:v>Not Reviewed</x:v>
      </x:c>
      <x:c r="T230" s="48"/>
    </x:row>
    <x:row r="231">
      <x:c r="A231" t="n">
        <x:f>Plan_Raw!A231</x:f>
        <x:v>1037</x:v>
      </x:c>
      <x:c r="B231" t="str">
        <x:f>Plan_Raw!D231</x:f>
        <x:v>1094</x:v>
      </x:c>
      <x:c r="C231" t="str">
        <x:f>LEFT(Plan_Raw!B231,10)</x:f>
        <x:v>2026-01-03</x:v>
      </x:c>
      <x:c r="D231" t="str">
        <x:f>Plan_Raw!F231</x:f>
        <x:v>COMMN</x:v>
      </x:c>
      <x:c r="E231" t="str">
        <x:f>Plan_Raw!E231</x:f>
        <x:v>IT Operations Support Admin IV</x:v>
      </x:c>
      <x:c r="F231" t="str">
        <x:f>Plan_Raw!C231</x:f>
        <x:v>1094C</x:v>
      </x:c>
      <x:c r="G231" s="50" t="n">
        <x:f>IF(Plan_Raw!G231="","",IFERROR(VALUE(Plan_Raw!G231),""))</x:f>
        <x:v>62.7875</x:v>
      </x:c>
      <x:c r="H231" t="str">
        <x:f>Plan_Raw!AH231</x:f>
        <x:v>1094|COMMN|2026-01-03</x:v>
      </x:c>
      <x:c r="I231" t="n">
        <x:f>COUNTIF(Rates_Raw!$AF$5:$AF$464,H231)</x:f>
        <x:v>1</x:v>
      </x:c>
      <x:c r="J231" t="str">
        <x:f>IF(I231=1,_xlfn.XLOOKUP(H231,Rates_Raw!$AF$5:$AF$464,Rates_Raw!$E$5:$E$464,""),"")</x:f>
        <x:v>IT Operations Support Admin IV</x:v>
      </x:c>
      <x:c r="K231" t="n">
        <x:f>IF(I231=1,_xlfn.XLOOKUP(H231,Rates_Raw!$AF$5:$AF$464,Rates_Raw!$F$5:$F$464,""),"")</x:f>
        <x:v>21</x:v>
      </x:c>
      <x:c r="L231" s="50" t="n">
        <x:f>IF(I231=1,IFERROR(VALUE(SUBSTITUTE(_xlfn.XLOOKUP(H231,Rates_Raw!$AF$5:$AF$464,Rates_Raw!$L$5:$L$464,""),"$","")),""),"")</x:f>
        <x:v>62.7875</x:v>
      </x:c>
      <x:c r="M231" s="50" t="n">
        <x:f>IF(OR(G231="",L231=""),"",ROUND(G231-L231,4))</x:f>
        <x:v>0</x:v>
      </x:c>
      <x:c r="N231" t="str">
        <x:f>IF(I231=0,"NO MATCH",IF(I231&gt;1,"AMBIGUOUS",IF(EXACT(TRIM(E231),TRIM(J231)),"EXACT","TITLE VARIANT")))</x:f>
        <x:v>EXACT</x:v>
      </x:c>
      <x:c r="O231" t="str">
        <x:f>IF(I231&lt;&gt;1,"NOT TESTED",IF(OR(G231="",L231=""),"MISSING",IF(ABS(M231)&lt;=Guide!$B$16,"PASS","REVIEW")))</x:f>
        <x:v>PASS</x:v>
      </x:c>
      <x:c r="P231" s="52" t="n">
        <x:f>IF(I231=1,IFERROR(VALUE(SUBSTITUTE(SUBSTITUTE(_xlfn.XLOOKUP(H231,Rates_Raw!$AF$5:$AF$464,Rates_Raw!$I$5:$I$464,""),"$",""),",","")),""),"")</x:f>
        <x:v>5023</x:v>
      </x:c>
      <x:c r="Q231" s="52" t="n">
        <x:f>IF(P231="","",P231*Guide!$B$15)</x:f>
        <x:v>130598</x:v>
      </x:c>
      <x:c r="R231" t="str">
        <x:f>IF(I231=0,"UNMATCHED",IF(I231&gt;1,"DUPLICATE KEY",IF(OR(N231="TITLE VARIANT",O231="REVIEW",O231="MISSING"),"REVIEW","VERIFIED")))</x:f>
        <x:v>VERIFIED</x:v>
      </x:c>
      <x:c r="S231" s="46" t="str">
        <x:v>Not Reviewed</x:v>
      </x:c>
      <x:c r="T231" s="48"/>
    </x:row>
    <x:row r="232">
      <x:c r="A232" t="n">
        <x:f>Plan_Raw!A232</x:f>
        <x:v>1049</x:v>
      </x:c>
      <x:c r="B232" t="str">
        <x:f>Plan_Raw!D232</x:f>
        <x:v>1094</x:v>
      </x:c>
      <x:c r="C232" t="str">
        <x:f>LEFT(Plan_Raw!B232,10)</x:f>
        <x:v>2026-01-03</x:v>
      </x:c>
      <x:c r="D232" t="str">
        <x:f>Plan_Raw!F232</x:f>
        <x:v>SFMTA</x:v>
      </x:c>
      <x:c r="E232" t="str">
        <x:f>Plan_Raw!E232</x:f>
        <x:v>IT Operations Support Admin IV</x:v>
      </x:c>
      <x:c r="F232" t="str">
        <x:f>Plan_Raw!C232</x:f>
        <x:v>1094C</x:v>
      </x:c>
      <x:c r="G232" s="50" t="n">
        <x:f>IF(Plan_Raw!G232="","",IFERROR(VALUE(Plan_Raw!G232),""))</x:f>
        <x:v>62.7875</x:v>
      </x:c>
      <x:c r="H232" t="str">
        <x:f>Plan_Raw!AH232</x:f>
        <x:v>1094|SFMTA|2026-01-03</x:v>
      </x:c>
      <x:c r="I232" t="n">
        <x:f>COUNTIF(Rates_Raw!$AF$5:$AF$464,H232)</x:f>
        <x:v>1</x:v>
      </x:c>
      <x:c r="J232" t="str">
        <x:f>IF(I232=1,_xlfn.XLOOKUP(H232,Rates_Raw!$AF$5:$AF$464,Rates_Raw!$E$5:$E$464,""),"")</x:f>
        <x:v>IT Operations Support Admin IV</x:v>
      </x:c>
      <x:c r="K232" t="n">
        <x:f>IF(I232=1,_xlfn.XLOOKUP(H232,Rates_Raw!$AF$5:$AF$464,Rates_Raw!$F$5:$F$464,""),"")</x:f>
        <x:v>21</x:v>
      </x:c>
      <x:c r="L232" s="50" t="n">
        <x:f>IF(I232=1,IFERROR(VALUE(SUBSTITUTE(_xlfn.XLOOKUP(H232,Rates_Raw!$AF$5:$AF$464,Rates_Raw!$L$5:$L$464,""),"$","")),""),"")</x:f>
        <x:v>62.7875</x:v>
      </x:c>
      <x:c r="M232" s="50" t="n">
        <x:f>IF(OR(G232="",L232=""),"",ROUND(G232-L232,4))</x:f>
        <x:v>0</x:v>
      </x:c>
      <x:c r="N232" t="str">
        <x:f>IF(I232=0,"NO MATCH",IF(I232&gt;1,"AMBIGUOUS",IF(EXACT(TRIM(E232),TRIM(J232)),"EXACT","TITLE VARIANT")))</x:f>
        <x:v>EXACT</x:v>
      </x:c>
      <x:c r="O232" t="str">
        <x:f>IF(I232&lt;&gt;1,"NOT TESTED",IF(OR(G232="",L232=""),"MISSING",IF(ABS(M232)&lt;=Guide!$B$16,"PASS","REVIEW")))</x:f>
        <x:v>PASS</x:v>
      </x:c>
      <x:c r="P232" s="52" t="n">
        <x:f>IF(I232=1,IFERROR(VALUE(SUBSTITUTE(SUBSTITUTE(_xlfn.XLOOKUP(H232,Rates_Raw!$AF$5:$AF$464,Rates_Raw!$I$5:$I$464,""),"$",""),",","")),""),"")</x:f>
        <x:v>5023</x:v>
      </x:c>
      <x:c r="Q232" s="52" t="n">
        <x:f>IF(P232="","",P232*Guide!$B$15)</x:f>
        <x:v>130598</x:v>
      </x:c>
      <x:c r="R232" t="str">
        <x:f>IF(I232=0,"UNMATCHED",IF(I232&gt;1,"DUPLICATE KEY",IF(OR(N232="TITLE VARIANT",O232="REVIEW",O232="MISSING"),"REVIEW","VERIFIED")))</x:f>
        <x:v>VERIFIED</x:v>
      </x:c>
      <x:c r="S232" s="46" t="str">
        <x:v>Not Reviewed</x:v>
      </x:c>
      <x:c r="T232" s="48"/>
    </x:row>
    <x:row r="233">
      <x:c r="A233" t="n">
        <x:f>Plan_Raw!A233</x:f>
        <x:v>1038</x:v>
      </x:c>
      <x:c r="B233" t="str">
        <x:f>Plan_Raw!D233</x:f>
        <x:v>1094</x:v>
      </x:c>
      <x:c r="C233" t="str">
        <x:f>LEFT(Plan_Raw!B233,10)</x:f>
        <x:v>2026-07-01</x:v>
      </x:c>
      <x:c r="D233" t="str">
        <x:f>Plan_Raw!F233</x:f>
        <x:v>COMMN</x:v>
      </x:c>
      <x:c r="E233" t="str">
        <x:f>Plan_Raw!E233</x:f>
        <x:v>IT Operations Support Admin IV</x:v>
      </x:c>
      <x:c r="F233" t="str">
        <x:f>Plan_Raw!C233</x:f>
        <x:v>1094D</x:v>
      </x:c>
      <x:c r="G233" s="50" t="n">
        <x:f>IF(Plan_Raw!G233="","",IFERROR(VALUE(Plan_Raw!G233),""))</x:f>
        <x:v>64.0375</x:v>
      </x:c>
      <x:c r="H233" t="str">
        <x:f>Plan_Raw!AH233</x:f>
        <x:v>1094|COMMN|2026-07-01</x:v>
      </x:c>
      <x:c r="I233" t="n">
        <x:f>COUNTIF(Rates_Raw!$AF$5:$AF$464,H233)</x:f>
        <x:v>0</x:v>
      </x:c>
      <x:c r="J233" t="str">
        <x:f>IF(I233=1,_xlfn.XLOOKUP(H233,Rates_Raw!$AF$5:$AF$464,Rates_Raw!$E$5:$E$464,""),"")</x:f>
      </x:c>
      <x:c r="K233" t="str">
        <x:f>IF(I233=1,_xlfn.XLOOKUP(H233,Rates_Raw!$AF$5:$AF$464,Rates_Raw!$F$5:$F$464,""),"")</x:f>
      </x:c>
      <x:c r="L233" s="50" t="str">
        <x:f>IF(I233=1,IFERROR(VALUE(SUBSTITUTE(_xlfn.XLOOKUP(H233,Rates_Raw!$AF$5:$AF$464,Rates_Raw!$L$5:$L$464,""),"$","")),""),"")</x:f>
      </x:c>
      <x:c r="M233" s="50" t="str">
        <x:f>IF(OR(G233="",L233=""),"",ROUND(G233-L233,4))</x:f>
      </x:c>
      <x:c r="N233" t="str">
        <x:f>IF(I233=0,"NO MATCH",IF(I233&gt;1,"AMBIGUOUS",IF(EXACT(TRIM(E233),TRIM(J233)),"EXACT","TITLE VARIANT")))</x:f>
        <x:v>NO MATCH</x:v>
      </x:c>
      <x:c r="O233" t="str">
        <x:f>IF(I233&lt;&gt;1,"NOT TESTED",IF(OR(G233="",L233=""),"MISSING",IF(ABS(M233)&lt;=Guide!$B$16,"PASS","REVIEW")))</x:f>
        <x:v>NOT TESTED</x:v>
      </x:c>
      <x:c r="P233" s="52" t="str">
        <x:f>IF(I233=1,IFERROR(VALUE(SUBSTITUTE(SUBSTITUTE(_xlfn.XLOOKUP(H233,Rates_Raw!$AF$5:$AF$464,Rates_Raw!$I$5:$I$464,""),"$",""),",","")),""),"")</x:f>
      </x:c>
      <x:c r="Q233" s="52" t="str">
        <x:f>IF(P233="","",P233*Guide!$B$15)</x:f>
      </x:c>
      <x:c r="R233" t="str">
        <x:f>IF(I233=0,"UNMATCHED",IF(I233&gt;1,"DUPLICATE KEY",IF(OR(N233="TITLE VARIANT",O233="REVIEW",O233="MISSING"),"REVIEW","VERIFIED")))</x:f>
        <x:v>UNMATCHED</x:v>
      </x:c>
      <x:c r="S233" s="46" t="str">
        <x:v>Not Reviewed</x:v>
      </x:c>
      <x:c r="T233" s="48"/>
    </x:row>
    <x:row r="234">
      <x:c r="A234" t="n">
        <x:f>Plan_Raw!A234</x:f>
        <x:v>1050</x:v>
      </x:c>
      <x:c r="B234" t="str">
        <x:f>Plan_Raw!D234</x:f>
        <x:v>1094</x:v>
      </x:c>
      <x:c r="C234" t="str">
        <x:f>LEFT(Plan_Raw!B234,10)</x:f>
        <x:v>2026-07-01</x:v>
      </x:c>
      <x:c r="D234" t="str">
        <x:f>Plan_Raw!F234</x:f>
        <x:v>SFMTA</x:v>
      </x:c>
      <x:c r="E234" t="str">
        <x:f>Plan_Raw!E234</x:f>
        <x:v>IT Operations Support Admin IV</x:v>
      </x:c>
      <x:c r="F234" t="str">
        <x:f>Plan_Raw!C234</x:f>
        <x:v>1094D</x:v>
      </x:c>
      <x:c r="G234" s="50" t="n">
        <x:f>IF(Plan_Raw!G234="","",IFERROR(VALUE(Plan_Raw!G234),""))</x:f>
        <x:v>64.0375</x:v>
      </x:c>
      <x:c r="H234" t="str">
        <x:f>Plan_Raw!AH234</x:f>
        <x:v>1094|SFMTA|2026-07-01</x:v>
      </x:c>
      <x:c r="I234" t="n">
        <x:f>COUNTIF(Rates_Raw!$AF$5:$AF$464,H234)</x:f>
        <x:v>0</x:v>
      </x:c>
      <x:c r="J234" t="str">
        <x:f>IF(I234=1,_xlfn.XLOOKUP(H234,Rates_Raw!$AF$5:$AF$464,Rates_Raw!$E$5:$E$464,""),"")</x:f>
      </x:c>
      <x:c r="K234" t="str">
        <x:f>IF(I234=1,_xlfn.XLOOKUP(H234,Rates_Raw!$AF$5:$AF$464,Rates_Raw!$F$5:$F$464,""),"")</x:f>
      </x:c>
      <x:c r="L234" s="50" t="str">
        <x:f>IF(I234=1,IFERROR(VALUE(SUBSTITUTE(_xlfn.XLOOKUP(H234,Rates_Raw!$AF$5:$AF$464,Rates_Raw!$L$5:$L$464,""),"$","")),""),"")</x:f>
      </x:c>
      <x:c r="M234" s="50" t="str">
        <x:f>IF(OR(G234="",L234=""),"",ROUND(G234-L234,4))</x:f>
      </x:c>
      <x:c r="N234" t="str">
        <x:f>IF(I234=0,"NO MATCH",IF(I234&gt;1,"AMBIGUOUS",IF(EXACT(TRIM(E234),TRIM(J234)),"EXACT","TITLE VARIANT")))</x:f>
        <x:v>NO MATCH</x:v>
      </x:c>
      <x:c r="O234" t="str">
        <x:f>IF(I234&lt;&gt;1,"NOT TESTED",IF(OR(G234="",L234=""),"MISSING",IF(ABS(M234)&lt;=Guide!$B$16,"PASS","REVIEW")))</x:f>
        <x:v>NOT TESTED</x:v>
      </x:c>
      <x:c r="P234" s="52" t="str">
        <x:f>IF(I234=1,IFERROR(VALUE(SUBSTITUTE(SUBSTITUTE(_xlfn.XLOOKUP(H234,Rates_Raw!$AF$5:$AF$464,Rates_Raw!$I$5:$I$464,""),"$",""),",","")),""),"")</x:f>
      </x:c>
      <x:c r="Q234" s="52" t="str">
        <x:f>IF(P234="","",P234*Guide!$B$15)</x:f>
      </x:c>
      <x:c r="R234" t="str">
        <x:f>IF(I234=0,"UNMATCHED",IF(I234&gt;1,"DUPLICATE KEY",IF(OR(N234="TITLE VARIANT",O234="REVIEW",O234="MISSING"),"REVIEW","VERIFIED")))</x:f>
        <x:v>UNMATCHED</x:v>
      </x:c>
      <x:c r="S234" s="46" t="str">
        <x:v>Not Reviewed</x:v>
      </x:c>
      <x:c r="T234" s="48"/>
    </x:row>
    <x:row r="235">
      <x:c r="A235" t="n">
        <x:f>Plan_Raw!A235</x:f>
        <x:v>1057</x:v>
      </x:c>
      <x:c r="B235" t="str">
        <x:f>Plan_Raw!D235</x:f>
        <x:v>1095</x:v>
      </x:c>
      <x:c r="C235" t="str">
        <x:f>LEFT(Plan_Raw!B235,10)</x:f>
        <x:v>2024-01-06</x:v>
      </x:c>
      <x:c r="D235" t="str">
        <x:f>Plan_Raw!F235</x:f>
        <x:v>COMMN</x:v>
      </x:c>
      <x:c r="E235" t="str">
        <x:f>Plan_Raw!E235</x:f>
        <x:v>IT Operations Support Administrator V</x:v>
      </x:c>
      <x:c r="F235" t="str">
        <x:f>Plan_Raw!C235</x:f>
        <x:v>1095Y</x:v>
      </x:c>
      <x:c r="G235" s="50" t="n">
        <x:f>IF(Plan_Raw!G235="","",IFERROR(VALUE(Plan_Raw!G235),""))</x:f>
        <x:v>62.6875</x:v>
      </x:c>
      <x:c r="H235" t="str">
        <x:f>Plan_Raw!AH235</x:f>
        <x:v>1095|COMMN|2024-01-06</x:v>
      </x:c>
      <x:c r="I235" t="n">
        <x:f>COUNTIF(Rates_Raw!$AF$5:$AF$464,H235)</x:f>
        <x:v>1</x:v>
      </x:c>
      <x:c r="J235" t="str">
        <x:f>IF(I235=1,_xlfn.XLOOKUP(H235,Rates_Raw!$AF$5:$AF$464,Rates_Raw!$E$5:$E$464,""),"")</x:f>
        <x:v>IT Operations Support Administrator V</x:v>
      </x:c>
      <x:c r="K235" t="n">
        <x:f>IF(I235=1,_xlfn.XLOOKUP(H235,Rates_Raw!$AF$5:$AF$464,Rates_Raw!$F$5:$F$464,""),"")</x:f>
        <x:v>21</x:v>
      </x:c>
      <x:c r="L235" s="50" t="n">
        <x:f>IF(I235=1,IFERROR(VALUE(SUBSTITUTE(_xlfn.XLOOKUP(H235,Rates_Raw!$AF$5:$AF$464,Rates_Raw!$L$5:$L$464,""),"$","")),""),"")</x:f>
        <x:v>62.6875</x:v>
      </x:c>
      <x:c r="M235" s="50" t="n">
        <x:f>IF(OR(G235="",L235=""),"",ROUND(G235-L235,4))</x:f>
        <x:v>0</x:v>
      </x:c>
      <x:c r="N235" t="str">
        <x:f>IF(I235=0,"NO MATCH",IF(I235&gt;1,"AMBIGUOUS",IF(EXACT(TRIM(E235),TRIM(J235)),"EXACT","TITLE VARIANT")))</x:f>
        <x:v>EXACT</x:v>
      </x:c>
      <x:c r="O235" t="str">
        <x:f>IF(I235&lt;&gt;1,"NOT TESTED",IF(OR(G235="",L235=""),"MISSING",IF(ABS(M235)&lt;=Guide!$B$16,"PASS","REVIEW")))</x:f>
        <x:v>PASS</x:v>
      </x:c>
      <x:c r="P235" s="52" t="n">
        <x:f>IF(I235=1,IFERROR(VALUE(SUBSTITUTE(SUBSTITUTE(_xlfn.XLOOKUP(H235,Rates_Raw!$AF$5:$AF$464,Rates_Raw!$I$5:$I$464,""),"$",""),",","")),""),"")</x:f>
        <x:v>5015</x:v>
      </x:c>
      <x:c r="Q235" s="52" t="n">
        <x:f>IF(P235="","",P235*Guide!$B$15)</x:f>
        <x:v>130390</x:v>
      </x:c>
      <x:c r="R235" t="str">
        <x:f>IF(I235=0,"UNMATCHED",IF(I235&gt;1,"DUPLICATE KEY",IF(OR(N235="TITLE VARIANT",O235="REVIEW",O235="MISSING"),"REVIEW","VERIFIED")))</x:f>
        <x:v>VERIFIED</x:v>
      </x:c>
      <x:c r="S235" s="46" t="str">
        <x:v>Not Reviewed</x:v>
      </x:c>
      <x:c r="T235" s="48"/>
    </x:row>
    <x:row r="236">
      <x:c r="A236" t="n">
        <x:f>Plan_Raw!A236</x:f>
        <x:v>1069</x:v>
      </x:c>
      <x:c r="B236" t="str">
        <x:f>Plan_Raw!D236</x:f>
        <x:v>1095</x:v>
      </x:c>
      <x:c r="C236" t="str">
        <x:f>LEFT(Plan_Raw!B236,10)</x:f>
        <x:v>2024-01-06</x:v>
      </x:c>
      <x:c r="D236" t="str">
        <x:f>Plan_Raw!F236</x:f>
        <x:v>SFMTA</x:v>
      </x:c>
      <x:c r="E236" t="str">
        <x:f>Plan_Raw!E236</x:f>
        <x:v>IT Operations Support Administrator V</x:v>
      </x:c>
      <x:c r="F236" t="str">
        <x:f>Plan_Raw!C236</x:f>
        <x:v>1095Y</x:v>
      </x:c>
      <x:c r="G236" s="50" t="n">
        <x:f>IF(Plan_Raw!G236="","",IFERROR(VALUE(Plan_Raw!G236),""))</x:f>
        <x:v>62.6875</x:v>
      </x:c>
      <x:c r="H236" t="str">
        <x:f>Plan_Raw!AH236</x:f>
        <x:v>1095|SFMTA|2024-01-06</x:v>
      </x:c>
      <x:c r="I236" t="n">
        <x:f>COUNTIF(Rates_Raw!$AF$5:$AF$464,H236)</x:f>
        <x:v>1</x:v>
      </x:c>
      <x:c r="J236" t="str">
        <x:f>IF(I236=1,_xlfn.XLOOKUP(H236,Rates_Raw!$AF$5:$AF$464,Rates_Raw!$E$5:$E$464,""),"")</x:f>
        <x:v>IT Operations Support Administrator V</x:v>
      </x:c>
      <x:c r="K236" t="n">
        <x:f>IF(I236=1,_xlfn.XLOOKUP(H236,Rates_Raw!$AF$5:$AF$464,Rates_Raw!$F$5:$F$464,""),"")</x:f>
        <x:v>21</x:v>
      </x:c>
      <x:c r="L236" s="50" t="n">
        <x:f>IF(I236=1,IFERROR(VALUE(SUBSTITUTE(_xlfn.XLOOKUP(H236,Rates_Raw!$AF$5:$AF$464,Rates_Raw!$L$5:$L$464,""),"$","")),""),"")</x:f>
        <x:v>62.6875</x:v>
      </x:c>
      <x:c r="M236" s="50" t="n">
        <x:f>IF(OR(G236="",L236=""),"",ROUND(G236-L236,4))</x:f>
        <x:v>0</x:v>
      </x:c>
      <x:c r="N236" t="str">
        <x:f>IF(I236=0,"NO MATCH",IF(I236&gt;1,"AMBIGUOUS",IF(EXACT(TRIM(E236),TRIM(J236)),"EXACT","TITLE VARIANT")))</x:f>
        <x:v>EXACT</x:v>
      </x:c>
      <x:c r="O236" t="str">
        <x:f>IF(I236&lt;&gt;1,"NOT TESTED",IF(OR(G236="",L236=""),"MISSING",IF(ABS(M236)&lt;=Guide!$B$16,"PASS","REVIEW")))</x:f>
        <x:v>PASS</x:v>
      </x:c>
      <x:c r="P236" s="52" t="n">
        <x:f>IF(I236=1,IFERROR(VALUE(SUBSTITUTE(SUBSTITUTE(_xlfn.XLOOKUP(H236,Rates_Raw!$AF$5:$AF$464,Rates_Raw!$I$5:$I$464,""),"$",""),",","")),""),"")</x:f>
        <x:v>5015</x:v>
      </x:c>
      <x:c r="Q236" s="52" t="n">
        <x:f>IF(P236="","",P236*Guide!$B$15)</x:f>
        <x:v>130390</x:v>
      </x:c>
      <x:c r="R236" t="str">
        <x:f>IF(I236=0,"UNMATCHED",IF(I236&gt;1,"DUPLICATE KEY",IF(OR(N236="TITLE VARIANT",O236="REVIEW",O236="MISSING"),"REVIEW","VERIFIED")))</x:f>
        <x:v>VERIFIED</x:v>
      </x:c>
      <x:c r="S236" s="46" t="str">
        <x:v>Not Reviewed</x:v>
      </x:c>
      <x:c r="T236" s="48"/>
    </x:row>
    <x:row r="237">
      <x:c r="A237" t="n">
        <x:f>Plan_Raw!A237</x:f>
        <x:v>1058</x:v>
      </x:c>
      <x:c r="B237" t="str">
        <x:f>Plan_Raw!D237</x:f>
        <x:v>1095</x:v>
      </x:c>
      <x:c r="C237" t="str">
        <x:f>LEFT(Plan_Raw!B237,10)</x:f>
        <x:v>2024-07-01</x:v>
      </x:c>
      <x:c r="D237" t="str">
        <x:f>Plan_Raw!F237</x:f>
        <x:v>COMMN</x:v>
      </x:c>
      <x:c r="E237" t="str">
        <x:f>Plan_Raw!E237</x:f>
        <x:v>IT Operations Support Administrator V</x:v>
      </x:c>
      <x:c r="F237" t="str">
        <x:f>Plan_Raw!C237</x:f>
        <x:v>1095Z</x:v>
      </x:c>
      <x:c r="G237" s="50" t="n">
        <x:f>IF(Plan_Raw!G237="","",IFERROR(VALUE(Plan_Raw!G237),""))</x:f>
        <x:v>64.25</x:v>
      </x:c>
      <x:c r="H237" t="str">
        <x:f>Plan_Raw!AH237</x:f>
        <x:v>1095|COMMN|2024-07-01</x:v>
      </x:c>
      <x:c r="I237" t="n">
        <x:f>COUNTIF(Rates_Raw!$AF$5:$AF$464,H237)</x:f>
        <x:v>1</x:v>
      </x:c>
      <x:c r="J237" t="str">
        <x:f>IF(I237=1,_xlfn.XLOOKUP(H237,Rates_Raw!$AF$5:$AF$464,Rates_Raw!$E$5:$E$464,""),"")</x:f>
        <x:v>IT Operations Support Administrator V</x:v>
      </x:c>
      <x:c r="K237" t="n">
        <x:f>IF(I237=1,_xlfn.XLOOKUP(H237,Rates_Raw!$AF$5:$AF$464,Rates_Raw!$F$5:$F$464,""),"")</x:f>
        <x:v>21</x:v>
      </x:c>
      <x:c r="L237" s="50" t="n">
        <x:f>IF(I237=1,IFERROR(VALUE(SUBSTITUTE(_xlfn.XLOOKUP(H237,Rates_Raw!$AF$5:$AF$464,Rates_Raw!$L$5:$L$464,""),"$","")),""),"")</x:f>
        <x:v>64.25</x:v>
      </x:c>
      <x:c r="M237" s="50" t="n">
        <x:f>IF(OR(G237="",L237=""),"",ROUND(G237-L237,4))</x:f>
        <x:v>0</x:v>
      </x:c>
      <x:c r="N237" t="str">
        <x:f>IF(I237=0,"NO MATCH",IF(I237&gt;1,"AMBIGUOUS",IF(EXACT(TRIM(E237),TRIM(J237)),"EXACT","TITLE VARIANT")))</x:f>
        <x:v>EXACT</x:v>
      </x:c>
      <x:c r="O237" t="str">
        <x:f>IF(I237&lt;&gt;1,"NOT TESTED",IF(OR(G237="",L237=""),"MISSING",IF(ABS(M237)&lt;=Guide!$B$16,"PASS","REVIEW")))</x:f>
        <x:v>PASS</x:v>
      </x:c>
      <x:c r="P237" s="52" t="n">
        <x:f>IF(I237=1,IFERROR(VALUE(SUBSTITUTE(SUBSTITUTE(_xlfn.XLOOKUP(H237,Rates_Raw!$AF$5:$AF$464,Rates_Raw!$I$5:$I$464,""),"$",""),",","")),""),"")</x:f>
        <x:v>5140</x:v>
      </x:c>
      <x:c r="Q237" s="52" t="n">
        <x:f>IF(P237="","",P237*Guide!$B$15)</x:f>
        <x:v>133640</x:v>
      </x:c>
      <x:c r="R237" t="str">
        <x:f>IF(I237=0,"UNMATCHED",IF(I237&gt;1,"DUPLICATE KEY",IF(OR(N237="TITLE VARIANT",O237="REVIEW",O237="MISSING"),"REVIEW","VERIFIED")))</x:f>
        <x:v>VERIFIED</x:v>
      </x:c>
      <x:c r="S237" s="46" t="str">
        <x:v>Not Reviewed</x:v>
      </x:c>
      <x:c r="T237" s="48"/>
    </x:row>
    <x:row r="238">
      <x:c r="A238" t="n">
        <x:f>Plan_Raw!A238</x:f>
        <x:v>1070</x:v>
      </x:c>
      <x:c r="B238" t="str">
        <x:f>Plan_Raw!D238</x:f>
        <x:v>1095</x:v>
      </x:c>
      <x:c r="C238" t="str">
        <x:f>LEFT(Plan_Raw!B238,10)</x:f>
        <x:v>2024-07-01</x:v>
      </x:c>
      <x:c r="D238" t="str">
        <x:f>Plan_Raw!F238</x:f>
        <x:v>SFMTA</x:v>
      </x:c>
      <x:c r="E238" t="str">
        <x:f>Plan_Raw!E238</x:f>
        <x:v>IT Operations Support Administrator V</x:v>
      </x:c>
      <x:c r="F238" t="str">
        <x:f>Plan_Raw!C238</x:f>
        <x:v>1095Z</x:v>
      </x:c>
      <x:c r="G238" s="50" t="n">
        <x:f>IF(Plan_Raw!G238="","",IFERROR(VALUE(Plan_Raw!G238),""))</x:f>
        <x:v>64.25</x:v>
      </x:c>
      <x:c r="H238" t="str">
        <x:f>Plan_Raw!AH238</x:f>
        <x:v>1095|SFMTA|2024-07-01</x:v>
      </x:c>
      <x:c r="I238" t="n">
        <x:f>COUNTIF(Rates_Raw!$AF$5:$AF$464,H238)</x:f>
        <x:v>1</x:v>
      </x:c>
      <x:c r="J238" t="str">
        <x:f>IF(I238=1,_xlfn.XLOOKUP(H238,Rates_Raw!$AF$5:$AF$464,Rates_Raw!$E$5:$E$464,""),"")</x:f>
        <x:v>IT Operations Support Administrator V</x:v>
      </x:c>
      <x:c r="K238" t="n">
        <x:f>IF(I238=1,_xlfn.XLOOKUP(H238,Rates_Raw!$AF$5:$AF$464,Rates_Raw!$F$5:$F$464,""),"")</x:f>
        <x:v>21</x:v>
      </x:c>
      <x:c r="L238" s="50" t="n">
        <x:f>IF(I238=1,IFERROR(VALUE(SUBSTITUTE(_xlfn.XLOOKUP(H238,Rates_Raw!$AF$5:$AF$464,Rates_Raw!$L$5:$L$464,""),"$","")),""),"")</x:f>
        <x:v>64.25</x:v>
      </x:c>
      <x:c r="M238" s="50" t="n">
        <x:f>IF(OR(G238="",L238=""),"",ROUND(G238-L238,4))</x:f>
        <x:v>0</x:v>
      </x:c>
      <x:c r="N238" t="str">
        <x:f>IF(I238=0,"NO MATCH",IF(I238&gt;1,"AMBIGUOUS",IF(EXACT(TRIM(E238),TRIM(J238)),"EXACT","TITLE VARIANT")))</x:f>
        <x:v>EXACT</x:v>
      </x:c>
      <x:c r="O238" t="str">
        <x:f>IF(I238&lt;&gt;1,"NOT TESTED",IF(OR(G238="",L238=""),"MISSING",IF(ABS(M238)&lt;=Guide!$B$16,"PASS","REVIEW")))</x:f>
        <x:v>PASS</x:v>
      </x:c>
      <x:c r="P238" s="52" t="n">
        <x:f>IF(I238=1,IFERROR(VALUE(SUBSTITUTE(SUBSTITUTE(_xlfn.XLOOKUP(H238,Rates_Raw!$AF$5:$AF$464,Rates_Raw!$I$5:$I$464,""),"$",""),",","")),""),"")</x:f>
        <x:v>5140</x:v>
      </x:c>
      <x:c r="Q238" s="52" t="n">
        <x:f>IF(P238="","",P238*Guide!$B$15)</x:f>
        <x:v>133640</x:v>
      </x:c>
      <x:c r="R238" t="str">
        <x:f>IF(I238=0,"UNMATCHED",IF(I238&gt;1,"DUPLICATE KEY",IF(OR(N238="TITLE VARIANT",O238="REVIEW",O238="MISSING"),"REVIEW","VERIFIED")))</x:f>
        <x:v>VERIFIED</x:v>
      </x:c>
      <x:c r="S238" s="46" t="str">
        <x:v>Not Reviewed</x:v>
      </x:c>
      <x:c r="T238" s="48"/>
    </x:row>
    <x:row r="239">
      <x:c r="A239" t="n">
        <x:f>Plan_Raw!A239</x:f>
        <x:v>1059</x:v>
      </x:c>
      <x:c r="B239" t="str">
        <x:f>Plan_Raw!D239</x:f>
        <x:v>1095</x:v>
      </x:c>
      <x:c r="C239" t="str">
        <x:f>LEFT(Plan_Raw!B239,10)</x:f>
        <x:v>2025-01-04</x:v>
      </x:c>
      <x:c r="D239" t="str">
        <x:f>Plan_Raw!F239</x:f>
        <x:v>COMMN</x:v>
      </x:c>
      <x:c r="E239" t="str">
        <x:f>Plan_Raw!E239</x:f>
        <x:v>IT Operations Support Administrator V</x:v>
      </x:c>
      <x:c r="F239" t="str">
        <x:f>Plan_Raw!C239</x:f>
        <x:v>1095A</x:v>
      </x:c>
      <x:c r="G239" s="50" t="n">
        <x:f>IF(Plan_Raw!G239="","",IFERROR(VALUE(Plan_Raw!G239),""))</x:f>
        <x:v>65.2125</x:v>
      </x:c>
      <x:c r="H239" t="str">
        <x:f>Plan_Raw!AH239</x:f>
        <x:v>1095|COMMN|2025-01-04</x:v>
      </x:c>
      <x:c r="I239" t="n">
        <x:f>COUNTIF(Rates_Raw!$AF$5:$AF$464,H239)</x:f>
        <x:v>1</x:v>
      </x:c>
      <x:c r="J239" t="str">
        <x:f>IF(I239=1,_xlfn.XLOOKUP(H239,Rates_Raw!$AF$5:$AF$464,Rates_Raw!$E$5:$E$464,""),"")</x:f>
        <x:v>IT Operations Support Administrator V</x:v>
      </x:c>
      <x:c r="K239" t="n">
        <x:f>IF(I239=1,_xlfn.XLOOKUP(H239,Rates_Raw!$AF$5:$AF$464,Rates_Raw!$F$5:$F$464,""),"")</x:f>
        <x:v>21</x:v>
      </x:c>
      <x:c r="L239" s="50" t="n">
        <x:f>IF(I239=1,IFERROR(VALUE(SUBSTITUTE(_xlfn.XLOOKUP(H239,Rates_Raw!$AF$5:$AF$464,Rates_Raw!$L$5:$L$464,""),"$","")),""),"")</x:f>
        <x:v>65.2125</x:v>
      </x:c>
      <x:c r="M239" s="50" t="n">
        <x:f>IF(OR(G239="",L239=""),"",ROUND(G239-L239,4))</x:f>
        <x:v>0</x:v>
      </x:c>
      <x:c r="N239" t="str">
        <x:f>IF(I239=0,"NO MATCH",IF(I239&gt;1,"AMBIGUOUS",IF(EXACT(TRIM(E239),TRIM(J239)),"EXACT","TITLE VARIANT")))</x:f>
        <x:v>EXACT</x:v>
      </x:c>
      <x:c r="O239" t="str">
        <x:f>IF(I239&lt;&gt;1,"NOT TESTED",IF(OR(G239="",L239=""),"MISSING",IF(ABS(M239)&lt;=Guide!$B$16,"PASS","REVIEW")))</x:f>
        <x:v>PASS</x:v>
      </x:c>
      <x:c r="P239" s="52" t="n">
        <x:f>IF(I239=1,IFERROR(VALUE(SUBSTITUTE(SUBSTITUTE(_xlfn.XLOOKUP(H239,Rates_Raw!$AF$5:$AF$464,Rates_Raw!$I$5:$I$464,""),"$",""),",","")),""),"")</x:f>
        <x:v>5217</x:v>
      </x:c>
      <x:c r="Q239" s="52" t="n">
        <x:f>IF(P239="","",P239*Guide!$B$15)</x:f>
        <x:v>135642</x:v>
      </x:c>
      <x:c r="R239" t="str">
        <x:f>IF(I239=0,"UNMATCHED",IF(I239&gt;1,"DUPLICATE KEY",IF(OR(N239="TITLE VARIANT",O239="REVIEW",O239="MISSING"),"REVIEW","VERIFIED")))</x:f>
        <x:v>VERIFIED</x:v>
      </x:c>
      <x:c r="S239" s="46" t="str">
        <x:v>Not Reviewed</x:v>
      </x:c>
      <x:c r="T239" s="48"/>
    </x:row>
    <x:row r="240">
      <x:c r="A240" t="n">
        <x:f>Plan_Raw!A240</x:f>
        <x:v>1071</x:v>
      </x:c>
      <x:c r="B240" t="str">
        <x:f>Plan_Raw!D240</x:f>
        <x:v>1095</x:v>
      </x:c>
      <x:c r="C240" t="str">
        <x:f>LEFT(Plan_Raw!B240,10)</x:f>
        <x:v>2025-01-04</x:v>
      </x:c>
      <x:c r="D240" t="str">
        <x:f>Plan_Raw!F240</x:f>
        <x:v>SFMTA</x:v>
      </x:c>
      <x:c r="E240" t="str">
        <x:f>Plan_Raw!E240</x:f>
        <x:v>IT Operations Support Administrator V</x:v>
      </x:c>
      <x:c r="F240" t="str">
        <x:f>Plan_Raw!C240</x:f>
        <x:v>1095A</x:v>
      </x:c>
      <x:c r="G240" s="50" t="n">
        <x:f>IF(Plan_Raw!G240="","",IFERROR(VALUE(Plan_Raw!G240),""))</x:f>
        <x:v>65.2125</x:v>
      </x:c>
      <x:c r="H240" t="str">
        <x:f>Plan_Raw!AH240</x:f>
        <x:v>1095|SFMTA|2025-01-04</x:v>
      </x:c>
      <x:c r="I240" t="n">
        <x:f>COUNTIF(Rates_Raw!$AF$5:$AF$464,H240)</x:f>
        <x:v>1</x:v>
      </x:c>
      <x:c r="J240" t="str">
        <x:f>IF(I240=1,_xlfn.XLOOKUP(H240,Rates_Raw!$AF$5:$AF$464,Rates_Raw!$E$5:$E$464,""),"")</x:f>
        <x:v>IT Operations Support Administrator V</x:v>
      </x:c>
      <x:c r="K240" t="n">
        <x:f>IF(I240=1,_xlfn.XLOOKUP(H240,Rates_Raw!$AF$5:$AF$464,Rates_Raw!$F$5:$F$464,""),"")</x:f>
        <x:v>21</x:v>
      </x:c>
      <x:c r="L240" s="50" t="n">
        <x:f>IF(I240=1,IFERROR(VALUE(SUBSTITUTE(_xlfn.XLOOKUP(H240,Rates_Raw!$AF$5:$AF$464,Rates_Raw!$L$5:$L$464,""),"$","")),""),"")</x:f>
        <x:v>65.2125</x:v>
      </x:c>
      <x:c r="M240" s="50" t="n">
        <x:f>IF(OR(G240="",L240=""),"",ROUND(G240-L240,4))</x:f>
        <x:v>0</x:v>
      </x:c>
      <x:c r="N240" t="str">
        <x:f>IF(I240=0,"NO MATCH",IF(I240&gt;1,"AMBIGUOUS",IF(EXACT(TRIM(E240),TRIM(J240)),"EXACT","TITLE VARIANT")))</x:f>
        <x:v>EXACT</x:v>
      </x:c>
      <x:c r="O240" t="str">
        <x:f>IF(I240&lt;&gt;1,"NOT TESTED",IF(OR(G240="",L240=""),"MISSING",IF(ABS(M240)&lt;=Guide!$B$16,"PASS","REVIEW")))</x:f>
        <x:v>PASS</x:v>
      </x:c>
      <x:c r="P240" s="52" t="n">
        <x:f>IF(I240=1,IFERROR(VALUE(SUBSTITUTE(SUBSTITUTE(_xlfn.XLOOKUP(H240,Rates_Raw!$AF$5:$AF$464,Rates_Raw!$I$5:$I$464,""),"$",""),",","")),""),"")</x:f>
        <x:v>5217</x:v>
      </x:c>
      <x:c r="Q240" s="52" t="n">
        <x:f>IF(P240="","",P240*Guide!$B$15)</x:f>
        <x:v>135642</x:v>
      </x:c>
      <x:c r="R240" t="str">
        <x:f>IF(I240=0,"UNMATCHED",IF(I240&gt;1,"DUPLICATE KEY",IF(OR(N240="TITLE VARIANT",O240="REVIEW",O240="MISSING"),"REVIEW","VERIFIED")))</x:f>
        <x:v>VERIFIED</x:v>
      </x:c>
      <x:c r="S240" s="46" t="str">
        <x:v>Not Reviewed</x:v>
      </x:c>
      <x:c r="T240" s="48"/>
    </x:row>
    <x:row r="241">
      <x:c r="A241" t="n">
        <x:f>Plan_Raw!A241</x:f>
        <x:v>1060</x:v>
      </x:c>
      <x:c r="B241" t="str">
        <x:f>Plan_Raw!D241</x:f>
        <x:v>1095</x:v>
      </x:c>
      <x:c r="C241" t="str">
        <x:f>LEFT(Plan_Raw!B241,10)</x:f>
        <x:v>2025-07-01</x:v>
      </x:c>
      <x:c r="D241" t="str">
        <x:f>Plan_Raw!F241</x:f>
        <x:v>COMMN</x:v>
      </x:c>
      <x:c r="E241" t="str">
        <x:f>Plan_Raw!E241</x:f>
        <x:v>IT Operations Support Admin V</x:v>
      </x:c>
      <x:c r="F241" t="str">
        <x:f>Plan_Raw!C241</x:f>
        <x:v>1095B</x:v>
      </x:c>
      <x:c r="G241" s="50" t="n">
        <x:f>IF(Plan_Raw!G241="","",IFERROR(VALUE(Plan_Raw!G241),""))</x:f>
        <x:v>66.525</x:v>
      </x:c>
      <x:c r="H241" t="str">
        <x:f>Plan_Raw!AH241</x:f>
        <x:v>1095|COMMN|2025-07-01</x:v>
      </x:c>
      <x:c r="I241" t="n">
        <x:f>COUNTIF(Rates_Raw!$AF$5:$AF$464,H241)</x:f>
        <x:v>1</x:v>
      </x:c>
      <x:c r="J241" t="str">
        <x:f>IF(I241=1,_xlfn.XLOOKUP(H241,Rates_Raw!$AF$5:$AF$464,Rates_Raw!$E$5:$E$464,""),"")</x:f>
        <x:v>IT Operations Support Admin V</x:v>
      </x:c>
      <x:c r="K241" t="n">
        <x:f>IF(I241=1,_xlfn.XLOOKUP(H241,Rates_Raw!$AF$5:$AF$464,Rates_Raw!$F$5:$F$464,""),"")</x:f>
        <x:v>21</x:v>
      </x:c>
      <x:c r="L241" s="50" t="n">
        <x:f>IF(I241=1,IFERROR(VALUE(SUBSTITUTE(_xlfn.XLOOKUP(H241,Rates_Raw!$AF$5:$AF$464,Rates_Raw!$L$5:$L$464,""),"$","")),""),"")</x:f>
        <x:v>66.525</x:v>
      </x:c>
      <x:c r="M241" s="50" t="n">
        <x:f>IF(OR(G241="",L241=""),"",ROUND(G241-L241,4))</x:f>
        <x:v>0</x:v>
      </x:c>
      <x:c r="N241" t="str">
        <x:f>IF(I241=0,"NO MATCH",IF(I241&gt;1,"AMBIGUOUS",IF(EXACT(TRIM(E241),TRIM(J241)),"EXACT","TITLE VARIANT")))</x:f>
        <x:v>EXACT</x:v>
      </x:c>
      <x:c r="O241" t="str">
        <x:f>IF(I241&lt;&gt;1,"NOT TESTED",IF(OR(G241="",L241=""),"MISSING",IF(ABS(M241)&lt;=Guide!$B$16,"PASS","REVIEW")))</x:f>
        <x:v>PASS</x:v>
      </x:c>
      <x:c r="P241" s="52" t="n">
        <x:f>IF(I241=1,IFERROR(VALUE(SUBSTITUTE(SUBSTITUTE(_xlfn.XLOOKUP(H241,Rates_Raw!$AF$5:$AF$464,Rates_Raw!$I$5:$I$464,""),"$",""),",","")),""),"")</x:f>
        <x:v>5322</x:v>
      </x:c>
      <x:c r="Q241" s="52" t="n">
        <x:f>IF(P241="","",P241*Guide!$B$15)</x:f>
        <x:v>138372</x:v>
      </x:c>
      <x:c r="R241" t="str">
        <x:f>IF(I241=0,"UNMATCHED",IF(I241&gt;1,"DUPLICATE KEY",IF(OR(N241="TITLE VARIANT",O241="REVIEW",O241="MISSING"),"REVIEW","VERIFIED")))</x:f>
        <x:v>VERIFIED</x:v>
      </x:c>
      <x:c r="S241" s="46" t="str">
        <x:v>Not Reviewed</x:v>
      </x:c>
      <x:c r="T241" s="48"/>
    </x:row>
    <x:row r="242">
      <x:c r="A242" t="n">
        <x:f>Plan_Raw!A242</x:f>
        <x:v>1072</x:v>
      </x:c>
      <x:c r="B242" t="str">
        <x:f>Plan_Raw!D242</x:f>
        <x:v>1095</x:v>
      </x:c>
      <x:c r="C242" t="str">
        <x:f>LEFT(Plan_Raw!B242,10)</x:f>
        <x:v>2025-07-01</x:v>
      </x:c>
      <x:c r="D242" t="str">
        <x:f>Plan_Raw!F242</x:f>
        <x:v>SFMTA</x:v>
      </x:c>
      <x:c r="E242" t="str">
        <x:f>Plan_Raw!E242</x:f>
        <x:v>IT Operations Support Admin V</x:v>
      </x:c>
      <x:c r="F242" t="str">
        <x:f>Plan_Raw!C242</x:f>
        <x:v>1095B</x:v>
      </x:c>
      <x:c r="G242" s="50" t="n">
        <x:f>IF(Plan_Raw!G242="","",IFERROR(VALUE(Plan_Raw!G242),""))</x:f>
        <x:v>66.525</x:v>
      </x:c>
      <x:c r="H242" t="str">
        <x:f>Plan_Raw!AH242</x:f>
        <x:v>1095|SFMTA|2025-07-01</x:v>
      </x:c>
      <x:c r="I242" t="n">
        <x:f>COUNTIF(Rates_Raw!$AF$5:$AF$464,H242)</x:f>
        <x:v>1</x:v>
      </x:c>
      <x:c r="J242" t="str">
        <x:f>IF(I242=1,_xlfn.XLOOKUP(H242,Rates_Raw!$AF$5:$AF$464,Rates_Raw!$E$5:$E$464,""),"")</x:f>
        <x:v>IT Operations Support Admin V</x:v>
      </x:c>
      <x:c r="K242" t="n">
        <x:f>IF(I242=1,_xlfn.XLOOKUP(H242,Rates_Raw!$AF$5:$AF$464,Rates_Raw!$F$5:$F$464,""),"")</x:f>
        <x:v>21</x:v>
      </x:c>
      <x:c r="L242" s="50" t="n">
        <x:f>IF(I242=1,IFERROR(VALUE(SUBSTITUTE(_xlfn.XLOOKUP(H242,Rates_Raw!$AF$5:$AF$464,Rates_Raw!$L$5:$L$464,""),"$","")),""),"")</x:f>
        <x:v>66.525</x:v>
      </x:c>
      <x:c r="M242" s="50" t="n">
        <x:f>IF(OR(G242="",L242=""),"",ROUND(G242-L242,4))</x:f>
        <x:v>0</x:v>
      </x:c>
      <x:c r="N242" t="str">
        <x:f>IF(I242=0,"NO MATCH",IF(I242&gt;1,"AMBIGUOUS",IF(EXACT(TRIM(E242),TRIM(J242)),"EXACT","TITLE VARIANT")))</x:f>
        <x:v>EXACT</x:v>
      </x:c>
      <x:c r="O242" t="str">
        <x:f>IF(I242&lt;&gt;1,"NOT TESTED",IF(OR(G242="",L242=""),"MISSING",IF(ABS(M242)&lt;=Guide!$B$16,"PASS","REVIEW")))</x:f>
        <x:v>PASS</x:v>
      </x:c>
      <x:c r="P242" s="52" t="n">
        <x:f>IF(I242=1,IFERROR(VALUE(SUBSTITUTE(SUBSTITUTE(_xlfn.XLOOKUP(H242,Rates_Raw!$AF$5:$AF$464,Rates_Raw!$I$5:$I$464,""),"$",""),",","")),""),"")</x:f>
        <x:v>5322</x:v>
      </x:c>
      <x:c r="Q242" s="52" t="n">
        <x:f>IF(P242="","",P242*Guide!$B$15)</x:f>
        <x:v>138372</x:v>
      </x:c>
      <x:c r="R242" t="str">
        <x:f>IF(I242=0,"UNMATCHED",IF(I242&gt;1,"DUPLICATE KEY",IF(OR(N242="TITLE VARIANT",O242="REVIEW",O242="MISSING"),"REVIEW","VERIFIED")))</x:f>
        <x:v>VERIFIED</x:v>
      </x:c>
      <x:c r="S242" s="46" t="str">
        <x:v>Not Reviewed</x:v>
      </x:c>
      <x:c r="T242" s="48"/>
    </x:row>
    <x:row r="243">
      <x:c r="A243" t="n">
        <x:f>Plan_Raw!A243</x:f>
        <x:v>1061</x:v>
      </x:c>
      <x:c r="B243" t="str">
        <x:f>Plan_Raw!D243</x:f>
        <x:v>1095</x:v>
      </x:c>
      <x:c r="C243" t="str">
        <x:f>LEFT(Plan_Raw!B243,10)</x:f>
        <x:v>2026-01-03</x:v>
      </x:c>
      <x:c r="D243" t="str">
        <x:f>Plan_Raw!F243</x:f>
        <x:v>COMMN</x:v>
      </x:c>
      <x:c r="E243" t="str">
        <x:f>Plan_Raw!E243</x:f>
        <x:v>IT Operations Support Admin V</x:v>
      </x:c>
      <x:c r="F243" t="str">
        <x:f>Plan_Raw!C243</x:f>
        <x:v>1095C</x:v>
      </x:c>
      <x:c r="G243" s="50" t="n">
        <x:f>IF(Plan_Raw!G243="","",IFERROR(VALUE(Plan_Raw!G243),""))</x:f>
        <x:v>67.525</x:v>
      </x:c>
      <x:c r="H243" t="str">
        <x:f>Plan_Raw!AH243</x:f>
        <x:v>1095|COMMN|2026-01-03</x:v>
      </x:c>
      <x:c r="I243" t="n">
        <x:f>COUNTIF(Rates_Raw!$AF$5:$AF$464,H243)</x:f>
        <x:v>1</x:v>
      </x:c>
      <x:c r="J243" t="str">
        <x:f>IF(I243=1,_xlfn.XLOOKUP(H243,Rates_Raw!$AF$5:$AF$464,Rates_Raw!$E$5:$E$464,""),"")</x:f>
        <x:v>IT Operations Support Admin V</x:v>
      </x:c>
      <x:c r="K243" t="n">
        <x:f>IF(I243=1,_xlfn.XLOOKUP(H243,Rates_Raw!$AF$5:$AF$464,Rates_Raw!$F$5:$F$464,""),"")</x:f>
        <x:v>21</x:v>
      </x:c>
      <x:c r="L243" s="50" t="n">
        <x:f>IF(I243=1,IFERROR(VALUE(SUBSTITUTE(_xlfn.XLOOKUP(H243,Rates_Raw!$AF$5:$AF$464,Rates_Raw!$L$5:$L$464,""),"$","")),""),"")</x:f>
        <x:v>67.525</x:v>
      </x:c>
      <x:c r="M243" s="50" t="n">
        <x:f>IF(OR(G243="",L243=""),"",ROUND(G243-L243,4))</x:f>
        <x:v>0</x:v>
      </x:c>
      <x:c r="N243" t="str">
        <x:f>IF(I243=0,"NO MATCH",IF(I243&gt;1,"AMBIGUOUS",IF(EXACT(TRIM(E243),TRIM(J243)),"EXACT","TITLE VARIANT")))</x:f>
        <x:v>EXACT</x:v>
      </x:c>
      <x:c r="O243" t="str">
        <x:f>IF(I243&lt;&gt;1,"NOT TESTED",IF(OR(G243="",L243=""),"MISSING",IF(ABS(M243)&lt;=Guide!$B$16,"PASS","REVIEW")))</x:f>
        <x:v>PASS</x:v>
      </x:c>
      <x:c r="P243" s="52" t="n">
        <x:f>IF(I243=1,IFERROR(VALUE(SUBSTITUTE(SUBSTITUTE(_xlfn.XLOOKUP(H243,Rates_Raw!$AF$5:$AF$464,Rates_Raw!$I$5:$I$464,""),"$",""),",","")),""),"")</x:f>
        <x:v>5402</x:v>
      </x:c>
      <x:c r="Q243" s="52" t="n">
        <x:f>IF(P243="","",P243*Guide!$B$15)</x:f>
        <x:v>140452</x:v>
      </x:c>
      <x:c r="R243" t="str">
        <x:f>IF(I243=0,"UNMATCHED",IF(I243&gt;1,"DUPLICATE KEY",IF(OR(N243="TITLE VARIANT",O243="REVIEW",O243="MISSING"),"REVIEW","VERIFIED")))</x:f>
        <x:v>VERIFIED</x:v>
      </x:c>
      <x:c r="S243" s="46" t="str">
        <x:v>Not Reviewed</x:v>
      </x:c>
      <x:c r="T243" s="48"/>
    </x:row>
    <x:row r="244">
      <x:c r="A244" t="n">
        <x:f>Plan_Raw!A244</x:f>
        <x:v>1073</x:v>
      </x:c>
      <x:c r="B244" t="str">
        <x:f>Plan_Raw!D244</x:f>
        <x:v>1095</x:v>
      </x:c>
      <x:c r="C244" t="str">
        <x:f>LEFT(Plan_Raw!B244,10)</x:f>
        <x:v>2026-01-03</x:v>
      </x:c>
      <x:c r="D244" t="str">
        <x:f>Plan_Raw!F244</x:f>
        <x:v>SFMTA</x:v>
      </x:c>
      <x:c r="E244" t="str">
        <x:f>Plan_Raw!E244</x:f>
        <x:v>IT Operations Support Admin V</x:v>
      </x:c>
      <x:c r="F244" t="str">
        <x:f>Plan_Raw!C244</x:f>
        <x:v>1095C</x:v>
      </x:c>
      <x:c r="G244" s="50" t="n">
        <x:f>IF(Plan_Raw!G244="","",IFERROR(VALUE(Plan_Raw!G244),""))</x:f>
        <x:v>67.525</x:v>
      </x:c>
      <x:c r="H244" t="str">
        <x:f>Plan_Raw!AH244</x:f>
        <x:v>1095|SFMTA|2026-01-03</x:v>
      </x:c>
      <x:c r="I244" t="n">
        <x:f>COUNTIF(Rates_Raw!$AF$5:$AF$464,H244)</x:f>
        <x:v>1</x:v>
      </x:c>
      <x:c r="J244" t="str">
        <x:f>IF(I244=1,_xlfn.XLOOKUP(H244,Rates_Raw!$AF$5:$AF$464,Rates_Raw!$E$5:$E$464,""),"")</x:f>
        <x:v>IT Operations Support Admin V</x:v>
      </x:c>
      <x:c r="K244" t="n">
        <x:f>IF(I244=1,_xlfn.XLOOKUP(H244,Rates_Raw!$AF$5:$AF$464,Rates_Raw!$F$5:$F$464,""),"")</x:f>
        <x:v>21</x:v>
      </x:c>
      <x:c r="L244" s="50" t="n">
        <x:f>IF(I244=1,IFERROR(VALUE(SUBSTITUTE(_xlfn.XLOOKUP(H244,Rates_Raw!$AF$5:$AF$464,Rates_Raw!$L$5:$L$464,""),"$","")),""),"")</x:f>
        <x:v>67.525</x:v>
      </x:c>
      <x:c r="M244" s="50" t="n">
        <x:f>IF(OR(G244="",L244=""),"",ROUND(G244-L244,4))</x:f>
        <x:v>0</x:v>
      </x:c>
      <x:c r="N244" t="str">
        <x:f>IF(I244=0,"NO MATCH",IF(I244&gt;1,"AMBIGUOUS",IF(EXACT(TRIM(E244),TRIM(J244)),"EXACT","TITLE VARIANT")))</x:f>
        <x:v>EXACT</x:v>
      </x:c>
      <x:c r="O244" t="str">
        <x:f>IF(I244&lt;&gt;1,"NOT TESTED",IF(OR(G244="",L244=""),"MISSING",IF(ABS(M244)&lt;=Guide!$B$16,"PASS","REVIEW")))</x:f>
        <x:v>PASS</x:v>
      </x:c>
      <x:c r="P244" s="52" t="n">
        <x:f>IF(I244=1,IFERROR(VALUE(SUBSTITUTE(SUBSTITUTE(_xlfn.XLOOKUP(H244,Rates_Raw!$AF$5:$AF$464,Rates_Raw!$I$5:$I$464,""),"$",""),",","")),""),"")</x:f>
        <x:v>5402</x:v>
      </x:c>
      <x:c r="Q244" s="52" t="n">
        <x:f>IF(P244="","",P244*Guide!$B$15)</x:f>
        <x:v>140452</x:v>
      </x:c>
      <x:c r="R244" t="str">
        <x:f>IF(I244=0,"UNMATCHED",IF(I244&gt;1,"DUPLICATE KEY",IF(OR(N244="TITLE VARIANT",O244="REVIEW",O244="MISSING"),"REVIEW","VERIFIED")))</x:f>
        <x:v>VERIFIED</x:v>
      </x:c>
      <x:c r="S244" s="46" t="str">
        <x:v>Not Reviewed</x:v>
      </x:c>
      <x:c r="T244" s="48"/>
    </x:row>
    <x:row r="245">
      <x:c r="A245" t="n">
        <x:f>Plan_Raw!A245</x:f>
        <x:v>1062</x:v>
      </x:c>
      <x:c r="B245" t="str">
        <x:f>Plan_Raw!D245</x:f>
        <x:v>1095</x:v>
      </x:c>
      <x:c r="C245" t="str">
        <x:f>LEFT(Plan_Raw!B245,10)</x:f>
        <x:v>2026-07-01</x:v>
      </x:c>
      <x:c r="D245" t="str">
        <x:f>Plan_Raw!F245</x:f>
        <x:v>COMMN</x:v>
      </x:c>
      <x:c r="E245" t="str">
        <x:f>Plan_Raw!E245</x:f>
        <x:v>IT Operations Support Admin V</x:v>
      </x:c>
      <x:c r="F245" t="str">
        <x:f>Plan_Raw!C245</x:f>
        <x:v>1095D</x:v>
      </x:c>
      <x:c r="G245" s="50" t="n">
        <x:f>IF(Plan_Raw!G245="","",IFERROR(VALUE(Plan_Raw!G245),""))</x:f>
        <x:v>68.875</x:v>
      </x:c>
      <x:c r="H245" t="str">
        <x:f>Plan_Raw!AH245</x:f>
        <x:v>1095|COMMN|2026-07-01</x:v>
      </x:c>
      <x:c r="I245" t="n">
        <x:f>COUNTIF(Rates_Raw!$AF$5:$AF$464,H245)</x:f>
        <x:v>0</x:v>
      </x:c>
      <x:c r="J245" t="str">
        <x:f>IF(I245=1,_xlfn.XLOOKUP(H245,Rates_Raw!$AF$5:$AF$464,Rates_Raw!$E$5:$E$464,""),"")</x:f>
      </x:c>
      <x:c r="K245" t="str">
        <x:f>IF(I245=1,_xlfn.XLOOKUP(H245,Rates_Raw!$AF$5:$AF$464,Rates_Raw!$F$5:$F$464,""),"")</x:f>
      </x:c>
      <x:c r="L245" s="50" t="str">
        <x:f>IF(I245=1,IFERROR(VALUE(SUBSTITUTE(_xlfn.XLOOKUP(H245,Rates_Raw!$AF$5:$AF$464,Rates_Raw!$L$5:$L$464,""),"$","")),""),"")</x:f>
      </x:c>
      <x:c r="M245" s="50" t="str">
        <x:f>IF(OR(G245="",L245=""),"",ROUND(G245-L245,4))</x:f>
      </x:c>
      <x:c r="N245" t="str">
        <x:f>IF(I245=0,"NO MATCH",IF(I245&gt;1,"AMBIGUOUS",IF(EXACT(TRIM(E245),TRIM(J245)),"EXACT","TITLE VARIANT")))</x:f>
        <x:v>NO MATCH</x:v>
      </x:c>
      <x:c r="O245" t="str">
        <x:f>IF(I245&lt;&gt;1,"NOT TESTED",IF(OR(G245="",L245=""),"MISSING",IF(ABS(M245)&lt;=Guide!$B$16,"PASS","REVIEW")))</x:f>
        <x:v>NOT TESTED</x:v>
      </x:c>
      <x:c r="P245" s="52" t="str">
        <x:f>IF(I245=1,IFERROR(VALUE(SUBSTITUTE(SUBSTITUTE(_xlfn.XLOOKUP(H245,Rates_Raw!$AF$5:$AF$464,Rates_Raw!$I$5:$I$464,""),"$",""),",","")),""),"")</x:f>
      </x:c>
      <x:c r="Q245" s="52" t="str">
        <x:f>IF(P245="","",P245*Guide!$B$15)</x:f>
      </x:c>
      <x:c r="R245" t="str">
        <x:f>IF(I245=0,"UNMATCHED",IF(I245&gt;1,"DUPLICATE KEY",IF(OR(N245="TITLE VARIANT",O245="REVIEW",O245="MISSING"),"REVIEW","VERIFIED")))</x:f>
        <x:v>UNMATCHED</x:v>
      </x:c>
      <x:c r="S245" s="46" t="str">
        <x:v>Not Reviewed</x:v>
      </x:c>
      <x:c r="T245" s="48"/>
    </x:row>
    <x:row r="246">
      <x:c r="A246" t="n">
        <x:f>Plan_Raw!A246</x:f>
        <x:v>1074</x:v>
      </x:c>
      <x:c r="B246" t="str">
        <x:f>Plan_Raw!D246</x:f>
        <x:v>1095</x:v>
      </x:c>
      <x:c r="C246" t="str">
        <x:f>LEFT(Plan_Raw!B246,10)</x:f>
        <x:v>2026-07-01</x:v>
      </x:c>
      <x:c r="D246" t="str">
        <x:f>Plan_Raw!F246</x:f>
        <x:v>SFMTA</x:v>
      </x:c>
      <x:c r="E246" t="str">
        <x:f>Plan_Raw!E246</x:f>
        <x:v>IT Operations Support Admin V</x:v>
      </x:c>
      <x:c r="F246" t="str">
        <x:f>Plan_Raw!C246</x:f>
        <x:v>1095D</x:v>
      </x:c>
      <x:c r="G246" s="50" t="n">
        <x:f>IF(Plan_Raw!G246="","",IFERROR(VALUE(Plan_Raw!G246),""))</x:f>
        <x:v>68.875</x:v>
      </x:c>
      <x:c r="H246" t="str">
        <x:f>Plan_Raw!AH246</x:f>
        <x:v>1095|SFMTA|2026-07-01</x:v>
      </x:c>
      <x:c r="I246" t="n">
        <x:f>COUNTIF(Rates_Raw!$AF$5:$AF$464,H246)</x:f>
        <x:v>0</x:v>
      </x:c>
      <x:c r="J246" t="str">
        <x:f>IF(I246=1,_xlfn.XLOOKUP(H246,Rates_Raw!$AF$5:$AF$464,Rates_Raw!$E$5:$E$464,""),"")</x:f>
      </x:c>
      <x:c r="K246" t="str">
        <x:f>IF(I246=1,_xlfn.XLOOKUP(H246,Rates_Raw!$AF$5:$AF$464,Rates_Raw!$F$5:$F$464,""),"")</x:f>
      </x:c>
      <x:c r="L246" s="50" t="str">
        <x:f>IF(I246=1,IFERROR(VALUE(SUBSTITUTE(_xlfn.XLOOKUP(H246,Rates_Raw!$AF$5:$AF$464,Rates_Raw!$L$5:$L$464,""),"$","")),""),"")</x:f>
      </x:c>
      <x:c r="M246" s="50" t="str">
        <x:f>IF(OR(G246="",L246=""),"",ROUND(G246-L246,4))</x:f>
      </x:c>
      <x:c r="N246" t="str">
        <x:f>IF(I246=0,"NO MATCH",IF(I246&gt;1,"AMBIGUOUS",IF(EXACT(TRIM(E246),TRIM(J246)),"EXACT","TITLE VARIANT")))</x:f>
        <x:v>NO MATCH</x:v>
      </x:c>
      <x:c r="O246" t="str">
        <x:f>IF(I246&lt;&gt;1,"NOT TESTED",IF(OR(G246="",L246=""),"MISSING",IF(ABS(M246)&lt;=Guide!$B$16,"PASS","REVIEW")))</x:f>
        <x:v>NOT TESTED</x:v>
      </x:c>
      <x:c r="P246" s="52" t="str">
        <x:f>IF(I246=1,IFERROR(VALUE(SUBSTITUTE(SUBSTITUTE(_xlfn.XLOOKUP(H246,Rates_Raw!$AF$5:$AF$464,Rates_Raw!$I$5:$I$464,""),"$",""),",","")),""),"")</x:f>
      </x:c>
      <x:c r="Q246" s="52" t="str">
        <x:f>IF(P246="","",P246*Guide!$B$15)</x:f>
      </x:c>
      <x:c r="R246" t="str">
        <x:f>IF(I246=0,"UNMATCHED",IF(I246&gt;1,"DUPLICATE KEY",IF(OR(N246="TITLE VARIANT",O246="REVIEW",O246="MISSING"),"REVIEW","VERIFIED")))</x:f>
        <x:v>UNMATCHED</x:v>
      </x:c>
      <x:c r="S246" s="46" t="str">
        <x:v>Not Reviewed</x:v>
      </x:c>
      <x:c r="T246" s="48"/>
    </x:row>
    <x:row r="247">
      <x:c r="A247" t="n">
        <x:f>Plan_Raw!A247</x:f>
        <x:v>1081</x:v>
      </x:c>
      <x:c r="B247" t="str">
        <x:f>Plan_Raw!D247</x:f>
        <x:v>1110</x:v>
      </x:c>
      <x:c r="C247" t="str">
        <x:f>LEFT(Plan_Raw!B247,10)</x:f>
        <x:v>2024-01-06</x:v>
      </x:c>
      <x:c r="D247" t="str">
        <x:f>Plan_Raw!F247</x:f>
        <x:v>COMMN</x:v>
      </x:c>
      <x:c r="E247" t="str">
        <x:f>Plan_Raw!E247</x:f>
        <x:v>Executive Assistant To The Executive Director, Retirement System</x:v>
      </x:c>
      <x:c r="F247" t="str">
        <x:f>Plan_Raw!C247</x:f>
        <x:v>1110Y</x:v>
      </x:c>
      <x:c r="G247" s="50" t="n">
        <x:f>IF(Plan_Raw!G247="","",IFERROR(VALUE(Plan_Raw!G247),""))</x:f>
        <x:v>61.575</x:v>
      </x:c>
      <x:c r="H247" t="str">
        <x:f>Plan_Raw!AH247</x:f>
        <x:v>1110|COMMN|2024-01-06</x:v>
      </x:c>
      <x:c r="I247" t="n">
        <x:f>COUNTIF(Rates_Raw!$AF$5:$AF$464,H247)</x:f>
        <x:v>1</x:v>
      </x:c>
      <x:c r="J247" t="str">
        <x:f>IF(I247=1,_xlfn.XLOOKUP(H247,Rates_Raw!$AF$5:$AF$464,Rates_Raw!$E$5:$E$464,""),"")</x:f>
        <x:v>Executive Assistant To The Executive Director, Retirement System</x:v>
      </x:c>
      <x:c r="K247" t="n">
        <x:f>IF(I247=1,_xlfn.XLOOKUP(H247,Rates_Raw!$AF$5:$AF$464,Rates_Raw!$F$5:$F$464,""),"")</x:f>
        <x:v>351</x:v>
      </x:c>
      <x:c r="L247" s="50" t="n">
        <x:f>IF(I247=1,IFERROR(VALUE(SUBSTITUTE(_xlfn.XLOOKUP(H247,Rates_Raw!$AF$5:$AF$464,Rates_Raw!$L$5:$L$464,""),"$","")),""),"")</x:f>
        <x:v>61.575</x:v>
      </x:c>
      <x:c r="M247" s="50" t="n">
        <x:f>IF(OR(G247="",L247=""),"",ROUND(G247-L247,4))</x:f>
        <x:v>0</x:v>
      </x:c>
      <x:c r="N247" t="str">
        <x:f>IF(I247=0,"NO MATCH",IF(I247&gt;1,"AMBIGUOUS",IF(EXACT(TRIM(E247),TRIM(J247)),"EXACT","TITLE VARIANT")))</x:f>
        <x:v>EXACT</x:v>
      </x:c>
      <x:c r="O247" t="str">
        <x:f>IF(I247&lt;&gt;1,"NOT TESTED",IF(OR(G247="",L247=""),"MISSING",IF(ABS(M247)&lt;=Guide!$B$16,"PASS","REVIEW")))</x:f>
        <x:v>PASS</x:v>
      </x:c>
      <x:c r="P247" s="52" t="n">
        <x:f>IF(I247=1,IFERROR(VALUE(SUBSTITUTE(SUBSTITUTE(_xlfn.XLOOKUP(H247,Rates_Raw!$AF$5:$AF$464,Rates_Raw!$I$5:$I$464,""),"$",""),",","")),""),"")</x:f>
        <x:v>4926</x:v>
      </x:c>
      <x:c r="Q247" s="52" t="n">
        <x:f>IF(P247="","",P247*Guide!$B$15)</x:f>
        <x:v>128076</x:v>
      </x:c>
      <x:c r="R247" t="str">
        <x:f>IF(I247=0,"UNMATCHED",IF(I247&gt;1,"DUPLICATE KEY",IF(OR(N247="TITLE VARIANT",O247="REVIEW",O247="MISSING"),"REVIEW","VERIFIED")))</x:f>
        <x:v>VERIFIED</x:v>
      </x:c>
      <x:c r="S247" s="46" t="str">
        <x:v>Not Reviewed</x:v>
      </x:c>
      <x:c r="T247" s="48"/>
    </x:row>
    <x:row r="248">
      <x:c r="A248" t="n">
        <x:f>Plan_Raw!A248</x:f>
        <x:v>1093</x:v>
      </x:c>
      <x:c r="B248" t="str">
        <x:f>Plan_Raw!D248</x:f>
        <x:v>1110</x:v>
      </x:c>
      <x:c r="C248" t="str">
        <x:f>LEFT(Plan_Raw!B248,10)</x:f>
        <x:v>2024-01-06</x:v>
      </x:c>
      <x:c r="D248" t="str">
        <x:f>Plan_Raw!F248</x:f>
        <x:v>SFMTA</x:v>
      </x:c>
      <x:c r="E248" t="str">
        <x:f>Plan_Raw!E248</x:f>
        <x:v>Executive Assistant To The Executive Director, Retirement System</x:v>
      </x:c>
      <x:c r="F248" t="str">
        <x:f>Plan_Raw!C248</x:f>
        <x:v>1110Y</x:v>
      </x:c>
      <x:c r="G248" s="50" t="n">
        <x:f>IF(Plan_Raw!G248="","",IFERROR(VALUE(Plan_Raw!G248),""))</x:f>
        <x:v>61.575</x:v>
      </x:c>
      <x:c r="H248" t="str">
        <x:f>Plan_Raw!AH248</x:f>
        <x:v>1110|SFMTA|2024-01-06</x:v>
      </x:c>
      <x:c r="I248" t="n">
        <x:f>COUNTIF(Rates_Raw!$AF$5:$AF$464,H248)</x:f>
        <x:v>1</x:v>
      </x:c>
      <x:c r="J248" t="str">
        <x:f>IF(I248=1,_xlfn.XLOOKUP(H248,Rates_Raw!$AF$5:$AF$464,Rates_Raw!$E$5:$E$464,""),"")</x:f>
        <x:v>Executive Assistant To The Executive Director, Retirement System</x:v>
      </x:c>
      <x:c r="K248" t="n">
        <x:f>IF(I248=1,_xlfn.XLOOKUP(H248,Rates_Raw!$AF$5:$AF$464,Rates_Raw!$F$5:$F$464,""),"")</x:f>
        <x:v>351</x:v>
      </x:c>
      <x:c r="L248" s="50" t="n">
        <x:f>IF(I248=1,IFERROR(VALUE(SUBSTITUTE(_xlfn.XLOOKUP(H248,Rates_Raw!$AF$5:$AF$464,Rates_Raw!$L$5:$L$464,""),"$","")),""),"")</x:f>
        <x:v>61.575</x:v>
      </x:c>
      <x:c r="M248" s="50" t="n">
        <x:f>IF(OR(G248="",L248=""),"",ROUND(G248-L248,4))</x:f>
        <x:v>0</x:v>
      </x:c>
      <x:c r="N248" t="str">
        <x:f>IF(I248=0,"NO MATCH",IF(I248&gt;1,"AMBIGUOUS",IF(EXACT(TRIM(E248),TRIM(J248)),"EXACT","TITLE VARIANT")))</x:f>
        <x:v>EXACT</x:v>
      </x:c>
      <x:c r="O248" t="str">
        <x:f>IF(I248&lt;&gt;1,"NOT TESTED",IF(OR(G248="",L248=""),"MISSING",IF(ABS(M248)&lt;=Guide!$B$16,"PASS","REVIEW")))</x:f>
        <x:v>PASS</x:v>
      </x:c>
      <x:c r="P248" s="52" t="n">
        <x:f>IF(I248=1,IFERROR(VALUE(SUBSTITUTE(SUBSTITUTE(_xlfn.XLOOKUP(H248,Rates_Raw!$AF$5:$AF$464,Rates_Raw!$I$5:$I$464,""),"$",""),",","")),""),"")</x:f>
        <x:v>4926</x:v>
      </x:c>
      <x:c r="Q248" s="52" t="n">
        <x:f>IF(P248="","",P248*Guide!$B$15)</x:f>
        <x:v>128076</x:v>
      </x:c>
      <x:c r="R248" t="str">
        <x:f>IF(I248=0,"UNMATCHED",IF(I248&gt;1,"DUPLICATE KEY",IF(OR(N248="TITLE VARIANT",O248="REVIEW",O248="MISSING"),"REVIEW","VERIFIED")))</x:f>
        <x:v>VERIFIED</x:v>
      </x:c>
      <x:c r="S248" s="46" t="str">
        <x:v>Not Reviewed</x:v>
      </x:c>
      <x:c r="T248" s="48"/>
    </x:row>
    <x:row r="249">
      <x:c r="A249" t="n">
        <x:f>Plan_Raw!A249</x:f>
        <x:v>1082</x:v>
      </x:c>
      <x:c r="B249" t="str">
        <x:f>Plan_Raw!D249</x:f>
        <x:v>1110</x:v>
      </x:c>
      <x:c r="C249" t="str">
        <x:f>LEFT(Plan_Raw!B249,10)</x:f>
        <x:v>2024-07-01</x:v>
      </x:c>
      <x:c r="D249" t="str">
        <x:f>Plan_Raw!F249</x:f>
        <x:v>COMMN</x:v>
      </x:c>
      <x:c r="E249" t="str">
        <x:f>Plan_Raw!E249</x:f>
        <x:v>Executive Assistant To The Executive Director, Retirement System</x:v>
      </x:c>
      <x:c r="F249" t="str">
        <x:f>Plan_Raw!C249</x:f>
        <x:v>1110Z</x:v>
      </x:c>
      <x:c r="G249" s="50" t="n">
        <x:f>IF(Plan_Raw!G249="","",IFERROR(VALUE(Plan_Raw!G249),""))</x:f>
        <x:v>62.5</x:v>
      </x:c>
      <x:c r="H249" t="str">
        <x:f>Plan_Raw!AH249</x:f>
        <x:v>1110|COMMN|2024-07-01</x:v>
      </x:c>
      <x:c r="I249" t="n">
        <x:f>COUNTIF(Rates_Raw!$AF$5:$AF$464,H249)</x:f>
        <x:v>1</x:v>
      </x:c>
      <x:c r="J249" t="str">
        <x:f>IF(I249=1,_xlfn.XLOOKUP(H249,Rates_Raw!$AF$5:$AF$464,Rates_Raw!$E$5:$E$464,""),"")</x:f>
        <x:v>Executive Assistant To The Executive Director, Retirement System</x:v>
      </x:c>
      <x:c r="K249" t="n">
        <x:f>IF(I249=1,_xlfn.XLOOKUP(H249,Rates_Raw!$AF$5:$AF$464,Rates_Raw!$F$5:$F$464,""),"")</x:f>
        <x:v>351</x:v>
      </x:c>
      <x:c r="L249" s="50" t="n">
        <x:f>IF(I249=1,IFERROR(VALUE(SUBSTITUTE(_xlfn.XLOOKUP(H249,Rates_Raw!$AF$5:$AF$464,Rates_Raw!$L$5:$L$464,""),"$","")),""),"")</x:f>
        <x:v>62.5</x:v>
      </x:c>
      <x:c r="M249" s="50" t="n">
        <x:f>IF(OR(G249="",L249=""),"",ROUND(G249-L249,4))</x:f>
        <x:v>0</x:v>
      </x:c>
      <x:c r="N249" t="str">
        <x:f>IF(I249=0,"NO MATCH",IF(I249&gt;1,"AMBIGUOUS",IF(EXACT(TRIM(E249),TRIM(J249)),"EXACT","TITLE VARIANT")))</x:f>
        <x:v>EXACT</x:v>
      </x:c>
      <x:c r="O249" t="str">
        <x:f>IF(I249&lt;&gt;1,"NOT TESTED",IF(OR(G249="",L249=""),"MISSING",IF(ABS(M249)&lt;=Guide!$B$16,"PASS","REVIEW")))</x:f>
        <x:v>PASS</x:v>
      </x:c>
      <x:c r="P249" s="52" t="n">
        <x:f>IF(I249=1,IFERROR(VALUE(SUBSTITUTE(SUBSTITUTE(_xlfn.XLOOKUP(H249,Rates_Raw!$AF$5:$AF$464,Rates_Raw!$I$5:$I$464,""),"$",""),",","")),""),"")</x:f>
        <x:v>5000</x:v>
      </x:c>
      <x:c r="Q249" s="52" t="n">
        <x:f>IF(P249="","",P249*Guide!$B$15)</x:f>
        <x:v>130000</x:v>
      </x:c>
      <x:c r="R249" t="str">
        <x:f>IF(I249=0,"UNMATCHED",IF(I249&gt;1,"DUPLICATE KEY",IF(OR(N249="TITLE VARIANT",O249="REVIEW",O249="MISSING"),"REVIEW","VERIFIED")))</x:f>
        <x:v>VERIFIED</x:v>
      </x:c>
      <x:c r="S249" s="46" t="str">
        <x:v>Not Reviewed</x:v>
      </x:c>
      <x:c r="T249" s="48"/>
    </x:row>
    <x:row r="250">
      <x:c r="A250" t="n">
        <x:f>Plan_Raw!A250</x:f>
        <x:v>1094</x:v>
      </x:c>
      <x:c r="B250" t="str">
        <x:f>Plan_Raw!D250</x:f>
        <x:v>1110</x:v>
      </x:c>
      <x:c r="C250" t="str">
        <x:f>LEFT(Plan_Raw!B250,10)</x:f>
        <x:v>2024-07-01</x:v>
      </x:c>
      <x:c r="D250" t="str">
        <x:f>Plan_Raw!F250</x:f>
        <x:v>SFMTA</x:v>
      </x:c>
      <x:c r="E250" t="str">
        <x:f>Plan_Raw!E250</x:f>
        <x:v>Executive Assistant To The Executive Director, Retirement System</x:v>
      </x:c>
      <x:c r="F250" t="str">
        <x:f>Plan_Raw!C250</x:f>
        <x:v>1110Z</x:v>
      </x:c>
      <x:c r="G250" s="50" t="n">
        <x:f>IF(Plan_Raw!G250="","",IFERROR(VALUE(Plan_Raw!G250),""))</x:f>
        <x:v>62.5</x:v>
      </x:c>
      <x:c r="H250" t="str">
        <x:f>Plan_Raw!AH250</x:f>
        <x:v>1110|SFMTA|2024-07-01</x:v>
      </x:c>
      <x:c r="I250" t="n">
        <x:f>COUNTIF(Rates_Raw!$AF$5:$AF$464,H250)</x:f>
        <x:v>1</x:v>
      </x:c>
      <x:c r="J250" t="str">
        <x:f>IF(I250=1,_xlfn.XLOOKUP(H250,Rates_Raw!$AF$5:$AF$464,Rates_Raw!$E$5:$E$464,""),"")</x:f>
        <x:v>Executive Assistant To The Executive Director, Retirement System</x:v>
      </x:c>
      <x:c r="K250" t="n">
        <x:f>IF(I250=1,_xlfn.XLOOKUP(H250,Rates_Raw!$AF$5:$AF$464,Rates_Raw!$F$5:$F$464,""),"")</x:f>
        <x:v>351</x:v>
      </x:c>
      <x:c r="L250" s="50" t="n">
        <x:f>IF(I250=1,IFERROR(VALUE(SUBSTITUTE(_xlfn.XLOOKUP(H250,Rates_Raw!$AF$5:$AF$464,Rates_Raw!$L$5:$L$464,""),"$","")),""),"")</x:f>
        <x:v>62.5</x:v>
      </x:c>
      <x:c r="M250" s="50" t="n">
        <x:f>IF(OR(G250="",L250=""),"",ROUND(G250-L250,4))</x:f>
        <x:v>0</x:v>
      </x:c>
      <x:c r="N250" t="str">
        <x:f>IF(I250=0,"NO MATCH",IF(I250&gt;1,"AMBIGUOUS",IF(EXACT(TRIM(E250),TRIM(J250)),"EXACT","TITLE VARIANT")))</x:f>
        <x:v>EXACT</x:v>
      </x:c>
      <x:c r="O250" t="str">
        <x:f>IF(I250&lt;&gt;1,"NOT TESTED",IF(OR(G250="",L250=""),"MISSING",IF(ABS(M250)&lt;=Guide!$B$16,"PASS","REVIEW")))</x:f>
        <x:v>PASS</x:v>
      </x:c>
      <x:c r="P250" s="52" t="n">
        <x:f>IF(I250=1,IFERROR(VALUE(SUBSTITUTE(SUBSTITUTE(_xlfn.XLOOKUP(H250,Rates_Raw!$AF$5:$AF$464,Rates_Raw!$I$5:$I$464,""),"$",""),",","")),""),"")</x:f>
        <x:v>5000</x:v>
      </x:c>
      <x:c r="Q250" s="52" t="n">
        <x:f>IF(P250="","",P250*Guide!$B$15)</x:f>
        <x:v>130000</x:v>
      </x:c>
      <x:c r="R250" t="str">
        <x:f>IF(I250=0,"UNMATCHED",IF(I250&gt;1,"DUPLICATE KEY",IF(OR(N250="TITLE VARIANT",O250="REVIEW",O250="MISSING"),"REVIEW","VERIFIED")))</x:f>
        <x:v>VERIFIED</x:v>
      </x:c>
      <x:c r="S250" s="46" t="str">
        <x:v>Not Reviewed</x:v>
      </x:c>
      <x:c r="T250" s="48"/>
    </x:row>
    <x:row r="251">
      <x:c r="A251" t="n">
        <x:f>Plan_Raw!A251</x:f>
        <x:v>1083</x:v>
      </x:c>
      <x:c r="B251" t="str">
        <x:f>Plan_Raw!D251</x:f>
        <x:v>1110</x:v>
      </x:c>
      <x:c r="C251" t="str">
        <x:f>LEFT(Plan_Raw!B251,10)</x:f>
        <x:v>2025-01-04</x:v>
      </x:c>
      <x:c r="D251" t="str">
        <x:f>Plan_Raw!F251</x:f>
        <x:v>COMMN</x:v>
      </x:c>
      <x:c r="E251" t="str">
        <x:f>Plan_Raw!E251</x:f>
        <x:v>Executive Assistant To The Executive Director, Retirement System</x:v>
      </x:c>
      <x:c r="F251" t="str">
        <x:f>Plan_Raw!C251</x:f>
        <x:v>1110A</x:v>
      </x:c>
      <x:c r="G251" s="50" t="n">
        <x:f>IF(Plan_Raw!G251="","",IFERROR(VALUE(Plan_Raw!G251),""))</x:f>
        <x:v>63.4375</x:v>
      </x:c>
      <x:c r="H251" t="str">
        <x:f>Plan_Raw!AH251</x:f>
        <x:v>1110|COMMN|2025-01-04</x:v>
      </x:c>
      <x:c r="I251" t="n">
        <x:f>COUNTIF(Rates_Raw!$AF$5:$AF$464,H251)</x:f>
        <x:v>1</x:v>
      </x:c>
      <x:c r="J251" t="str">
        <x:f>IF(I251=1,_xlfn.XLOOKUP(H251,Rates_Raw!$AF$5:$AF$464,Rates_Raw!$E$5:$E$464,""),"")</x:f>
        <x:v>Executive Assistant To The Executive Director, Retirement System</x:v>
      </x:c>
      <x:c r="K251" t="n">
        <x:f>IF(I251=1,_xlfn.XLOOKUP(H251,Rates_Raw!$AF$5:$AF$464,Rates_Raw!$F$5:$F$464,""),"")</x:f>
        <x:v>351</x:v>
      </x:c>
      <x:c r="L251" s="50" t="n">
        <x:f>IF(I251=1,IFERROR(VALUE(SUBSTITUTE(_xlfn.XLOOKUP(H251,Rates_Raw!$AF$5:$AF$464,Rates_Raw!$L$5:$L$464,""),"$","")),""),"")</x:f>
        <x:v>63.4375</x:v>
      </x:c>
      <x:c r="M251" s="50" t="n">
        <x:f>IF(OR(G251="",L251=""),"",ROUND(G251-L251,4))</x:f>
        <x:v>0</x:v>
      </x:c>
      <x:c r="N251" t="str">
        <x:f>IF(I251=0,"NO MATCH",IF(I251&gt;1,"AMBIGUOUS",IF(EXACT(TRIM(E251),TRIM(J251)),"EXACT","TITLE VARIANT")))</x:f>
        <x:v>EXACT</x:v>
      </x:c>
      <x:c r="O251" t="str">
        <x:f>IF(I251&lt;&gt;1,"NOT TESTED",IF(OR(G251="",L251=""),"MISSING",IF(ABS(M251)&lt;=Guide!$B$16,"PASS","REVIEW")))</x:f>
        <x:v>PASS</x:v>
      </x:c>
      <x:c r="P251" s="52" t="n">
        <x:f>IF(I251=1,IFERROR(VALUE(SUBSTITUTE(SUBSTITUTE(_xlfn.XLOOKUP(H251,Rates_Raw!$AF$5:$AF$464,Rates_Raw!$I$5:$I$464,""),"$",""),",","")),""),"")</x:f>
        <x:v>5075</x:v>
      </x:c>
      <x:c r="Q251" s="52" t="n">
        <x:f>IF(P251="","",P251*Guide!$B$15)</x:f>
        <x:v>131950</x:v>
      </x:c>
      <x:c r="R251" t="str">
        <x:f>IF(I251=0,"UNMATCHED",IF(I251&gt;1,"DUPLICATE KEY",IF(OR(N251="TITLE VARIANT",O251="REVIEW",O251="MISSING"),"REVIEW","VERIFIED")))</x:f>
        <x:v>VERIFIED</x:v>
      </x:c>
      <x:c r="S251" s="46" t="str">
        <x:v>Not Reviewed</x:v>
      </x:c>
      <x:c r="T251" s="48"/>
    </x:row>
    <x:row r="252">
      <x:c r="A252" t="n">
        <x:f>Plan_Raw!A252</x:f>
        <x:v>1095</x:v>
      </x:c>
      <x:c r="B252" t="str">
        <x:f>Plan_Raw!D252</x:f>
        <x:v>1110</x:v>
      </x:c>
      <x:c r="C252" t="str">
        <x:f>LEFT(Plan_Raw!B252,10)</x:f>
        <x:v>2025-01-04</x:v>
      </x:c>
      <x:c r="D252" t="str">
        <x:f>Plan_Raw!F252</x:f>
        <x:v>SFMTA</x:v>
      </x:c>
      <x:c r="E252" t="str">
        <x:f>Plan_Raw!E252</x:f>
        <x:v>Executive Assistant To The Executive Director, Retirement System</x:v>
      </x:c>
      <x:c r="F252" t="str">
        <x:f>Plan_Raw!C252</x:f>
        <x:v>1110A</x:v>
      </x:c>
      <x:c r="G252" s="50" t="n">
        <x:f>IF(Plan_Raw!G252="","",IFERROR(VALUE(Plan_Raw!G252),""))</x:f>
        <x:v>63.4375</x:v>
      </x:c>
      <x:c r="H252" t="str">
        <x:f>Plan_Raw!AH252</x:f>
        <x:v>1110|SFMTA|2025-01-04</x:v>
      </x:c>
      <x:c r="I252" t="n">
        <x:f>COUNTIF(Rates_Raw!$AF$5:$AF$464,H252)</x:f>
        <x:v>1</x:v>
      </x:c>
      <x:c r="J252" t="str">
        <x:f>IF(I252=1,_xlfn.XLOOKUP(H252,Rates_Raw!$AF$5:$AF$464,Rates_Raw!$E$5:$E$464,""),"")</x:f>
        <x:v>Executive Assistant To The Executive Director, Retirement System</x:v>
      </x:c>
      <x:c r="K252" t="n">
        <x:f>IF(I252=1,_xlfn.XLOOKUP(H252,Rates_Raw!$AF$5:$AF$464,Rates_Raw!$F$5:$F$464,""),"")</x:f>
        <x:v>351</x:v>
      </x:c>
      <x:c r="L252" s="50" t="n">
        <x:f>IF(I252=1,IFERROR(VALUE(SUBSTITUTE(_xlfn.XLOOKUP(H252,Rates_Raw!$AF$5:$AF$464,Rates_Raw!$L$5:$L$464,""),"$","")),""),"")</x:f>
        <x:v>63.4375</x:v>
      </x:c>
      <x:c r="M252" s="50" t="n">
        <x:f>IF(OR(G252="",L252=""),"",ROUND(G252-L252,4))</x:f>
        <x:v>0</x:v>
      </x:c>
      <x:c r="N252" t="str">
        <x:f>IF(I252=0,"NO MATCH",IF(I252&gt;1,"AMBIGUOUS",IF(EXACT(TRIM(E252),TRIM(J252)),"EXACT","TITLE VARIANT")))</x:f>
        <x:v>EXACT</x:v>
      </x:c>
      <x:c r="O252" t="str">
        <x:f>IF(I252&lt;&gt;1,"NOT TESTED",IF(OR(G252="",L252=""),"MISSING",IF(ABS(M252)&lt;=Guide!$B$16,"PASS","REVIEW")))</x:f>
        <x:v>PASS</x:v>
      </x:c>
      <x:c r="P252" s="52" t="n">
        <x:f>IF(I252=1,IFERROR(VALUE(SUBSTITUTE(SUBSTITUTE(_xlfn.XLOOKUP(H252,Rates_Raw!$AF$5:$AF$464,Rates_Raw!$I$5:$I$464,""),"$",""),",","")),""),"")</x:f>
        <x:v>5075</x:v>
      </x:c>
      <x:c r="Q252" s="52" t="n">
        <x:f>IF(P252="","",P252*Guide!$B$15)</x:f>
        <x:v>131950</x:v>
      </x:c>
      <x:c r="R252" t="str">
        <x:f>IF(I252=0,"UNMATCHED",IF(I252&gt;1,"DUPLICATE KEY",IF(OR(N252="TITLE VARIANT",O252="REVIEW",O252="MISSING"),"REVIEW","VERIFIED")))</x:f>
        <x:v>VERIFIED</x:v>
      </x:c>
      <x:c r="S252" s="46" t="str">
        <x:v>Not Reviewed</x:v>
      </x:c>
      <x:c r="T252" s="48"/>
    </x:row>
    <x:row r="253">
      <x:c r="A253" t="n">
        <x:f>Plan_Raw!A253</x:f>
        <x:v>1084</x:v>
      </x:c>
      <x:c r="B253" t="str">
        <x:f>Plan_Raw!D253</x:f>
        <x:v>1110</x:v>
      </x:c>
      <x:c r="C253" t="str">
        <x:f>LEFT(Plan_Raw!B253,10)</x:f>
        <x:v>2025-07-01</x:v>
      </x:c>
      <x:c r="D253" t="str">
        <x:f>Plan_Raw!F253</x:f>
        <x:v>COMMN</x:v>
      </x:c>
      <x:c r="E253" t="str">
        <x:f>Plan_Raw!E253</x:f>
        <x:v>Ex Asst to Ex Dir, Retirement</x:v>
      </x:c>
      <x:c r="F253" t="str">
        <x:f>Plan_Raw!C253</x:f>
        <x:v>1110B</x:v>
      </x:c>
      <x:c r="G253" s="50" t="n">
        <x:f>IF(Plan_Raw!G253="","",IFERROR(VALUE(Plan_Raw!G253),""))</x:f>
        <x:v>64.7125</x:v>
      </x:c>
      <x:c r="H253" t="str">
        <x:f>Plan_Raw!AH253</x:f>
        <x:v>1110|COMMN|2025-07-01</x:v>
      </x:c>
      <x:c r="I253" t="n">
        <x:f>COUNTIF(Rates_Raw!$AF$5:$AF$464,H253)</x:f>
        <x:v>1</x:v>
      </x:c>
      <x:c r="J253" t="str">
        <x:f>IF(I253=1,_xlfn.XLOOKUP(H253,Rates_Raw!$AF$5:$AF$464,Rates_Raw!$E$5:$E$464,""),"")</x:f>
        <x:v>Ex Asst to Ex Dir, Retirement</x:v>
      </x:c>
      <x:c r="K253" t="n">
        <x:f>IF(I253=1,_xlfn.XLOOKUP(H253,Rates_Raw!$AF$5:$AF$464,Rates_Raw!$F$5:$F$464,""),"")</x:f>
        <x:v>351</x:v>
      </x:c>
      <x:c r="L253" s="50" t="n">
        <x:f>IF(I253=1,IFERROR(VALUE(SUBSTITUTE(_xlfn.XLOOKUP(H253,Rates_Raw!$AF$5:$AF$464,Rates_Raw!$L$5:$L$464,""),"$","")),""),"")</x:f>
        <x:v>64.7125</x:v>
      </x:c>
      <x:c r="M253" s="50" t="n">
        <x:f>IF(OR(G253="",L253=""),"",ROUND(G253-L253,4))</x:f>
        <x:v>0</x:v>
      </x:c>
      <x:c r="N253" t="str">
        <x:f>IF(I253=0,"NO MATCH",IF(I253&gt;1,"AMBIGUOUS",IF(EXACT(TRIM(E253),TRIM(J253)),"EXACT","TITLE VARIANT")))</x:f>
        <x:v>EXACT</x:v>
      </x:c>
      <x:c r="O253" t="str">
        <x:f>IF(I253&lt;&gt;1,"NOT TESTED",IF(OR(G253="",L253=""),"MISSING",IF(ABS(M253)&lt;=Guide!$B$16,"PASS","REVIEW")))</x:f>
        <x:v>PASS</x:v>
      </x:c>
      <x:c r="P253" s="52" t="n">
        <x:f>IF(I253=1,IFERROR(VALUE(SUBSTITUTE(SUBSTITUTE(_xlfn.XLOOKUP(H253,Rates_Raw!$AF$5:$AF$464,Rates_Raw!$I$5:$I$464,""),"$",""),",","")),""),"")</x:f>
        <x:v>5177</x:v>
      </x:c>
      <x:c r="Q253" s="52" t="n">
        <x:f>IF(P253="","",P253*Guide!$B$15)</x:f>
        <x:v>134602</x:v>
      </x:c>
      <x:c r="R253" t="str">
        <x:f>IF(I253=0,"UNMATCHED",IF(I253&gt;1,"DUPLICATE KEY",IF(OR(N253="TITLE VARIANT",O253="REVIEW",O253="MISSING"),"REVIEW","VERIFIED")))</x:f>
        <x:v>VERIFIED</x:v>
      </x:c>
      <x:c r="S253" s="46" t="str">
        <x:v>Not Reviewed</x:v>
      </x:c>
      <x:c r="T253" s="48"/>
    </x:row>
    <x:row r="254">
      <x:c r="A254" t="n">
        <x:f>Plan_Raw!A254</x:f>
        <x:v>1096</x:v>
      </x:c>
      <x:c r="B254" t="str">
        <x:f>Plan_Raw!D254</x:f>
        <x:v>1110</x:v>
      </x:c>
      <x:c r="C254" t="str">
        <x:f>LEFT(Plan_Raw!B254,10)</x:f>
        <x:v>2025-07-01</x:v>
      </x:c>
      <x:c r="D254" t="str">
        <x:f>Plan_Raw!F254</x:f>
        <x:v>SFMTA</x:v>
      </x:c>
      <x:c r="E254" t="str">
        <x:f>Plan_Raw!E254</x:f>
        <x:v>Ex Asst to Ex Dir, Retirement</x:v>
      </x:c>
      <x:c r="F254" t="str">
        <x:f>Plan_Raw!C254</x:f>
        <x:v>1110B</x:v>
      </x:c>
      <x:c r="G254" s="50" t="n">
        <x:f>IF(Plan_Raw!G254="","",IFERROR(VALUE(Plan_Raw!G254),""))</x:f>
        <x:v>64.7125</x:v>
      </x:c>
      <x:c r="H254" t="str">
        <x:f>Plan_Raw!AH254</x:f>
        <x:v>1110|SFMTA|2025-07-01</x:v>
      </x:c>
      <x:c r="I254" t="n">
        <x:f>COUNTIF(Rates_Raw!$AF$5:$AF$464,H254)</x:f>
        <x:v>1</x:v>
      </x:c>
      <x:c r="J254" t="str">
        <x:f>IF(I254=1,_xlfn.XLOOKUP(H254,Rates_Raw!$AF$5:$AF$464,Rates_Raw!$E$5:$E$464,""),"")</x:f>
        <x:v>Ex Asst to Ex Dir, Retirement</x:v>
      </x:c>
      <x:c r="K254" t="n">
        <x:f>IF(I254=1,_xlfn.XLOOKUP(H254,Rates_Raw!$AF$5:$AF$464,Rates_Raw!$F$5:$F$464,""),"")</x:f>
        <x:v>351</x:v>
      </x:c>
      <x:c r="L254" s="50" t="n">
        <x:f>IF(I254=1,IFERROR(VALUE(SUBSTITUTE(_xlfn.XLOOKUP(H254,Rates_Raw!$AF$5:$AF$464,Rates_Raw!$L$5:$L$464,""),"$","")),""),"")</x:f>
        <x:v>64.7125</x:v>
      </x:c>
      <x:c r="M254" s="50" t="n">
        <x:f>IF(OR(G254="",L254=""),"",ROUND(G254-L254,4))</x:f>
        <x:v>0</x:v>
      </x:c>
      <x:c r="N254" t="str">
        <x:f>IF(I254=0,"NO MATCH",IF(I254&gt;1,"AMBIGUOUS",IF(EXACT(TRIM(E254),TRIM(J254)),"EXACT","TITLE VARIANT")))</x:f>
        <x:v>EXACT</x:v>
      </x:c>
      <x:c r="O254" t="str">
        <x:f>IF(I254&lt;&gt;1,"NOT TESTED",IF(OR(G254="",L254=""),"MISSING",IF(ABS(M254)&lt;=Guide!$B$16,"PASS","REVIEW")))</x:f>
        <x:v>PASS</x:v>
      </x:c>
      <x:c r="P254" s="52" t="n">
        <x:f>IF(I254=1,IFERROR(VALUE(SUBSTITUTE(SUBSTITUTE(_xlfn.XLOOKUP(H254,Rates_Raw!$AF$5:$AF$464,Rates_Raw!$I$5:$I$464,""),"$",""),",","")),""),"")</x:f>
        <x:v>5177</x:v>
      </x:c>
      <x:c r="Q254" s="52" t="n">
        <x:f>IF(P254="","",P254*Guide!$B$15)</x:f>
        <x:v>134602</x:v>
      </x:c>
      <x:c r="R254" t="str">
        <x:f>IF(I254=0,"UNMATCHED",IF(I254&gt;1,"DUPLICATE KEY",IF(OR(N254="TITLE VARIANT",O254="REVIEW",O254="MISSING"),"REVIEW","VERIFIED")))</x:f>
        <x:v>VERIFIED</x:v>
      </x:c>
      <x:c r="S254" s="46" t="str">
        <x:v>Not Reviewed</x:v>
      </x:c>
      <x:c r="T254" s="48"/>
    </x:row>
    <x:row r="255">
      <x:c r="A255" t="n">
        <x:f>Plan_Raw!A255</x:f>
        <x:v>1085</x:v>
      </x:c>
      <x:c r="B255" t="str">
        <x:f>Plan_Raw!D255</x:f>
        <x:v>1110</x:v>
      </x:c>
      <x:c r="C255" t="str">
        <x:f>LEFT(Plan_Raw!B255,10)</x:f>
        <x:v>2026-01-03</x:v>
      </x:c>
      <x:c r="D255" t="str">
        <x:f>Plan_Raw!F255</x:f>
        <x:v>COMMN</x:v>
      </x:c>
      <x:c r="E255" t="str">
        <x:f>Plan_Raw!E255</x:f>
        <x:v>Ex Asst to Ex Dir, Retirement</x:v>
      </x:c>
      <x:c r="F255" t="str">
        <x:f>Plan_Raw!C255</x:f>
        <x:v>1110C</x:v>
      </x:c>
      <x:c r="G255" s="50" t="n">
        <x:f>IF(Plan_Raw!G255="","",IFERROR(VALUE(Plan_Raw!G255),""))</x:f>
        <x:v>65.6875</x:v>
      </x:c>
      <x:c r="H255" t="str">
        <x:f>Plan_Raw!AH255</x:f>
        <x:v>1110|COMMN|2026-01-03</x:v>
      </x:c>
      <x:c r="I255" t="n">
        <x:f>COUNTIF(Rates_Raw!$AF$5:$AF$464,H255)</x:f>
        <x:v>1</x:v>
      </x:c>
      <x:c r="J255" t="str">
        <x:f>IF(I255=1,_xlfn.XLOOKUP(H255,Rates_Raw!$AF$5:$AF$464,Rates_Raw!$E$5:$E$464,""),"")</x:f>
        <x:v>Ex Asst to Ex Dir, Retirement</x:v>
      </x:c>
      <x:c r="K255" t="n">
        <x:f>IF(I255=1,_xlfn.XLOOKUP(H255,Rates_Raw!$AF$5:$AF$464,Rates_Raw!$F$5:$F$464,""),"")</x:f>
        <x:v>351</x:v>
      </x:c>
      <x:c r="L255" s="50" t="n">
        <x:f>IF(I255=1,IFERROR(VALUE(SUBSTITUTE(_xlfn.XLOOKUP(H255,Rates_Raw!$AF$5:$AF$464,Rates_Raw!$L$5:$L$464,""),"$","")),""),"")</x:f>
        <x:v>65.6875</x:v>
      </x:c>
      <x:c r="M255" s="50" t="n">
        <x:f>IF(OR(G255="",L255=""),"",ROUND(G255-L255,4))</x:f>
        <x:v>0</x:v>
      </x:c>
      <x:c r="N255" t="str">
        <x:f>IF(I255=0,"NO MATCH",IF(I255&gt;1,"AMBIGUOUS",IF(EXACT(TRIM(E255),TRIM(J255)),"EXACT","TITLE VARIANT")))</x:f>
        <x:v>EXACT</x:v>
      </x:c>
      <x:c r="O255" t="str">
        <x:f>IF(I255&lt;&gt;1,"NOT TESTED",IF(OR(G255="",L255=""),"MISSING",IF(ABS(M255)&lt;=Guide!$B$16,"PASS","REVIEW")))</x:f>
        <x:v>PASS</x:v>
      </x:c>
      <x:c r="P255" s="52" t="n">
        <x:f>IF(I255=1,IFERROR(VALUE(SUBSTITUTE(SUBSTITUTE(_xlfn.XLOOKUP(H255,Rates_Raw!$AF$5:$AF$464,Rates_Raw!$I$5:$I$464,""),"$",""),",","")),""),"")</x:f>
        <x:v>5255</x:v>
      </x:c>
      <x:c r="Q255" s="52" t="n">
        <x:f>IF(P255="","",P255*Guide!$B$15)</x:f>
        <x:v>136630</x:v>
      </x:c>
      <x:c r="R255" t="str">
        <x:f>IF(I255=0,"UNMATCHED",IF(I255&gt;1,"DUPLICATE KEY",IF(OR(N255="TITLE VARIANT",O255="REVIEW",O255="MISSING"),"REVIEW","VERIFIED")))</x:f>
        <x:v>VERIFIED</x:v>
      </x:c>
      <x:c r="S255" s="46" t="str">
        <x:v>Not Reviewed</x:v>
      </x:c>
      <x:c r="T255" s="48"/>
    </x:row>
    <x:row r="256">
      <x:c r="A256" t="n">
        <x:f>Plan_Raw!A256</x:f>
        <x:v>1097</x:v>
      </x:c>
      <x:c r="B256" t="str">
        <x:f>Plan_Raw!D256</x:f>
        <x:v>1110</x:v>
      </x:c>
      <x:c r="C256" t="str">
        <x:f>LEFT(Plan_Raw!B256,10)</x:f>
        <x:v>2026-01-03</x:v>
      </x:c>
      <x:c r="D256" t="str">
        <x:f>Plan_Raw!F256</x:f>
        <x:v>SFMTA</x:v>
      </x:c>
      <x:c r="E256" t="str">
        <x:f>Plan_Raw!E256</x:f>
        <x:v>Ex Asst to Ex Dir, Retirement</x:v>
      </x:c>
      <x:c r="F256" t="str">
        <x:f>Plan_Raw!C256</x:f>
        <x:v>1110C</x:v>
      </x:c>
      <x:c r="G256" s="50" t="n">
        <x:f>IF(Plan_Raw!G256="","",IFERROR(VALUE(Plan_Raw!G256),""))</x:f>
        <x:v>65.6875</x:v>
      </x:c>
      <x:c r="H256" t="str">
        <x:f>Plan_Raw!AH256</x:f>
        <x:v>1110|SFMTA|2026-01-03</x:v>
      </x:c>
      <x:c r="I256" t="n">
        <x:f>COUNTIF(Rates_Raw!$AF$5:$AF$464,H256)</x:f>
        <x:v>1</x:v>
      </x:c>
      <x:c r="J256" t="str">
        <x:f>IF(I256=1,_xlfn.XLOOKUP(H256,Rates_Raw!$AF$5:$AF$464,Rates_Raw!$E$5:$E$464,""),"")</x:f>
        <x:v>Ex Asst to Ex Dir, Retirement</x:v>
      </x:c>
      <x:c r="K256" t="n">
        <x:f>IF(I256=1,_xlfn.XLOOKUP(H256,Rates_Raw!$AF$5:$AF$464,Rates_Raw!$F$5:$F$464,""),"")</x:f>
        <x:v>351</x:v>
      </x:c>
      <x:c r="L256" s="50" t="n">
        <x:f>IF(I256=1,IFERROR(VALUE(SUBSTITUTE(_xlfn.XLOOKUP(H256,Rates_Raw!$AF$5:$AF$464,Rates_Raw!$L$5:$L$464,""),"$","")),""),"")</x:f>
        <x:v>65.6875</x:v>
      </x:c>
      <x:c r="M256" s="50" t="n">
        <x:f>IF(OR(G256="",L256=""),"",ROUND(G256-L256,4))</x:f>
        <x:v>0</x:v>
      </x:c>
      <x:c r="N256" t="str">
        <x:f>IF(I256=0,"NO MATCH",IF(I256&gt;1,"AMBIGUOUS",IF(EXACT(TRIM(E256),TRIM(J256)),"EXACT","TITLE VARIANT")))</x:f>
        <x:v>EXACT</x:v>
      </x:c>
      <x:c r="O256" t="str">
        <x:f>IF(I256&lt;&gt;1,"NOT TESTED",IF(OR(G256="",L256=""),"MISSING",IF(ABS(M256)&lt;=Guide!$B$16,"PASS","REVIEW")))</x:f>
        <x:v>PASS</x:v>
      </x:c>
      <x:c r="P256" s="52" t="n">
        <x:f>IF(I256=1,IFERROR(VALUE(SUBSTITUTE(SUBSTITUTE(_xlfn.XLOOKUP(H256,Rates_Raw!$AF$5:$AF$464,Rates_Raw!$I$5:$I$464,""),"$",""),",","")),""),"")</x:f>
        <x:v>5255</x:v>
      </x:c>
      <x:c r="Q256" s="52" t="n">
        <x:f>IF(P256="","",P256*Guide!$B$15)</x:f>
        <x:v>136630</x:v>
      </x:c>
      <x:c r="R256" t="str">
        <x:f>IF(I256=0,"UNMATCHED",IF(I256&gt;1,"DUPLICATE KEY",IF(OR(N256="TITLE VARIANT",O256="REVIEW",O256="MISSING"),"REVIEW","VERIFIED")))</x:f>
        <x:v>VERIFIED</x:v>
      </x:c>
      <x:c r="S256" s="46" t="str">
        <x:v>Not Reviewed</x:v>
      </x:c>
      <x:c r="T256" s="48"/>
    </x:row>
    <x:row r="257">
      <x:c r="A257" t="n">
        <x:f>Plan_Raw!A257</x:f>
        <x:v>1086</x:v>
      </x:c>
      <x:c r="B257" t="str">
        <x:f>Plan_Raw!D257</x:f>
        <x:v>1110</x:v>
      </x:c>
      <x:c r="C257" t="str">
        <x:f>LEFT(Plan_Raw!B257,10)</x:f>
        <x:v>2026-07-01</x:v>
      </x:c>
      <x:c r="D257" t="str">
        <x:f>Plan_Raw!F257</x:f>
        <x:v>COMMN</x:v>
      </x:c>
      <x:c r="E257" t="str">
        <x:f>Plan_Raw!E257</x:f>
        <x:v>Ex Asst to Ex Dir, Retirement</x:v>
      </x:c>
      <x:c r="F257" t="str">
        <x:f>Plan_Raw!C257</x:f>
        <x:v>1110D</x:v>
      </x:c>
      <x:c r="G257" s="50" t="n">
        <x:f>IF(Plan_Raw!G257="","",IFERROR(VALUE(Plan_Raw!G257),""))</x:f>
        <x:v>67</x:v>
      </x:c>
      <x:c r="H257" t="str">
        <x:f>Plan_Raw!AH257</x:f>
        <x:v>1110|COMMN|2026-07-01</x:v>
      </x:c>
      <x:c r="I257" t="n">
        <x:f>COUNTIF(Rates_Raw!$AF$5:$AF$464,H257)</x:f>
        <x:v>0</x:v>
      </x:c>
      <x:c r="J257" t="str">
        <x:f>IF(I257=1,_xlfn.XLOOKUP(H257,Rates_Raw!$AF$5:$AF$464,Rates_Raw!$E$5:$E$464,""),"")</x:f>
      </x:c>
      <x:c r="K257" t="str">
        <x:f>IF(I257=1,_xlfn.XLOOKUP(H257,Rates_Raw!$AF$5:$AF$464,Rates_Raw!$F$5:$F$464,""),"")</x:f>
      </x:c>
      <x:c r="L257" s="50" t="str">
        <x:f>IF(I257=1,IFERROR(VALUE(SUBSTITUTE(_xlfn.XLOOKUP(H257,Rates_Raw!$AF$5:$AF$464,Rates_Raw!$L$5:$L$464,""),"$","")),""),"")</x:f>
      </x:c>
      <x:c r="M257" s="50" t="str">
        <x:f>IF(OR(G257="",L257=""),"",ROUND(G257-L257,4))</x:f>
      </x:c>
      <x:c r="N257" t="str">
        <x:f>IF(I257=0,"NO MATCH",IF(I257&gt;1,"AMBIGUOUS",IF(EXACT(TRIM(E257),TRIM(J257)),"EXACT","TITLE VARIANT")))</x:f>
        <x:v>NO MATCH</x:v>
      </x:c>
      <x:c r="O257" t="str">
        <x:f>IF(I257&lt;&gt;1,"NOT TESTED",IF(OR(G257="",L257=""),"MISSING",IF(ABS(M257)&lt;=Guide!$B$16,"PASS","REVIEW")))</x:f>
        <x:v>NOT TESTED</x:v>
      </x:c>
      <x:c r="P257" s="52" t="str">
        <x:f>IF(I257=1,IFERROR(VALUE(SUBSTITUTE(SUBSTITUTE(_xlfn.XLOOKUP(H257,Rates_Raw!$AF$5:$AF$464,Rates_Raw!$I$5:$I$464,""),"$",""),",","")),""),"")</x:f>
      </x:c>
      <x:c r="Q257" s="52" t="str">
        <x:f>IF(P257="","",P257*Guide!$B$15)</x:f>
      </x:c>
      <x:c r="R257" t="str">
        <x:f>IF(I257=0,"UNMATCHED",IF(I257&gt;1,"DUPLICATE KEY",IF(OR(N257="TITLE VARIANT",O257="REVIEW",O257="MISSING"),"REVIEW","VERIFIED")))</x:f>
        <x:v>UNMATCHED</x:v>
      </x:c>
      <x:c r="S257" s="46" t="str">
        <x:v>Not Reviewed</x:v>
      </x:c>
      <x:c r="T257" s="48"/>
    </x:row>
    <x:row r="258">
      <x:c r="A258" t="n">
        <x:f>Plan_Raw!A258</x:f>
        <x:v>1098</x:v>
      </x:c>
      <x:c r="B258" t="str">
        <x:f>Plan_Raw!D258</x:f>
        <x:v>1110</x:v>
      </x:c>
      <x:c r="C258" t="str">
        <x:f>LEFT(Plan_Raw!B258,10)</x:f>
        <x:v>2026-07-01</x:v>
      </x:c>
      <x:c r="D258" t="str">
        <x:f>Plan_Raw!F258</x:f>
        <x:v>SFMTA</x:v>
      </x:c>
      <x:c r="E258" t="str">
        <x:f>Plan_Raw!E258</x:f>
        <x:v>Ex Asst to Ex Dir, Retirement</x:v>
      </x:c>
      <x:c r="F258" t="str">
        <x:f>Plan_Raw!C258</x:f>
        <x:v>1110D</x:v>
      </x:c>
      <x:c r="G258" s="50" t="n">
        <x:f>IF(Plan_Raw!G258="","",IFERROR(VALUE(Plan_Raw!G258),""))</x:f>
        <x:v>67</x:v>
      </x:c>
      <x:c r="H258" t="str">
        <x:f>Plan_Raw!AH258</x:f>
        <x:v>1110|SFMTA|2026-07-01</x:v>
      </x:c>
      <x:c r="I258" t="n">
        <x:f>COUNTIF(Rates_Raw!$AF$5:$AF$464,H258)</x:f>
        <x:v>0</x:v>
      </x:c>
      <x:c r="J258" t="str">
        <x:f>IF(I258=1,_xlfn.XLOOKUP(H258,Rates_Raw!$AF$5:$AF$464,Rates_Raw!$E$5:$E$464,""),"")</x:f>
      </x:c>
      <x:c r="K258" t="str">
        <x:f>IF(I258=1,_xlfn.XLOOKUP(H258,Rates_Raw!$AF$5:$AF$464,Rates_Raw!$F$5:$F$464,""),"")</x:f>
      </x:c>
      <x:c r="L258" s="50" t="str">
        <x:f>IF(I258=1,IFERROR(VALUE(SUBSTITUTE(_xlfn.XLOOKUP(H258,Rates_Raw!$AF$5:$AF$464,Rates_Raw!$L$5:$L$464,""),"$","")),""),"")</x:f>
      </x:c>
      <x:c r="M258" s="50" t="str">
        <x:f>IF(OR(G258="",L258=""),"",ROUND(G258-L258,4))</x:f>
      </x:c>
      <x:c r="N258" t="str">
        <x:f>IF(I258=0,"NO MATCH",IF(I258&gt;1,"AMBIGUOUS",IF(EXACT(TRIM(E258),TRIM(J258)),"EXACT","TITLE VARIANT")))</x:f>
        <x:v>NO MATCH</x:v>
      </x:c>
      <x:c r="O258" t="str">
        <x:f>IF(I258&lt;&gt;1,"NOT TESTED",IF(OR(G258="",L258=""),"MISSING",IF(ABS(M258)&lt;=Guide!$B$16,"PASS","REVIEW")))</x:f>
        <x:v>NOT TESTED</x:v>
      </x:c>
      <x:c r="P258" s="52" t="str">
        <x:f>IF(I258=1,IFERROR(VALUE(SUBSTITUTE(SUBSTITUTE(_xlfn.XLOOKUP(H258,Rates_Raw!$AF$5:$AF$464,Rates_Raw!$I$5:$I$464,""),"$",""),",","")),""),"")</x:f>
      </x:c>
      <x:c r="Q258" s="52" t="str">
        <x:f>IF(P258="","",P258*Guide!$B$15)</x:f>
      </x:c>
      <x:c r="R258" t="str">
        <x:f>IF(I258=0,"UNMATCHED",IF(I258&gt;1,"DUPLICATE KEY",IF(OR(N258="TITLE VARIANT",O258="REVIEW",O258="MISSING"),"REVIEW","VERIFIED")))</x:f>
        <x:v>UNMATCHED</x:v>
      </x:c>
      <x:c r="S258" s="46" t="str">
        <x:v>Not Reviewed</x:v>
      </x:c>
      <x:c r="T258" s="48"/>
    </x:row>
    <x:row r="259">
      <x:c r="A259" t="n">
        <x:f>Plan_Raw!A259</x:f>
        <x:v>1132</x:v>
      </x:c>
      <x:c r="B259" t="str">
        <x:f>Plan_Raw!D259</x:f>
        <x:v>1117</x:v>
      </x:c>
      <x:c r="C259" t="str">
        <x:f>LEFT(Plan_Raw!B259,10)</x:f>
        <x:v>2024-01-06</x:v>
      </x:c>
      <x:c r="D259" t="str">
        <x:f>Plan_Raw!F259</x:f>
        <x:v>COMMN</x:v>
      </x:c>
      <x:c r="E259" t="str">
        <x:f>Plan_Raw!E259</x:f>
        <x:v>Deputy Director for Investments, Retirement System</x:v>
      </x:c>
      <x:c r="F259" t="str">
        <x:f>Plan_Raw!C259</x:f>
        <x:v>1117Y</x:v>
      </x:c>
      <x:c r="G259" s="50" t="n">
        <x:f>IF(Plan_Raw!G259="","",IFERROR(VALUE(Plan_Raw!G259),""))</x:f>
        <x:v>176.2625</x:v>
      </x:c>
      <x:c r="H259" t="str">
        <x:f>Plan_Raw!AH259</x:f>
        <x:v>1117|COMMN|2024-01-06</x:v>
      </x:c>
      <x:c r="I259" t="n">
        <x:f>COUNTIF(Rates_Raw!$AF$5:$AF$464,H259)</x:f>
        <x:v>1</x:v>
      </x:c>
      <x:c r="J259" t="str">
        <x:f>IF(I259=1,_xlfn.XLOOKUP(H259,Rates_Raw!$AF$5:$AF$464,Rates_Raw!$E$5:$E$464,""),"")</x:f>
        <x:v>Deputy Director for Investments, Retirement System</x:v>
      </x:c>
      <x:c r="K259" t="n">
        <x:f>IF(I259=1,_xlfn.XLOOKUP(H259,Rates_Raw!$AF$5:$AF$464,Rates_Raw!$F$5:$F$464,""),"")</x:f>
        <x:v>351</x:v>
      </x:c>
      <x:c r="L259" s="50" t="n">
        <x:f>IF(I259=1,IFERROR(VALUE(SUBSTITUTE(_xlfn.XLOOKUP(H259,Rates_Raw!$AF$5:$AF$464,Rates_Raw!$L$5:$L$464,""),"$","")),""),"")</x:f>
        <x:v>176.2625</x:v>
      </x:c>
      <x:c r="M259" s="50" t="n">
        <x:f>IF(OR(G259="",L259=""),"",ROUND(G259-L259,4))</x:f>
        <x:v>0</x:v>
      </x:c>
      <x:c r="N259" t="str">
        <x:f>IF(I259=0,"NO MATCH",IF(I259&gt;1,"AMBIGUOUS",IF(EXACT(TRIM(E259),TRIM(J259)),"EXACT","TITLE VARIANT")))</x:f>
        <x:v>EXACT</x:v>
      </x:c>
      <x:c r="O259" t="str">
        <x:f>IF(I259&lt;&gt;1,"NOT TESTED",IF(OR(G259="",L259=""),"MISSING",IF(ABS(M259)&lt;=Guide!$B$16,"PASS","REVIEW")))</x:f>
        <x:v>PASS</x:v>
      </x:c>
      <x:c r="P259" s="52" t="n">
        <x:f>IF(I259=1,IFERROR(VALUE(SUBSTITUTE(SUBSTITUTE(_xlfn.XLOOKUP(H259,Rates_Raw!$AF$5:$AF$464,Rates_Raw!$I$5:$I$464,""),"$",""),",","")),""),"")</x:f>
        <x:v>14101</x:v>
      </x:c>
      <x:c r="Q259" s="52" t="n">
        <x:f>IF(P259="","",P259*Guide!$B$15)</x:f>
        <x:v>366626</x:v>
      </x:c>
      <x:c r="R259" t="str">
        <x:f>IF(I259=0,"UNMATCHED",IF(I259&gt;1,"DUPLICATE KEY",IF(OR(N259="TITLE VARIANT",O259="REVIEW",O259="MISSING"),"REVIEW","VERIFIED")))</x:f>
        <x:v>VERIFIED</x:v>
      </x:c>
      <x:c r="S259" s="46" t="str">
        <x:v>Not Reviewed</x:v>
      </x:c>
      <x:c r="T259" s="48"/>
    </x:row>
    <x:row r="260">
      <x:c r="A260" t="n">
        <x:f>Plan_Raw!A260</x:f>
        <x:v>1133</x:v>
      </x:c>
      <x:c r="B260" t="str">
        <x:f>Plan_Raw!D260</x:f>
        <x:v>1117</x:v>
      </x:c>
      <x:c r="C260" t="str">
        <x:f>LEFT(Plan_Raw!B260,10)</x:f>
        <x:v>2024-07-01</x:v>
      </x:c>
      <x:c r="D260" t="str">
        <x:f>Plan_Raw!F260</x:f>
        <x:v>COMMN</x:v>
      </x:c>
      <x:c r="E260" t="str">
        <x:f>Plan_Raw!E260</x:f>
        <x:v>Chief Operating Officer, Retirement System</x:v>
      </x:c>
      <x:c r="F260" t="str">
        <x:f>Plan_Raw!C260</x:f>
        <x:v>1117Z</x:v>
      </x:c>
      <x:c r="G260" s="50" t="n">
        <x:f>IF(Plan_Raw!G260="","",IFERROR(VALUE(Plan_Raw!G260),""))</x:f>
        <x:v>178.9125</x:v>
      </x:c>
      <x:c r="H260" t="str">
        <x:f>Plan_Raw!AH260</x:f>
        <x:v>1117|COMMN|2024-07-01</x:v>
      </x:c>
      <x:c r="I260" t="n">
        <x:f>COUNTIF(Rates_Raw!$AF$5:$AF$464,H260)</x:f>
        <x:v>1</x:v>
      </x:c>
      <x:c r="J260" t="str">
        <x:f>IF(I260=1,_xlfn.XLOOKUP(H260,Rates_Raw!$AF$5:$AF$464,Rates_Raw!$E$5:$E$464,""),"")</x:f>
        <x:v>Chief Operating Officer, Retirement System</x:v>
      </x:c>
      <x:c r="K260" t="n">
        <x:f>IF(I260=1,_xlfn.XLOOKUP(H260,Rates_Raw!$AF$5:$AF$464,Rates_Raw!$F$5:$F$464,""),"")</x:f>
        <x:v>351</x:v>
      </x:c>
      <x:c r="L260" s="50" t="n">
        <x:f>IF(I260=1,IFERROR(VALUE(SUBSTITUTE(_xlfn.XLOOKUP(H260,Rates_Raw!$AF$5:$AF$464,Rates_Raw!$L$5:$L$464,""),"$","")),""),"")</x:f>
        <x:v>178.9125</x:v>
      </x:c>
      <x:c r="M260" s="50" t="n">
        <x:f>IF(OR(G260="",L260=""),"",ROUND(G260-L260,4))</x:f>
        <x:v>0</x:v>
      </x:c>
      <x:c r="N260" t="str">
        <x:f>IF(I260=0,"NO MATCH",IF(I260&gt;1,"AMBIGUOUS",IF(EXACT(TRIM(E260),TRIM(J260)),"EXACT","TITLE VARIANT")))</x:f>
        <x:v>EXACT</x:v>
      </x:c>
      <x:c r="O260" t="str">
        <x:f>IF(I260&lt;&gt;1,"NOT TESTED",IF(OR(G260="",L260=""),"MISSING",IF(ABS(M260)&lt;=Guide!$B$16,"PASS","REVIEW")))</x:f>
        <x:v>PASS</x:v>
      </x:c>
      <x:c r="P260" s="52" t="n">
        <x:f>IF(I260=1,IFERROR(VALUE(SUBSTITUTE(SUBSTITUTE(_xlfn.XLOOKUP(H260,Rates_Raw!$AF$5:$AF$464,Rates_Raw!$I$5:$I$464,""),"$",""),",","")),""),"")</x:f>
        <x:v>14313</x:v>
      </x:c>
      <x:c r="Q260" s="52" t="n">
        <x:f>IF(P260="","",P260*Guide!$B$15)</x:f>
        <x:v>372138</x:v>
      </x:c>
      <x:c r="R260" t="str">
        <x:f>IF(I260=0,"UNMATCHED",IF(I260&gt;1,"DUPLICATE KEY",IF(OR(N260="TITLE VARIANT",O260="REVIEW",O260="MISSING"),"REVIEW","VERIFIED")))</x:f>
        <x:v>VERIFIED</x:v>
      </x:c>
      <x:c r="S260" s="46" t="str">
        <x:v>Not Reviewed</x:v>
      </x:c>
      <x:c r="T260" s="48"/>
    </x:row>
    <x:row r="261">
      <x:c r="A261" t="n">
        <x:f>Plan_Raw!A261</x:f>
        <x:v>1134</x:v>
      </x:c>
      <x:c r="B261" t="str">
        <x:f>Plan_Raw!D261</x:f>
        <x:v>1117</x:v>
      </x:c>
      <x:c r="C261" t="str">
        <x:f>LEFT(Plan_Raw!B261,10)</x:f>
        <x:v>2025-01-04</x:v>
      </x:c>
      <x:c r="D261" t="str">
        <x:f>Plan_Raw!F261</x:f>
        <x:v>COMMN</x:v>
      </x:c>
      <x:c r="E261" t="str">
        <x:f>Plan_Raw!E261</x:f>
        <x:v>Chief Operating Officer, Retirement System</x:v>
      </x:c>
      <x:c r="F261" t="str">
        <x:f>Plan_Raw!C261</x:f>
        <x:v>1117A</x:v>
      </x:c>
      <x:c r="G261" s="50" t="n">
        <x:f>IF(Plan_Raw!G261="","",IFERROR(VALUE(Plan_Raw!G261),""))</x:f>
        <x:v>181.6</x:v>
      </x:c>
      <x:c r="H261" t="str">
        <x:f>Plan_Raw!AH261</x:f>
        <x:v>1117|COMMN|2025-01-04</x:v>
      </x:c>
      <x:c r="I261" t="n">
        <x:f>COUNTIF(Rates_Raw!$AF$5:$AF$464,H261)</x:f>
        <x:v>1</x:v>
      </x:c>
      <x:c r="J261" t="str">
        <x:f>IF(I261=1,_xlfn.XLOOKUP(H261,Rates_Raw!$AF$5:$AF$464,Rates_Raw!$E$5:$E$464,""),"")</x:f>
        <x:v>Chief Operating Officer, Retirement System</x:v>
      </x:c>
      <x:c r="K261" t="n">
        <x:f>IF(I261=1,_xlfn.XLOOKUP(H261,Rates_Raw!$AF$5:$AF$464,Rates_Raw!$F$5:$F$464,""),"")</x:f>
        <x:v>351</x:v>
      </x:c>
      <x:c r="L261" s="50" t="n">
        <x:f>IF(I261=1,IFERROR(VALUE(SUBSTITUTE(_xlfn.XLOOKUP(H261,Rates_Raw!$AF$5:$AF$464,Rates_Raw!$L$5:$L$464,""),"$","")),""),"")</x:f>
        <x:v>181.6</x:v>
      </x:c>
      <x:c r="M261" s="50" t="n">
        <x:f>IF(OR(G261="",L261=""),"",ROUND(G261-L261,4))</x:f>
        <x:v>0</x:v>
      </x:c>
      <x:c r="N261" t="str">
        <x:f>IF(I261=0,"NO MATCH",IF(I261&gt;1,"AMBIGUOUS",IF(EXACT(TRIM(E261),TRIM(J261)),"EXACT","TITLE VARIANT")))</x:f>
        <x:v>EXACT</x:v>
      </x:c>
      <x:c r="O261" t="str">
        <x:f>IF(I261&lt;&gt;1,"NOT TESTED",IF(OR(G261="",L261=""),"MISSING",IF(ABS(M261)&lt;=Guide!$B$16,"PASS","REVIEW")))</x:f>
        <x:v>PASS</x:v>
      </x:c>
      <x:c r="P261" s="52" t="n">
        <x:f>IF(I261=1,IFERROR(VALUE(SUBSTITUTE(SUBSTITUTE(_xlfn.XLOOKUP(H261,Rates_Raw!$AF$5:$AF$464,Rates_Raw!$I$5:$I$464,""),"$",""),",","")),""),"")</x:f>
        <x:v>14528</x:v>
      </x:c>
      <x:c r="Q261" s="52" t="n">
        <x:f>IF(P261="","",P261*Guide!$B$15)</x:f>
        <x:v>377728</x:v>
      </x:c>
      <x:c r="R261" t="str">
        <x:f>IF(I261=0,"UNMATCHED",IF(I261&gt;1,"DUPLICATE KEY",IF(OR(N261="TITLE VARIANT",O261="REVIEW",O261="MISSING"),"REVIEW","VERIFIED")))</x:f>
        <x:v>VERIFIED</x:v>
      </x:c>
      <x:c r="S261" s="46" t="str">
        <x:v>Not Reviewed</x:v>
      </x:c>
      <x:c r="T261" s="48"/>
    </x:row>
    <x:row r="262">
      <x:c r="A262" t="n">
        <x:f>Plan_Raw!A262</x:f>
        <x:v>1135</x:v>
      </x:c>
      <x:c r="B262" t="str">
        <x:f>Plan_Raw!D262</x:f>
        <x:v>1117</x:v>
      </x:c>
      <x:c r="C262" t="str">
        <x:f>LEFT(Plan_Raw!B262,10)</x:f>
        <x:v>2025-07-01</x:v>
      </x:c>
      <x:c r="D262" t="str">
        <x:f>Plan_Raw!F262</x:f>
        <x:v>COMMN</x:v>
      </x:c>
      <x:c r="E262" t="str">
        <x:f>Plan_Raw!E262</x:f>
        <x:v>COO - Retirement System</x:v>
      </x:c>
      <x:c r="F262" t="str">
        <x:f>Plan_Raw!C262</x:f>
        <x:v>1117B</x:v>
      </x:c>
      <x:c r="G262" s="50" t="n">
        <x:f>IF(Plan_Raw!G262="","",IFERROR(VALUE(Plan_Raw!G262),""))</x:f>
        <x:v>185.25</x:v>
      </x:c>
      <x:c r="H262" t="str">
        <x:f>Plan_Raw!AH262</x:f>
        <x:v>1117|COMMN|2025-07-01</x:v>
      </x:c>
      <x:c r="I262" t="n">
        <x:f>COUNTIF(Rates_Raw!$AF$5:$AF$464,H262)</x:f>
        <x:v>1</x:v>
      </x:c>
      <x:c r="J262" t="str">
        <x:f>IF(I262=1,_xlfn.XLOOKUP(H262,Rates_Raw!$AF$5:$AF$464,Rates_Raw!$E$5:$E$464,""),"")</x:f>
        <x:v>COO - Retirement System</x:v>
      </x:c>
      <x:c r="K262" t="n">
        <x:f>IF(I262=1,_xlfn.XLOOKUP(H262,Rates_Raw!$AF$5:$AF$464,Rates_Raw!$F$5:$F$464,""),"")</x:f>
        <x:v>351</x:v>
      </x:c>
      <x:c r="L262" s="50" t="n">
        <x:f>IF(I262=1,IFERROR(VALUE(SUBSTITUTE(_xlfn.XLOOKUP(H262,Rates_Raw!$AF$5:$AF$464,Rates_Raw!$L$5:$L$464,""),"$","")),""),"")</x:f>
        <x:v>185.25</x:v>
      </x:c>
      <x:c r="M262" s="50" t="n">
        <x:f>IF(OR(G262="",L262=""),"",ROUND(G262-L262,4))</x:f>
        <x:v>0</x:v>
      </x:c>
      <x:c r="N262" t="str">
        <x:f>IF(I262=0,"NO MATCH",IF(I262&gt;1,"AMBIGUOUS",IF(EXACT(TRIM(E262),TRIM(J262)),"EXACT","TITLE VARIANT")))</x:f>
        <x:v>EXACT</x:v>
      </x:c>
      <x:c r="O262" t="str">
        <x:f>IF(I262&lt;&gt;1,"NOT TESTED",IF(OR(G262="",L262=""),"MISSING",IF(ABS(M262)&lt;=Guide!$B$16,"PASS","REVIEW")))</x:f>
        <x:v>PASS</x:v>
      </x:c>
      <x:c r="P262" s="52" t="n">
        <x:f>IF(I262=1,IFERROR(VALUE(SUBSTITUTE(SUBSTITUTE(_xlfn.XLOOKUP(H262,Rates_Raw!$AF$5:$AF$464,Rates_Raw!$I$5:$I$464,""),"$",""),",","")),""),"")</x:f>
        <x:v>14820</x:v>
      </x:c>
      <x:c r="Q262" s="52" t="n">
        <x:f>IF(P262="","",P262*Guide!$B$15)</x:f>
        <x:v>385320</x:v>
      </x:c>
      <x:c r="R262" t="str">
        <x:f>IF(I262=0,"UNMATCHED",IF(I262&gt;1,"DUPLICATE KEY",IF(OR(N262="TITLE VARIANT",O262="REVIEW",O262="MISSING"),"REVIEW","VERIFIED")))</x:f>
        <x:v>VERIFIED</x:v>
      </x:c>
      <x:c r="S262" s="46" t="str">
        <x:v>Not Reviewed</x:v>
      </x:c>
      <x:c r="T262" s="48"/>
    </x:row>
    <x:row r="263">
      <x:c r="A263" t="n">
        <x:f>Plan_Raw!A263</x:f>
        <x:v>1136</x:v>
      </x:c>
      <x:c r="B263" t="str">
        <x:f>Plan_Raw!D263</x:f>
        <x:v>1117</x:v>
      </x:c>
      <x:c r="C263" t="str">
        <x:f>LEFT(Plan_Raw!B263,10)</x:f>
        <x:v>2026-01-03</x:v>
      </x:c>
      <x:c r="D263" t="str">
        <x:f>Plan_Raw!F263</x:f>
        <x:v>COMMN</x:v>
      </x:c>
      <x:c r="E263" t="str">
        <x:f>Plan_Raw!E263</x:f>
        <x:v>COO - Retirement System</x:v>
      </x:c>
      <x:c r="F263" t="str">
        <x:f>Plan_Raw!C263</x:f>
        <x:v>1117C</x:v>
      </x:c>
      <x:c r="G263" s="50" t="n">
        <x:f>IF(Plan_Raw!G263="","",IFERROR(VALUE(Plan_Raw!G263),""))</x:f>
        <x:v>188.025</x:v>
      </x:c>
      <x:c r="H263" t="str">
        <x:f>Plan_Raw!AH263</x:f>
        <x:v>1117|COMMN|2026-01-03</x:v>
      </x:c>
      <x:c r="I263" t="n">
        <x:f>COUNTIF(Rates_Raw!$AF$5:$AF$464,H263)</x:f>
        <x:v>1</x:v>
      </x:c>
      <x:c r="J263" t="str">
        <x:f>IF(I263=1,_xlfn.XLOOKUP(H263,Rates_Raw!$AF$5:$AF$464,Rates_Raw!$E$5:$E$464,""),"")</x:f>
        <x:v>COO - Retirement System</x:v>
      </x:c>
      <x:c r="K263" t="n">
        <x:f>IF(I263=1,_xlfn.XLOOKUP(H263,Rates_Raw!$AF$5:$AF$464,Rates_Raw!$F$5:$F$464,""),"")</x:f>
        <x:v>351</x:v>
      </x:c>
      <x:c r="L263" s="50" t="n">
        <x:f>IF(I263=1,IFERROR(VALUE(SUBSTITUTE(_xlfn.XLOOKUP(H263,Rates_Raw!$AF$5:$AF$464,Rates_Raw!$L$5:$L$464,""),"$","")),""),"")</x:f>
        <x:v>188.025</x:v>
      </x:c>
      <x:c r="M263" s="50" t="n">
        <x:f>IF(OR(G263="",L263=""),"",ROUND(G263-L263,4))</x:f>
        <x:v>0</x:v>
      </x:c>
      <x:c r="N263" t="str">
        <x:f>IF(I263=0,"NO MATCH",IF(I263&gt;1,"AMBIGUOUS",IF(EXACT(TRIM(E263),TRIM(J263)),"EXACT","TITLE VARIANT")))</x:f>
        <x:v>EXACT</x:v>
      </x:c>
      <x:c r="O263" t="str">
        <x:f>IF(I263&lt;&gt;1,"NOT TESTED",IF(OR(G263="",L263=""),"MISSING",IF(ABS(M263)&lt;=Guide!$B$16,"PASS","REVIEW")))</x:f>
        <x:v>PASS</x:v>
      </x:c>
      <x:c r="P263" s="52" t="n">
        <x:f>IF(I263=1,IFERROR(VALUE(SUBSTITUTE(SUBSTITUTE(_xlfn.XLOOKUP(H263,Rates_Raw!$AF$5:$AF$464,Rates_Raw!$I$5:$I$464,""),"$",""),",","")),""),"")</x:f>
        <x:v>15042</x:v>
      </x:c>
      <x:c r="Q263" s="52" t="n">
        <x:f>IF(P263="","",P263*Guide!$B$15)</x:f>
        <x:v>391092</x:v>
      </x:c>
      <x:c r="R263" t="str">
        <x:f>IF(I263=0,"UNMATCHED",IF(I263&gt;1,"DUPLICATE KEY",IF(OR(N263="TITLE VARIANT",O263="REVIEW",O263="MISSING"),"REVIEW","VERIFIED")))</x:f>
        <x:v>VERIFIED</x:v>
      </x:c>
      <x:c r="S263" s="46" t="str">
        <x:v>Not Reviewed</x:v>
      </x:c>
      <x:c r="T263" s="48"/>
    </x:row>
    <x:row r="264">
      <x:c r="A264" t="n">
        <x:f>Plan_Raw!A264</x:f>
        <x:v>1137</x:v>
      </x:c>
      <x:c r="B264" t="str">
        <x:f>Plan_Raw!D264</x:f>
        <x:v>1117</x:v>
      </x:c>
      <x:c r="C264" t="str">
        <x:f>LEFT(Plan_Raw!B264,10)</x:f>
        <x:v>2026-07-01</x:v>
      </x:c>
      <x:c r="D264" t="str">
        <x:f>Plan_Raw!F264</x:f>
        <x:v>COMMN</x:v>
      </x:c>
      <x:c r="E264" t="str">
        <x:f>Plan_Raw!E264</x:f>
        <x:v>COO - Retirement System</x:v>
      </x:c>
      <x:c r="F264" t="str">
        <x:f>Plan_Raw!C264</x:f>
        <x:v>1117D</x:v>
      </x:c>
      <x:c r="G264" s="50" t="n">
        <x:f>IF(Plan_Raw!G264="","",IFERROR(VALUE(Plan_Raw!G264),""))</x:f>
        <x:v>191.7875</x:v>
      </x:c>
      <x:c r="H264" t="str">
        <x:f>Plan_Raw!AH264</x:f>
        <x:v>1117|COMMN|2026-07-01</x:v>
      </x:c>
      <x:c r="I264" t="n">
        <x:f>COUNTIF(Rates_Raw!$AF$5:$AF$464,H264)</x:f>
        <x:v>0</x:v>
      </x:c>
      <x:c r="J264" t="str">
        <x:f>IF(I264=1,_xlfn.XLOOKUP(H264,Rates_Raw!$AF$5:$AF$464,Rates_Raw!$E$5:$E$464,""),"")</x:f>
      </x:c>
      <x:c r="K264" t="str">
        <x:f>IF(I264=1,_xlfn.XLOOKUP(H264,Rates_Raw!$AF$5:$AF$464,Rates_Raw!$F$5:$F$464,""),"")</x:f>
      </x:c>
      <x:c r="L264" s="50" t="str">
        <x:f>IF(I264=1,IFERROR(VALUE(SUBSTITUTE(_xlfn.XLOOKUP(H264,Rates_Raw!$AF$5:$AF$464,Rates_Raw!$L$5:$L$464,""),"$","")),""),"")</x:f>
      </x:c>
      <x:c r="M264" s="50" t="str">
        <x:f>IF(OR(G264="",L264=""),"",ROUND(G264-L264,4))</x:f>
      </x:c>
      <x:c r="N264" t="str">
        <x:f>IF(I264=0,"NO MATCH",IF(I264&gt;1,"AMBIGUOUS",IF(EXACT(TRIM(E264),TRIM(J264)),"EXACT","TITLE VARIANT")))</x:f>
        <x:v>NO MATCH</x:v>
      </x:c>
      <x:c r="O264" t="str">
        <x:f>IF(I264&lt;&gt;1,"NOT TESTED",IF(OR(G264="",L264=""),"MISSING",IF(ABS(M264)&lt;=Guide!$B$16,"PASS","REVIEW")))</x:f>
        <x:v>NOT TESTED</x:v>
      </x:c>
      <x:c r="P264" s="52" t="str">
        <x:f>IF(I264=1,IFERROR(VALUE(SUBSTITUTE(SUBSTITUTE(_xlfn.XLOOKUP(H264,Rates_Raw!$AF$5:$AF$464,Rates_Raw!$I$5:$I$464,""),"$",""),",","")),""),"")</x:f>
      </x:c>
      <x:c r="Q264" s="52" t="str">
        <x:f>IF(P264="","",P264*Guide!$B$15)</x:f>
      </x:c>
      <x:c r="R264" t="str">
        <x:f>IF(I264=0,"UNMATCHED",IF(I264&gt;1,"DUPLICATE KEY",IF(OR(N264="TITLE VARIANT",O264="REVIEW",O264="MISSING"),"REVIEW","VERIFIED")))</x:f>
        <x:v>UNMATCHED</x:v>
      </x:c>
      <x:c r="S264" s="46" t="str">
        <x:v>Not Reviewed</x:v>
      </x:c>
      <x:c r="T264" s="48"/>
    </x:row>
    <x:row r="265">
      <x:c r="A265" t="n">
        <x:f>Plan_Raw!A265</x:f>
        <x:v>1351</x:v>
      </x:c>
      <x:c r="B265" t="str">
        <x:f>Plan_Raw!D265</x:f>
        <x:v>1222</x:v>
      </x:c>
      <x:c r="C265" t="str">
        <x:f>LEFT(Plan_Raw!B265,10)</x:f>
        <x:v>2020-07-01</x:v>
      </x:c>
      <x:c r="D265" t="str">
        <x:f>Plan_Raw!F265</x:f>
        <x:v>COMMN</x:v>
      </x:c>
      <x:c r="E265" t="str">
        <x:f>Plan_Raw!E265</x:f>
        <x:v>Senior Payroll And Personnel Clerk</x:v>
      </x:c>
      <x:c r="F265" t="str">
        <x:f>Plan_Raw!C265</x:f>
        <x:v>1222S</x:v>
      </x:c>
      <x:c r="G265" s="50" t="n">
        <x:f>IF(Plan_Raw!G265="","",IFERROR(VALUE(Plan_Raw!G265),""))</x:f>
        <x:v>35.1125</x:v>
      </x:c>
      <x:c r="H265" t="str">
        <x:f>Plan_Raw!AH265</x:f>
        <x:v>1222|COMMN|2020-07-01</x:v>
      </x:c>
      <x:c r="I265" t="n">
        <x:f>COUNTIF(Rates_Raw!$AF$5:$AF$464,H265)</x:f>
        <x:v>1</x:v>
      </x:c>
      <x:c r="J265" t="str">
        <x:f>IF(I265=1,_xlfn.XLOOKUP(H265,Rates_Raw!$AF$5:$AF$464,Rates_Raw!$E$5:$E$464,""),"")</x:f>
        <x:v>Senior Payroll And Personnel Clerk</x:v>
      </x:c>
      <x:c r="K265" t="n">
        <x:f>IF(I265=1,_xlfn.XLOOKUP(H265,Rates_Raw!$AF$5:$AF$464,Rates_Raw!$F$5:$F$464,""),"")</x:f>
        <x:v>790</x:v>
      </x:c>
      <x:c r="L265" s="50" t="n">
        <x:f>IF(I265=1,IFERROR(VALUE(SUBSTITUTE(_xlfn.XLOOKUP(H265,Rates_Raw!$AF$5:$AF$464,Rates_Raw!$L$5:$L$464,""),"$","")),""),"")</x:f>
        <x:v>35.1125</x:v>
      </x:c>
      <x:c r="M265" s="50" t="n">
        <x:f>IF(OR(G265="",L265=""),"",ROUND(G265-L265,4))</x:f>
        <x:v>0</x:v>
      </x:c>
      <x:c r="N265" t="str">
        <x:f>IF(I265=0,"NO MATCH",IF(I265&gt;1,"AMBIGUOUS",IF(EXACT(TRIM(E265),TRIM(J265)),"EXACT","TITLE VARIANT")))</x:f>
        <x:v>EXACT</x:v>
      </x:c>
      <x:c r="O265" t="str">
        <x:f>IF(I265&lt;&gt;1,"NOT TESTED",IF(OR(G265="",L265=""),"MISSING",IF(ABS(M265)&lt;=Guide!$B$16,"PASS","REVIEW")))</x:f>
        <x:v>PASS</x:v>
      </x:c>
      <x:c r="P265" s="52" t="n">
        <x:f>IF(I265=1,IFERROR(VALUE(SUBSTITUTE(SUBSTITUTE(_xlfn.XLOOKUP(H265,Rates_Raw!$AF$5:$AF$464,Rates_Raw!$I$5:$I$464,""),"$",""),",","")),""),"")</x:f>
        <x:v>2809</x:v>
      </x:c>
      <x:c r="Q265" s="52" t="n">
        <x:f>IF(P265="","",P265*Guide!$B$15)</x:f>
        <x:v>73034</x:v>
      </x:c>
      <x:c r="R265" t="str">
        <x:f>IF(I265=0,"UNMATCHED",IF(I265&gt;1,"DUPLICATE KEY",IF(OR(N265="TITLE VARIANT",O265="REVIEW",O265="MISSING"),"REVIEW","VERIFIED")))</x:f>
        <x:v>VERIFIED</x:v>
      </x:c>
      <x:c r="S265" s="46" t="str">
        <x:v>Not Reviewed</x:v>
      </x:c>
      <x:c r="T265" s="48"/>
    </x:row>
    <x:row r="266">
      <x:c r="A266" t="n">
        <x:f>Plan_Raw!A266</x:f>
        <x:v>1357</x:v>
      </x:c>
      <x:c r="B266" t="str">
        <x:f>Plan_Raw!D266</x:f>
        <x:v>1222</x:v>
      </x:c>
      <x:c r="C266" t="str">
        <x:f>LEFT(Plan_Raw!B266,10)</x:f>
        <x:v>2024-01-06</x:v>
      </x:c>
      <x:c r="D266" t="str">
        <x:f>Plan_Raw!F266</x:f>
        <x:v>COMMN</x:v>
      </x:c>
      <x:c r="E266" t="str">
        <x:f>Plan_Raw!E266</x:f>
        <x:v>Senior Payroll And Personnel Clerk</x:v>
      </x:c>
      <x:c r="F266" t="str">
        <x:f>Plan_Raw!C266</x:f>
        <x:v>1222Y</x:v>
      </x:c>
      <x:c r="G266" s="50" t="n">
        <x:f>IF(Plan_Raw!G266="","",IFERROR(VALUE(Plan_Raw!G266),""))</x:f>
        <x:v>41.5</x:v>
      </x:c>
      <x:c r="H266" t="str">
        <x:f>Plan_Raw!AH266</x:f>
        <x:v>1222|COMMN|2024-01-06</x:v>
      </x:c>
      <x:c r="I266" t="n">
        <x:f>COUNTIF(Rates_Raw!$AF$5:$AF$464,H266)</x:f>
        <x:v>1</x:v>
      </x:c>
      <x:c r="J266" t="str">
        <x:f>IF(I266=1,_xlfn.XLOOKUP(H266,Rates_Raw!$AF$5:$AF$464,Rates_Raw!$E$5:$E$464,""),"")</x:f>
        <x:v>Senior Payroll And Personnel Clerk</x:v>
      </x:c>
      <x:c r="K266" t="n">
        <x:f>IF(I266=1,_xlfn.XLOOKUP(H266,Rates_Raw!$AF$5:$AF$464,Rates_Raw!$F$5:$F$464,""),"")</x:f>
        <x:v>790</x:v>
      </x:c>
      <x:c r="L266" s="50" t="n">
        <x:f>IF(I266=1,IFERROR(VALUE(SUBSTITUTE(_xlfn.XLOOKUP(H266,Rates_Raw!$AF$5:$AF$464,Rates_Raw!$L$5:$L$464,""),"$","")),""),"")</x:f>
        <x:v>41.5</x:v>
      </x:c>
      <x:c r="M266" s="50" t="n">
        <x:f>IF(OR(G266="",L266=""),"",ROUND(G266-L266,4))</x:f>
        <x:v>0</x:v>
      </x:c>
      <x:c r="N266" t="str">
        <x:f>IF(I266=0,"NO MATCH",IF(I266&gt;1,"AMBIGUOUS",IF(EXACT(TRIM(E266),TRIM(J266)),"EXACT","TITLE VARIANT")))</x:f>
        <x:v>EXACT</x:v>
      </x:c>
      <x:c r="O266" t="str">
        <x:f>IF(I266&lt;&gt;1,"NOT TESTED",IF(OR(G266="",L266=""),"MISSING",IF(ABS(M266)&lt;=Guide!$B$16,"PASS","REVIEW")))</x:f>
        <x:v>PASS</x:v>
      </x:c>
      <x:c r="P266" s="52" t="n">
        <x:f>IF(I266=1,IFERROR(VALUE(SUBSTITUTE(SUBSTITUTE(_xlfn.XLOOKUP(H266,Rates_Raw!$AF$5:$AF$464,Rates_Raw!$I$5:$I$464,""),"$",""),",","")),""),"")</x:f>
        <x:v>3320</x:v>
      </x:c>
      <x:c r="Q266" s="52" t="n">
        <x:f>IF(P266="","",P266*Guide!$B$15)</x:f>
        <x:v>86320</x:v>
      </x:c>
      <x:c r="R266" t="str">
        <x:f>IF(I266=0,"UNMATCHED",IF(I266&gt;1,"DUPLICATE KEY",IF(OR(N266="TITLE VARIANT",O266="REVIEW",O266="MISSING"),"REVIEW","VERIFIED")))</x:f>
        <x:v>VERIFIED</x:v>
      </x:c>
      <x:c r="S266" s="46" t="str">
        <x:v>Not Reviewed</x:v>
      </x:c>
      <x:c r="T266" s="48"/>
    </x:row>
    <x:row r="267">
      <x:c r="A267" t="n">
        <x:f>Plan_Raw!A267</x:f>
        <x:v>1369</x:v>
      </x:c>
      <x:c r="B267" t="str">
        <x:f>Plan_Raw!D267</x:f>
        <x:v>1222</x:v>
      </x:c>
      <x:c r="C267" t="str">
        <x:f>LEFT(Plan_Raw!B267,10)</x:f>
        <x:v>2024-01-06</x:v>
      </x:c>
      <x:c r="D267" t="str">
        <x:f>Plan_Raw!F267</x:f>
        <x:v>SFMTA</x:v>
      </x:c>
      <x:c r="E267" t="str">
        <x:f>Plan_Raw!E267</x:f>
        <x:v>Senior Payroll And Personnel Clerk</x:v>
      </x:c>
      <x:c r="F267" t="str">
        <x:f>Plan_Raw!C267</x:f>
        <x:v>1222Y</x:v>
      </x:c>
      <x:c r="G267" s="50" t="n">
        <x:f>IF(Plan_Raw!G267="","",IFERROR(VALUE(Plan_Raw!G267),""))</x:f>
        <x:v>41.5</x:v>
      </x:c>
      <x:c r="H267" t="str">
        <x:f>Plan_Raw!AH267</x:f>
        <x:v>1222|SFMTA|2024-01-06</x:v>
      </x:c>
      <x:c r="I267" t="n">
        <x:f>COUNTIF(Rates_Raw!$AF$5:$AF$464,H267)</x:f>
        <x:v>1</x:v>
      </x:c>
      <x:c r="J267" t="str">
        <x:f>IF(I267=1,_xlfn.XLOOKUP(H267,Rates_Raw!$AF$5:$AF$464,Rates_Raw!$E$5:$E$464,""),"")</x:f>
        <x:v>Senior Payroll And Personnel Clerk</x:v>
      </x:c>
      <x:c r="K267" t="n">
        <x:f>IF(I267=1,_xlfn.XLOOKUP(H267,Rates_Raw!$AF$5:$AF$464,Rates_Raw!$F$5:$F$464,""),"")</x:f>
        <x:v>790</x:v>
      </x:c>
      <x:c r="L267" s="50" t="n">
        <x:f>IF(I267=1,IFERROR(VALUE(SUBSTITUTE(_xlfn.XLOOKUP(H267,Rates_Raw!$AF$5:$AF$464,Rates_Raw!$L$5:$L$464,""),"$","")),""),"")</x:f>
        <x:v>41.5</x:v>
      </x:c>
      <x:c r="M267" s="50" t="n">
        <x:f>IF(OR(G267="",L267=""),"",ROUND(G267-L267,4))</x:f>
        <x:v>0</x:v>
      </x:c>
      <x:c r="N267" t="str">
        <x:f>IF(I267=0,"NO MATCH",IF(I267&gt;1,"AMBIGUOUS",IF(EXACT(TRIM(E267),TRIM(J267)),"EXACT","TITLE VARIANT")))</x:f>
        <x:v>EXACT</x:v>
      </x:c>
      <x:c r="O267" t="str">
        <x:f>IF(I267&lt;&gt;1,"NOT TESTED",IF(OR(G267="",L267=""),"MISSING",IF(ABS(M267)&lt;=Guide!$B$16,"PASS","REVIEW")))</x:f>
        <x:v>PASS</x:v>
      </x:c>
      <x:c r="P267" s="52" t="n">
        <x:f>IF(I267=1,IFERROR(VALUE(SUBSTITUTE(SUBSTITUTE(_xlfn.XLOOKUP(H267,Rates_Raw!$AF$5:$AF$464,Rates_Raw!$I$5:$I$464,""),"$",""),",","")),""),"")</x:f>
        <x:v>3320</x:v>
      </x:c>
      <x:c r="Q267" s="52" t="n">
        <x:f>IF(P267="","",P267*Guide!$B$15)</x:f>
        <x:v>86320</x:v>
      </x:c>
      <x:c r="R267" t="str">
        <x:f>IF(I267=0,"UNMATCHED",IF(I267&gt;1,"DUPLICATE KEY",IF(OR(N267="TITLE VARIANT",O267="REVIEW",O267="MISSING"),"REVIEW","VERIFIED")))</x:f>
        <x:v>VERIFIED</x:v>
      </x:c>
      <x:c r="S267" s="46" t="str">
        <x:v>Not Reviewed</x:v>
      </x:c>
      <x:c r="T267" s="48"/>
    </x:row>
    <x:row r="268">
      <x:c r="A268" t="n">
        <x:f>Plan_Raw!A268</x:f>
        <x:v>1358</x:v>
      </x:c>
      <x:c r="B268" t="str">
        <x:f>Plan_Raw!D268</x:f>
        <x:v>1222</x:v>
      </x:c>
      <x:c r="C268" t="str">
        <x:f>LEFT(Plan_Raw!B268,10)</x:f>
        <x:v>2024-07-01</x:v>
      </x:c>
      <x:c r="D268" t="str">
        <x:f>Plan_Raw!F268</x:f>
        <x:v>COMMN</x:v>
      </x:c>
      <x:c r="E268" t="str">
        <x:f>Plan_Raw!E268</x:f>
        <x:v>Senior Payroll And Personnel Clerk</x:v>
      </x:c>
      <x:c r="F268" t="str">
        <x:f>Plan_Raw!C268</x:f>
        <x:v>1222Z</x:v>
      </x:c>
      <x:c r="G268" s="50" t="n">
        <x:f>IF(Plan_Raw!G268="","",IFERROR(VALUE(Plan_Raw!G268),""))</x:f>
        <x:v>42.125</x:v>
      </x:c>
      <x:c r="H268" t="str">
        <x:f>Plan_Raw!AH268</x:f>
        <x:v>1222|COMMN|2024-07-01</x:v>
      </x:c>
      <x:c r="I268" t="n">
        <x:f>COUNTIF(Rates_Raw!$AF$5:$AF$464,H268)</x:f>
        <x:v>1</x:v>
      </x:c>
      <x:c r="J268" t="str">
        <x:f>IF(I268=1,_xlfn.XLOOKUP(H268,Rates_Raw!$AF$5:$AF$464,Rates_Raw!$E$5:$E$464,""),"")</x:f>
        <x:v>Senior Payroll And Personnel Clerk</x:v>
      </x:c>
      <x:c r="K268" t="n">
        <x:f>IF(I268=1,_xlfn.XLOOKUP(H268,Rates_Raw!$AF$5:$AF$464,Rates_Raw!$F$5:$F$464,""),"")</x:f>
        <x:v>790</x:v>
      </x:c>
      <x:c r="L268" s="50" t="n">
        <x:f>IF(I268=1,IFERROR(VALUE(SUBSTITUTE(_xlfn.XLOOKUP(H268,Rates_Raw!$AF$5:$AF$464,Rates_Raw!$L$5:$L$464,""),"$","")),""),"")</x:f>
        <x:v>42.125</x:v>
      </x:c>
      <x:c r="M268" s="50" t="n">
        <x:f>IF(OR(G268="",L268=""),"",ROUND(G268-L268,4))</x:f>
        <x:v>0</x:v>
      </x:c>
      <x:c r="N268" t="str">
        <x:f>IF(I268=0,"NO MATCH",IF(I268&gt;1,"AMBIGUOUS",IF(EXACT(TRIM(E268),TRIM(J268)),"EXACT","TITLE VARIANT")))</x:f>
        <x:v>EXACT</x:v>
      </x:c>
      <x:c r="O268" t="str">
        <x:f>IF(I268&lt;&gt;1,"NOT TESTED",IF(OR(G268="",L268=""),"MISSING",IF(ABS(M268)&lt;=Guide!$B$16,"PASS","REVIEW")))</x:f>
        <x:v>PASS</x:v>
      </x:c>
      <x:c r="P268" s="52" t="n">
        <x:f>IF(I268=1,IFERROR(VALUE(SUBSTITUTE(SUBSTITUTE(_xlfn.XLOOKUP(H268,Rates_Raw!$AF$5:$AF$464,Rates_Raw!$I$5:$I$464,""),"$",""),",","")),""),"")</x:f>
        <x:v>3370</x:v>
      </x:c>
      <x:c r="Q268" s="52" t="n">
        <x:f>IF(P268="","",P268*Guide!$B$15)</x:f>
        <x:v>87620</x:v>
      </x:c>
      <x:c r="R268" t="str">
        <x:f>IF(I268=0,"UNMATCHED",IF(I268&gt;1,"DUPLICATE KEY",IF(OR(N268="TITLE VARIANT",O268="REVIEW",O268="MISSING"),"REVIEW","VERIFIED")))</x:f>
        <x:v>VERIFIED</x:v>
      </x:c>
      <x:c r="S268" s="46" t="str">
        <x:v>Not Reviewed</x:v>
      </x:c>
      <x:c r="T268" s="48"/>
    </x:row>
    <x:row r="269">
      <x:c r="A269" t="n">
        <x:f>Plan_Raw!A269</x:f>
        <x:v>1370</x:v>
      </x:c>
      <x:c r="B269" t="str">
        <x:f>Plan_Raw!D269</x:f>
        <x:v>1222</x:v>
      </x:c>
      <x:c r="C269" t="str">
        <x:f>LEFT(Plan_Raw!B269,10)</x:f>
        <x:v>2024-07-01</x:v>
      </x:c>
      <x:c r="D269" t="str">
        <x:f>Plan_Raw!F269</x:f>
        <x:v>SFMTA</x:v>
      </x:c>
      <x:c r="E269" t="str">
        <x:f>Plan_Raw!E269</x:f>
        <x:v>Senior Payroll And Personnel Clerk</x:v>
      </x:c>
      <x:c r="F269" t="str">
        <x:f>Plan_Raw!C269</x:f>
        <x:v>1222Z</x:v>
      </x:c>
      <x:c r="G269" s="50" t="n">
        <x:f>IF(Plan_Raw!G269="","",IFERROR(VALUE(Plan_Raw!G269),""))</x:f>
        <x:v>42.125</x:v>
      </x:c>
      <x:c r="H269" t="str">
        <x:f>Plan_Raw!AH269</x:f>
        <x:v>1222|SFMTA|2024-07-01</x:v>
      </x:c>
      <x:c r="I269" t="n">
        <x:f>COUNTIF(Rates_Raw!$AF$5:$AF$464,H269)</x:f>
        <x:v>1</x:v>
      </x:c>
      <x:c r="J269" t="str">
        <x:f>IF(I269=1,_xlfn.XLOOKUP(H269,Rates_Raw!$AF$5:$AF$464,Rates_Raw!$E$5:$E$464,""),"")</x:f>
        <x:v>Senior Payroll And Personnel Clerk</x:v>
      </x:c>
      <x:c r="K269" t="n">
        <x:f>IF(I269=1,_xlfn.XLOOKUP(H269,Rates_Raw!$AF$5:$AF$464,Rates_Raw!$F$5:$F$464,""),"")</x:f>
        <x:v>790</x:v>
      </x:c>
      <x:c r="L269" s="50" t="n">
        <x:f>IF(I269=1,IFERROR(VALUE(SUBSTITUTE(_xlfn.XLOOKUP(H269,Rates_Raw!$AF$5:$AF$464,Rates_Raw!$L$5:$L$464,""),"$","")),""),"")</x:f>
        <x:v>42.125</x:v>
      </x:c>
      <x:c r="M269" s="50" t="n">
        <x:f>IF(OR(G269="",L269=""),"",ROUND(G269-L269,4))</x:f>
        <x:v>0</x:v>
      </x:c>
      <x:c r="N269" t="str">
        <x:f>IF(I269=0,"NO MATCH",IF(I269&gt;1,"AMBIGUOUS",IF(EXACT(TRIM(E269),TRIM(J269)),"EXACT","TITLE VARIANT")))</x:f>
        <x:v>EXACT</x:v>
      </x:c>
      <x:c r="O269" t="str">
        <x:f>IF(I269&lt;&gt;1,"NOT TESTED",IF(OR(G269="",L269=""),"MISSING",IF(ABS(M269)&lt;=Guide!$B$16,"PASS","REVIEW")))</x:f>
        <x:v>PASS</x:v>
      </x:c>
      <x:c r="P269" s="52" t="n">
        <x:f>IF(I269=1,IFERROR(VALUE(SUBSTITUTE(SUBSTITUTE(_xlfn.XLOOKUP(H269,Rates_Raw!$AF$5:$AF$464,Rates_Raw!$I$5:$I$464,""),"$",""),",","")),""),"")</x:f>
        <x:v>3370</x:v>
      </x:c>
      <x:c r="Q269" s="52" t="n">
        <x:f>IF(P269="","",P269*Guide!$B$15)</x:f>
        <x:v>87620</x:v>
      </x:c>
      <x:c r="R269" t="str">
        <x:f>IF(I269=0,"UNMATCHED",IF(I269&gt;1,"DUPLICATE KEY",IF(OR(N269="TITLE VARIANT",O269="REVIEW",O269="MISSING"),"REVIEW","VERIFIED")))</x:f>
        <x:v>VERIFIED</x:v>
      </x:c>
      <x:c r="S269" s="46" t="str">
        <x:v>Not Reviewed</x:v>
      </x:c>
      <x:c r="T269" s="48"/>
    </x:row>
    <x:row r="270">
      <x:c r="A270" t="n">
        <x:f>Plan_Raw!A270</x:f>
        <x:v>1359</x:v>
      </x:c>
      <x:c r="B270" t="str">
        <x:f>Plan_Raw!D270</x:f>
        <x:v>1222</x:v>
      </x:c>
      <x:c r="C270" t="str">
        <x:f>LEFT(Plan_Raw!B270,10)</x:f>
        <x:v>2025-01-04</x:v>
      </x:c>
      <x:c r="D270" t="str">
        <x:f>Plan_Raw!F270</x:f>
        <x:v>COMMN</x:v>
      </x:c>
      <x:c r="E270" t="str">
        <x:f>Plan_Raw!E270</x:f>
        <x:v>Senior Payroll And Personnel Clerk</x:v>
      </x:c>
      <x:c r="F270" t="str">
        <x:f>Plan_Raw!C270</x:f>
        <x:v>1222A</x:v>
      </x:c>
      <x:c r="G270" s="50" t="n">
        <x:f>IF(Plan_Raw!G270="","",IFERROR(VALUE(Plan_Raw!G270),""))</x:f>
        <x:v>42.7625</x:v>
      </x:c>
      <x:c r="H270" t="str">
        <x:f>Plan_Raw!AH270</x:f>
        <x:v>1222|COMMN|2025-01-04</x:v>
      </x:c>
      <x:c r="I270" t="n">
        <x:f>COUNTIF(Rates_Raw!$AF$5:$AF$464,H270)</x:f>
        <x:v>1</x:v>
      </x:c>
      <x:c r="J270" t="str">
        <x:f>IF(I270=1,_xlfn.XLOOKUP(H270,Rates_Raw!$AF$5:$AF$464,Rates_Raw!$E$5:$E$464,""),"")</x:f>
        <x:v>Senior Payroll And Personnel Clerk</x:v>
      </x:c>
      <x:c r="K270" t="n">
        <x:f>IF(I270=1,_xlfn.XLOOKUP(H270,Rates_Raw!$AF$5:$AF$464,Rates_Raw!$F$5:$F$464,""),"")</x:f>
        <x:v>790</x:v>
      </x:c>
      <x:c r="L270" s="50" t="n">
        <x:f>IF(I270=1,IFERROR(VALUE(SUBSTITUTE(_xlfn.XLOOKUP(H270,Rates_Raw!$AF$5:$AF$464,Rates_Raw!$L$5:$L$464,""),"$","")),""),"")</x:f>
        <x:v>42.7625</x:v>
      </x:c>
      <x:c r="M270" s="50" t="n">
        <x:f>IF(OR(G270="",L270=""),"",ROUND(G270-L270,4))</x:f>
        <x:v>0</x:v>
      </x:c>
      <x:c r="N270" t="str">
        <x:f>IF(I270=0,"NO MATCH",IF(I270&gt;1,"AMBIGUOUS",IF(EXACT(TRIM(E270),TRIM(J270)),"EXACT","TITLE VARIANT")))</x:f>
        <x:v>EXACT</x:v>
      </x:c>
      <x:c r="O270" t="str">
        <x:f>IF(I270&lt;&gt;1,"NOT TESTED",IF(OR(G270="",L270=""),"MISSING",IF(ABS(M270)&lt;=Guide!$B$16,"PASS","REVIEW")))</x:f>
        <x:v>PASS</x:v>
      </x:c>
      <x:c r="P270" s="52" t="n">
        <x:f>IF(I270=1,IFERROR(VALUE(SUBSTITUTE(SUBSTITUTE(_xlfn.XLOOKUP(H270,Rates_Raw!$AF$5:$AF$464,Rates_Raw!$I$5:$I$464,""),"$",""),",","")),""),"")</x:f>
        <x:v>3421</x:v>
      </x:c>
      <x:c r="Q270" s="52" t="n">
        <x:f>IF(P270="","",P270*Guide!$B$15)</x:f>
        <x:v>88946</x:v>
      </x:c>
      <x:c r="R270" t="str">
        <x:f>IF(I270=0,"UNMATCHED",IF(I270&gt;1,"DUPLICATE KEY",IF(OR(N270="TITLE VARIANT",O270="REVIEW",O270="MISSING"),"REVIEW","VERIFIED")))</x:f>
        <x:v>VERIFIED</x:v>
      </x:c>
      <x:c r="S270" s="46" t="str">
        <x:v>Not Reviewed</x:v>
      </x:c>
      <x:c r="T270" s="48"/>
    </x:row>
    <x:row r="271">
      <x:c r="A271" t="n">
        <x:f>Plan_Raw!A271</x:f>
        <x:v>1371</x:v>
      </x:c>
      <x:c r="B271" t="str">
        <x:f>Plan_Raw!D271</x:f>
        <x:v>1222</x:v>
      </x:c>
      <x:c r="C271" t="str">
        <x:f>LEFT(Plan_Raw!B271,10)</x:f>
        <x:v>2025-01-04</x:v>
      </x:c>
      <x:c r="D271" t="str">
        <x:f>Plan_Raw!F271</x:f>
        <x:v>SFMTA</x:v>
      </x:c>
      <x:c r="E271" t="str">
        <x:f>Plan_Raw!E271</x:f>
        <x:v>Senior Payroll And Personnel Clerk</x:v>
      </x:c>
      <x:c r="F271" t="str">
        <x:f>Plan_Raw!C271</x:f>
        <x:v>1222A</x:v>
      </x:c>
      <x:c r="G271" s="50" t="n">
        <x:f>IF(Plan_Raw!G271="","",IFERROR(VALUE(Plan_Raw!G271),""))</x:f>
        <x:v>42.7625</x:v>
      </x:c>
      <x:c r="H271" t="str">
        <x:f>Plan_Raw!AH271</x:f>
        <x:v>1222|SFMTA|2025-01-04</x:v>
      </x:c>
      <x:c r="I271" t="n">
        <x:f>COUNTIF(Rates_Raw!$AF$5:$AF$464,H271)</x:f>
        <x:v>1</x:v>
      </x:c>
      <x:c r="J271" t="str">
        <x:f>IF(I271=1,_xlfn.XLOOKUP(H271,Rates_Raw!$AF$5:$AF$464,Rates_Raw!$E$5:$E$464,""),"")</x:f>
        <x:v>Senior Payroll And Personnel Clerk</x:v>
      </x:c>
      <x:c r="K271" t="n">
        <x:f>IF(I271=1,_xlfn.XLOOKUP(H271,Rates_Raw!$AF$5:$AF$464,Rates_Raw!$F$5:$F$464,""),"")</x:f>
        <x:v>790</x:v>
      </x:c>
      <x:c r="L271" s="50" t="n">
        <x:f>IF(I271=1,IFERROR(VALUE(SUBSTITUTE(_xlfn.XLOOKUP(H271,Rates_Raw!$AF$5:$AF$464,Rates_Raw!$L$5:$L$464,""),"$","")),""),"")</x:f>
        <x:v>42.7625</x:v>
      </x:c>
      <x:c r="M271" s="50" t="n">
        <x:f>IF(OR(G271="",L271=""),"",ROUND(G271-L271,4))</x:f>
        <x:v>0</x:v>
      </x:c>
      <x:c r="N271" t="str">
        <x:f>IF(I271=0,"NO MATCH",IF(I271&gt;1,"AMBIGUOUS",IF(EXACT(TRIM(E271),TRIM(J271)),"EXACT","TITLE VARIANT")))</x:f>
        <x:v>EXACT</x:v>
      </x:c>
      <x:c r="O271" t="str">
        <x:f>IF(I271&lt;&gt;1,"NOT TESTED",IF(OR(G271="",L271=""),"MISSING",IF(ABS(M271)&lt;=Guide!$B$16,"PASS","REVIEW")))</x:f>
        <x:v>PASS</x:v>
      </x:c>
      <x:c r="P271" s="52" t="n">
        <x:f>IF(I271=1,IFERROR(VALUE(SUBSTITUTE(SUBSTITUTE(_xlfn.XLOOKUP(H271,Rates_Raw!$AF$5:$AF$464,Rates_Raw!$I$5:$I$464,""),"$",""),",","")),""),"")</x:f>
        <x:v>3421</x:v>
      </x:c>
      <x:c r="Q271" s="52" t="n">
        <x:f>IF(P271="","",P271*Guide!$B$15)</x:f>
        <x:v>88946</x:v>
      </x:c>
      <x:c r="R271" t="str">
        <x:f>IF(I271=0,"UNMATCHED",IF(I271&gt;1,"DUPLICATE KEY",IF(OR(N271="TITLE VARIANT",O271="REVIEW",O271="MISSING"),"REVIEW","VERIFIED")))</x:f>
        <x:v>VERIFIED</x:v>
      </x:c>
      <x:c r="S271" s="46" t="str">
        <x:v>Not Reviewed</x:v>
      </x:c>
      <x:c r="T271" s="48"/>
    </x:row>
    <x:row r="272">
      <x:c r="A272" t="n">
        <x:f>Plan_Raw!A272</x:f>
        <x:v>1360</x:v>
      </x:c>
      <x:c r="B272" t="str">
        <x:f>Plan_Raw!D272</x:f>
        <x:v>1222</x:v>
      </x:c>
      <x:c r="C272" t="str">
        <x:f>LEFT(Plan_Raw!B272,10)</x:f>
        <x:v>2025-07-01</x:v>
      </x:c>
      <x:c r="D272" t="str">
        <x:f>Plan_Raw!F272</x:f>
        <x:v>COMMN</x:v>
      </x:c>
      <x:c r="E272" t="str">
        <x:f>Plan_Raw!E272</x:f>
        <x:v>Sr Payroll &amp; Personnel Clerk</x:v>
      </x:c>
      <x:c r="F272" t="str">
        <x:f>Plan_Raw!C272</x:f>
        <x:v>1222B</x:v>
      </x:c>
      <x:c r="G272" s="50" t="n">
        <x:f>IF(Plan_Raw!G272="","",IFERROR(VALUE(Plan_Raw!G272),""))</x:f>
        <x:v>43.625</x:v>
      </x:c>
      <x:c r="H272" t="str">
        <x:f>Plan_Raw!AH272</x:f>
        <x:v>1222|COMMN|2025-07-01</x:v>
      </x:c>
      <x:c r="I272" t="n">
        <x:f>COUNTIF(Rates_Raw!$AF$5:$AF$464,H272)</x:f>
        <x:v>1</x:v>
      </x:c>
      <x:c r="J272" t="str">
        <x:f>IF(I272=1,_xlfn.XLOOKUP(H272,Rates_Raw!$AF$5:$AF$464,Rates_Raw!$E$5:$E$464,""),"")</x:f>
        <x:v>Sr Payroll &amp; Personnel Clerk</x:v>
      </x:c>
      <x:c r="K272" t="n">
        <x:f>IF(I272=1,_xlfn.XLOOKUP(H272,Rates_Raw!$AF$5:$AF$464,Rates_Raw!$F$5:$F$464,""),"")</x:f>
        <x:v>790</x:v>
      </x:c>
      <x:c r="L272" s="50" t="n">
        <x:f>IF(I272=1,IFERROR(VALUE(SUBSTITUTE(_xlfn.XLOOKUP(H272,Rates_Raw!$AF$5:$AF$464,Rates_Raw!$L$5:$L$464,""),"$","")),""),"")</x:f>
        <x:v>43.625</x:v>
      </x:c>
      <x:c r="M272" s="50" t="n">
        <x:f>IF(OR(G272="",L272=""),"",ROUND(G272-L272,4))</x:f>
        <x:v>0</x:v>
      </x:c>
      <x:c r="N272" t="str">
        <x:f>IF(I272=0,"NO MATCH",IF(I272&gt;1,"AMBIGUOUS",IF(EXACT(TRIM(E272),TRIM(J272)),"EXACT","TITLE VARIANT")))</x:f>
        <x:v>EXACT</x:v>
      </x:c>
      <x:c r="O272" t="str">
        <x:f>IF(I272&lt;&gt;1,"NOT TESTED",IF(OR(G272="",L272=""),"MISSING",IF(ABS(M272)&lt;=Guide!$B$16,"PASS","REVIEW")))</x:f>
        <x:v>PASS</x:v>
      </x:c>
      <x:c r="P272" s="52" t="n">
        <x:f>IF(I272=1,IFERROR(VALUE(SUBSTITUTE(SUBSTITUTE(_xlfn.XLOOKUP(H272,Rates_Raw!$AF$5:$AF$464,Rates_Raw!$I$5:$I$464,""),"$",""),",","")),""),"")</x:f>
        <x:v>3490</x:v>
      </x:c>
      <x:c r="Q272" s="52" t="n">
        <x:f>IF(P272="","",P272*Guide!$B$15)</x:f>
        <x:v>90740</x:v>
      </x:c>
      <x:c r="R272" t="str">
        <x:f>IF(I272=0,"UNMATCHED",IF(I272&gt;1,"DUPLICATE KEY",IF(OR(N272="TITLE VARIANT",O272="REVIEW",O272="MISSING"),"REVIEW","VERIFIED")))</x:f>
        <x:v>VERIFIED</x:v>
      </x:c>
      <x:c r="S272" s="46" t="str">
        <x:v>Not Reviewed</x:v>
      </x:c>
      <x:c r="T272" s="48"/>
    </x:row>
    <x:row r="273">
      <x:c r="A273" t="n">
        <x:f>Plan_Raw!A273</x:f>
        <x:v>1372</x:v>
      </x:c>
      <x:c r="B273" t="str">
        <x:f>Plan_Raw!D273</x:f>
        <x:v>1222</x:v>
      </x:c>
      <x:c r="C273" t="str">
        <x:f>LEFT(Plan_Raw!B273,10)</x:f>
        <x:v>2025-07-01</x:v>
      </x:c>
      <x:c r="D273" t="str">
        <x:f>Plan_Raw!F273</x:f>
        <x:v>SFMTA</x:v>
      </x:c>
      <x:c r="E273" t="str">
        <x:f>Plan_Raw!E273</x:f>
        <x:v>Sr Payroll &amp; Personnel Clerk</x:v>
      </x:c>
      <x:c r="F273" t="str">
        <x:f>Plan_Raw!C273</x:f>
        <x:v>1222B</x:v>
      </x:c>
      <x:c r="G273" s="50" t="n">
        <x:f>IF(Plan_Raw!G273="","",IFERROR(VALUE(Plan_Raw!G273),""))</x:f>
        <x:v>43.625</x:v>
      </x:c>
      <x:c r="H273" t="str">
        <x:f>Plan_Raw!AH273</x:f>
        <x:v>1222|SFMTA|2025-07-01</x:v>
      </x:c>
      <x:c r="I273" t="n">
        <x:f>COUNTIF(Rates_Raw!$AF$5:$AF$464,H273)</x:f>
        <x:v>1</x:v>
      </x:c>
      <x:c r="J273" t="str">
        <x:f>IF(I273=1,_xlfn.XLOOKUP(H273,Rates_Raw!$AF$5:$AF$464,Rates_Raw!$E$5:$E$464,""),"")</x:f>
        <x:v>Sr Payroll &amp; Personnel Clerk</x:v>
      </x:c>
      <x:c r="K273" t="n">
        <x:f>IF(I273=1,_xlfn.XLOOKUP(H273,Rates_Raw!$AF$5:$AF$464,Rates_Raw!$F$5:$F$464,""),"")</x:f>
        <x:v>790</x:v>
      </x:c>
      <x:c r="L273" s="50" t="n">
        <x:f>IF(I273=1,IFERROR(VALUE(SUBSTITUTE(_xlfn.XLOOKUP(H273,Rates_Raw!$AF$5:$AF$464,Rates_Raw!$L$5:$L$464,""),"$","")),""),"")</x:f>
        <x:v>43.625</x:v>
      </x:c>
      <x:c r="M273" s="50" t="n">
        <x:f>IF(OR(G273="",L273=""),"",ROUND(G273-L273,4))</x:f>
        <x:v>0</x:v>
      </x:c>
      <x:c r="N273" t="str">
        <x:f>IF(I273=0,"NO MATCH",IF(I273&gt;1,"AMBIGUOUS",IF(EXACT(TRIM(E273),TRIM(J273)),"EXACT","TITLE VARIANT")))</x:f>
        <x:v>EXACT</x:v>
      </x:c>
      <x:c r="O273" t="str">
        <x:f>IF(I273&lt;&gt;1,"NOT TESTED",IF(OR(G273="",L273=""),"MISSING",IF(ABS(M273)&lt;=Guide!$B$16,"PASS","REVIEW")))</x:f>
        <x:v>PASS</x:v>
      </x:c>
      <x:c r="P273" s="52" t="n">
        <x:f>IF(I273=1,IFERROR(VALUE(SUBSTITUTE(SUBSTITUTE(_xlfn.XLOOKUP(H273,Rates_Raw!$AF$5:$AF$464,Rates_Raw!$I$5:$I$464,""),"$",""),",","")),""),"")</x:f>
        <x:v>3490</x:v>
      </x:c>
      <x:c r="Q273" s="52" t="n">
        <x:f>IF(P273="","",P273*Guide!$B$15)</x:f>
        <x:v>90740</x:v>
      </x:c>
      <x:c r="R273" t="str">
        <x:f>IF(I273=0,"UNMATCHED",IF(I273&gt;1,"DUPLICATE KEY",IF(OR(N273="TITLE VARIANT",O273="REVIEW",O273="MISSING"),"REVIEW","VERIFIED")))</x:f>
        <x:v>VERIFIED</x:v>
      </x:c>
      <x:c r="S273" s="46" t="str">
        <x:v>Not Reviewed</x:v>
      </x:c>
      <x:c r="T273" s="48"/>
    </x:row>
    <x:row r="274">
      <x:c r="A274" t="n">
        <x:f>Plan_Raw!A274</x:f>
        <x:v>1361</x:v>
      </x:c>
      <x:c r="B274" t="str">
        <x:f>Plan_Raw!D274</x:f>
        <x:v>1222</x:v>
      </x:c>
      <x:c r="C274" t="str">
        <x:f>LEFT(Plan_Raw!B274,10)</x:f>
        <x:v>2026-01-03</x:v>
      </x:c>
      <x:c r="D274" t="str">
        <x:f>Plan_Raw!F274</x:f>
        <x:v>COMMN</x:v>
      </x:c>
      <x:c r="E274" t="str">
        <x:f>Plan_Raw!E274</x:f>
        <x:v>Sr Payroll &amp; Personnel Clerk</x:v>
      </x:c>
      <x:c r="F274" t="str">
        <x:f>Plan_Raw!C274</x:f>
        <x:v>1222C</x:v>
      </x:c>
      <x:c r="G274" s="50" t="n">
        <x:f>IF(Plan_Raw!G274="","",IFERROR(VALUE(Plan_Raw!G274),""))</x:f>
        <x:v>44.275</x:v>
      </x:c>
      <x:c r="H274" t="str">
        <x:f>Plan_Raw!AH274</x:f>
        <x:v>1222|COMMN|2026-01-03</x:v>
      </x:c>
      <x:c r="I274" t="n">
        <x:f>COUNTIF(Rates_Raw!$AF$5:$AF$464,H274)</x:f>
        <x:v>1</x:v>
      </x:c>
      <x:c r="J274" t="str">
        <x:f>IF(I274=1,_xlfn.XLOOKUP(H274,Rates_Raw!$AF$5:$AF$464,Rates_Raw!$E$5:$E$464,""),"")</x:f>
        <x:v>Sr Payroll &amp; Personnel Clerk</x:v>
      </x:c>
      <x:c r="K274" t="n">
        <x:f>IF(I274=1,_xlfn.XLOOKUP(H274,Rates_Raw!$AF$5:$AF$464,Rates_Raw!$F$5:$F$464,""),"")</x:f>
        <x:v>790</x:v>
      </x:c>
      <x:c r="L274" s="50" t="n">
        <x:f>IF(I274=1,IFERROR(VALUE(SUBSTITUTE(_xlfn.XLOOKUP(H274,Rates_Raw!$AF$5:$AF$464,Rates_Raw!$L$5:$L$464,""),"$","")),""),"")</x:f>
        <x:v>44.275</x:v>
      </x:c>
      <x:c r="M274" s="50" t="n">
        <x:f>IF(OR(G274="",L274=""),"",ROUND(G274-L274,4))</x:f>
        <x:v>0</x:v>
      </x:c>
      <x:c r="N274" t="str">
        <x:f>IF(I274=0,"NO MATCH",IF(I274&gt;1,"AMBIGUOUS",IF(EXACT(TRIM(E274),TRIM(J274)),"EXACT","TITLE VARIANT")))</x:f>
        <x:v>EXACT</x:v>
      </x:c>
      <x:c r="O274" t="str">
        <x:f>IF(I274&lt;&gt;1,"NOT TESTED",IF(OR(G274="",L274=""),"MISSING",IF(ABS(M274)&lt;=Guide!$B$16,"PASS","REVIEW")))</x:f>
        <x:v>PASS</x:v>
      </x:c>
      <x:c r="P274" s="52" t="n">
        <x:f>IF(I274=1,IFERROR(VALUE(SUBSTITUTE(SUBSTITUTE(_xlfn.XLOOKUP(H274,Rates_Raw!$AF$5:$AF$464,Rates_Raw!$I$5:$I$464,""),"$",""),",","")),""),"")</x:f>
        <x:v>3542</x:v>
      </x:c>
      <x:c r="Q274" s="52" t="n">
        <x:f>IF(P274="","",P274*Guide!$B$15)</x:f>
        <x:v>92092</x:v>
      </x:c>
      <x:c r="R274" t="str">
        <x:f>IF(I274=0,"UNMATCHED",IF(I274&gt;1,"DUPLICATE KEY",IF(OR(N274="TITLE VARIANT",O274="REVIEW",O274="MISSING"),"REVIEW","VERIFIED")))</x:f>
        <x:v>VERIFIED</x:v>
      </x:c>
      <x:c r="S274" s="46" t="str">
        <x:v>Not Reviewed</x:v>
      </x:c>
      <x:c r="T274" s="48"/>
    </x:row>
    <x:row r="275">
      <x:c r="A275" t="n">
        <x:f>Plan_Raw!A275</x:f>
        <x:v>1373</x:v>
      </x:c>
      <x:c r="B275" t="str">
        <x:f>Plan_Raw!D275</x:f>
        <x:v>1222</x:v>
      </x:c>
      <x:c r="C275" t="str">
        <x:f>LEFT(Plan_Raw!B275,10)</x:f>
        <x:v>2026-01-03</x:v>
      </x:c>
      <x:c r="D275" t="str">
        <x:f>Plan_Raw!F275</x:f>
        <x:v>SFMTA</x:v>
      </x:c>
      <x:c r="E275" t="str">
        <x:f>Plan_Raw!E275</x:f>
        <x:v>Sr Payroll &amp; Personnel Clerk</x:v>
      </x:c>
      <x:c r="F275" t="str">
        <x:f>Plan_Raw!C275</x:f>
        <x:v>1222C</x:v>
      </x:c>
      <x:c r="G275" s="50" t="n">
        <x:f>IF(Plan_Raw!G275="","",IFERROR(VALUE(Plan_Raw!G275),""))</x:f>
        <x:v>44.275</x:v>
      </x:c>
      <x:c r="H275" t="str">
        <x:f>Plan_Raw!AH275</x:f>
        <x:v>1222|SFMTA|2026-01-03</x:v>
      </x:c>
      <x:c r="I275" t="n">
        <x:f>COUNTIF(Rates_Raw!$AF$5:$AF$464,H275)</x:f>
        <x:v>1</x:v>
      </x:c>
      <x:c r="J275" t="str">
        <x:f>IF(I275=1,_xlfn.XLOOKUP(H275,Rates_Raw!$AF$5:$AF$464,Rates_Raw!$E$5:$E$464,""),"")</x:f>
        <x:v>Sr Payroll &amp; Personnel Clerk</x:v>
      </x:c>
      <x:c r="K275" t="n">
        <x:f>IF(I275=1,_xlfn.XLOOKUP(H275,Rates_Raw!$AF$5:$AF$464,Rates_Raw!$F$5:$F$464,""),"")</x:f>
        <x:v>790</x:v>
      </x:c>
      <x:c r="L275" s="50" t="n">
        <x:f>IF(I275=1,IFERROR(VALUE(SUBSTITUTE(_xlfn.XLOOKUP(H275,Rates_Raw!$AF$5:$AF$464,Rates_Raw!$L$5:$L$464,""),"$","")),""),"")</x:f>
        <x:v>44.275</x:v>
      </x:c>
      <x:c r="M275" s="50" t="n">
        <x:f>IF(OR(G275="",L275=""),"",ROUND(G275-L275,4))</x:f>
        <x:v>0</x:v>
      </x:c>
      <x:c r="N275" t="str">
        <x:f>IF(I275=0,"NO MATCH",IF(I275&gt;1,"AMBIGUOUS",IF(EXACT(TRIM(E275),TRIM(J275)),"EXACT","TITLE VARIANT")))</x:f>
        <x:v>EXACT</x:v>
      </x:c>
      <x:c r="O275" t="str">
        <x:f>IF(I275&lt;&gt;1,"NOT TESTED",IF(OR(G275="",L275=""),"MISSING",IF(ABS(M275)&lt;=Guide!$B$16,"PASS","REVIEW")))</x:f>
        <x:v>PASS</x:v>
      </x:c>
      <x:c r="P275" s="52" t="n">
        <x:f>IF(I275=1,IFERROR(VALUE(SUBSTITUTE(SUBSTITUTE(_xlfn.XLOOKUP(H275,Rates_Raw!$AF$5:$AF$464,Rates_Raw!$I$5:$I$464,""),"$",""),",","")),""),"")</x:f>
        <x:v>3542</x:v>
      </x:c>
      <x:c r="Q275" s="52" t="n">
        <x:f>IF(P275="","",P275*Guide!$B$15)</x:f>
        <x:v>92092</x:v>
      </x:c>
      <x:c r="R275" t="str">
        <x:f>IF(I275=0,"UNMATCHED",IF(I275&gt;1,"DUPLICATE KEY",IF(OR(N275="TITLE VARIANT",O275="REVIEW",O275="MISSING"),"REVIEW","VERIFIED")))</x:f>
        <x:v>VERIFIED</x:v>
      </x:c>
      <x:c r="S275" s="46" t="str">
        <x:v>Not Reviewed</x:v>
      </x:c>
      <x:c r="T275" s="48"/>
    </x:row>
    <x:row r="276">
      <x:c r="A276" t="n">
        <x:f>Plan_Raw!A276</x:f>
        <x:v>1362</x:v>
      </x:c>
      <x:c r="B276" t="str">
        <x:f>Plan_Raw!D276</x:f>
        <x:v>1222</x:v>
      </x:c>
      <x:c r="C276" t="str">
        <x:f>LEFT(Plan_Raw!B276,10)</x:f>
        <x:v>2026-07-01</x:v>
      </x:c>
      <x:c r="D276" t="str">
        <x:f>Plan_Raw!F276</x:f>
        <x:v>COMMN</x:v>
      </x:c>
      <x:c r="E276" t="str">
        <x:f>Plan_Raw!E276</x:f>
        <x:v>Sr Payroll &amp; Personnel Clerk</x:v>
      </x:c>
      <x:c r="F276" t="str">
        <x:f>Plan_Raw!C276</x:f>
        <x:v>1222D</x:v>
      </x:c>
      <x:c r="G276" s="50" t="n">
        <x:f>IF(Plan_Raw!G276="","",IFERROR(VALUE(Plan_Raw!G276),""))</x:f>
        <x:v>45.1625</x:v>
      </x:c>
      <x:c r="H276" t="str">
        <x:f>Plan_Raw!AH276</x:f>
        <x:v>1222|COMMN|2026-07-01</x:v>
      </x:c>
      <x:c r="I276" t="n">
        <x:f>COUNTIF(Rates_Raw!$AF$5:$AF$464,H276)</x:f>
        <x:v>0</x:v>
      </x:c>
      <x:c r="J276" t="str">
        <x:f>IF(I276=1,_xlfn.XLOOKUP(H276,Rates_Raw!$AF$5:$AF$464,Rates_Raw!$E$5:$E$464,""),"")</x:f>
      </x:c>
      <x:c r="K276" t="str">
        <x:f>IF(I276=1,_xlfn.XLOOKUP(H276,Rates_Raw!$AF$5:$AF$464,Rates_Raw!$F$5:$F$464,""),"")</x:f>
      </x:c>
      <x:c r="L276" s="50" t="str">
        <x:f>IF(I276=1,IFERROR(VALUE(SUBSTITUTE(_xlfn.XLOOKUP(H276,Rates_Raw!$AF$5:$AF$464,Rates_Raw!$L$5:$L$464,""),"$","")),""),"")</x:f>
      </x:c>
      <x:c r="M276" s="50" t="str">
        <x:f>IF(OR(G276="",L276=""),"",ROUND(G276-L276,4))</x:f>
      </x:c>
      <x:c r="N276" t="str">
        <x:f>IF(I276=0,"NO MATCH",IF(I276&gt;1,"AMBIGUOUS",IF(EXACT(TRIM(E276),TRIM(J276)),"EXACT","TITLE VARIANT")))</x:f>
        <x:v>NO MATCH</x:v>
      </x:c>
      <x:c r="O276" t="str">
        <x:f>IF(I276&lt;&gt;1,"NOT TESTED",IF(OR(G276="",L276=""),"MISSING",IF(ABS(M276)&lt;=Guide!$B$16,"PASS","REVIEW")))</x:f>
        <x:v>NOT TESTED</x:v>
      </x:c>
      <x:c r="P276" s="52" t="str">
        <x:f>IF(I276=1,IFERROR(VALUE(SUBSTITUTE(SUBSTITUTE(_xlfn.XLOOKUP(H276,Rates_Raw!$AF$5:$AF$464,Rates_Raw!$I$5:$I$464,""),"$",""),",","")),""),"")</x:f>
      </x:c>
      <x:c r="Q276" s="52" t="str">
        <x:f>IF(P276="","",P276*Guide!$B$15)</x:f>
      </x:c>
      <x:c r="R276" t="str">
        <x:f>IF(I276=0,"UNMATCHED",IF(I276&gt;1,"DUPLICATE KEY",IF(OR(N276="TITLE VARIANT",O276="REVIEW",O276="MISSING"),"REVIEW","VERIFIED")))</x:f>
        <x:v>UNMATCHED</x:v>
      </x:c>
      <x:c r="S276" s="46" t="str">
        <x:v>Not Reviewed</x:v>
      </x:c>
      <x:c r="T276" s="48"/>
    </x:row>
    <x:row r="277">
      <x:c r="A277" t="n">
        <x:f>Plan_Raw!A277</x:f>
        <x:v>1374</x:v>
      </x:c>
      <x:c r="B277" t="str">
        <x:f>Plan_Raw!D277</x:f>
        <x:v>1222</x:v>
      </x:c>
      <x:c r="C277" t="str">
        <x:f>LEFT(Plan_Raw!B277,10)</x:f>
        <x:v>2026-07-01</x:v>
      </x:c>
      <x:c r="D277" t="str">
        <x:f>Plan_Raw!F277</x:f>
        <x:v>SFMTA</x:v>
      </x:c>
      <x:c r="E277" t="str">
        <x:f>Plan_Raw!E277</x:f>
        <x:v>Sr Payroll &amp; Personnel Clerk</x:v>
      </x:c>
      <x:c r="F277" t="str">
        <x:f>Plan_Raw!C277</x:f>
        <x:v>1222D</x:v>
      </x:c>
      <x:c r="G277" s="50" t="n">
        <x:f>IF(Plan_Raw!G277="","",IFERROR(VALUE(Plan_Raw!G277),""))</x:f>
        <x:v>45.1625</x:v>
      </x:c>
      <x:c r="H277" t="str">
        <x:f>Plan_Raw!AH277</x:f>
        <x:v>1222|SFMTA|2026-07-01</x:v>
      </x:c>
      <x:c r="I277" t="n">
        <x:f>COUNTIF(Rates_Raw!$AF$5:$AF$464,H277)</x:f>
        <x:v>0</x:v>
      </x:c>
      <x:c r="J277" t="str">
        <x:f>IF(I277=1,_xlfn.XLOOKUP(H277,Rates_Raw!$AF$5:$AF$464,Rates_Raw!$E$5:$E$464,""),"")</x:f>
      </x:c>
      <x:c r="K277" t="str">
        <x:f>IF(I277=1,_xlfn.XLOOKUP(H277,Rates_Raw!$AF$5:$AF$464,Rates_Raw!$F$5:$F$464,""),"")</x:f>
      </x:c>
      <x:c r="L277" s="50" t="str">
        <x:f>IF(I277=1,IFERROR(VALUE(SUBSTITUTE(_xlfn.XLOOKUP(H277,Rates_Raw!$AF$5:$AF$464,Rates_Raw!$L$5:$L$464,""),"$","")),""),"")</x:f>
      </x:c>
      <x:c r="M277" s="50" t="str">
        <x:f>IF(OR(G277="",L277=""),"",ROUND(G277-L277,4))</x:f>
      </x:c>
      <x:c r="N277" t="str">
        <x:f>IF(I277=0,"NO MATCH",IF(I277&gt;1,"AMBIGUOUS",IF(EXACT(TRIM(E277),TRIM(J277)),"EXACT","TITLE VARIANT")))</x:f>
        <x:v>NO MATCH</x:v>
      </x:c>
      <x:c r="O277" t="str">
        <x:f>IF(I277&lt;&gt;1,"NOT TESTED",IF(OR(G277="",L277=""),"MISSING",IF(ABS(M277)&lt;=Guide!$B$16,"PASS","REVIEW")))</x:f>
        <x:v>NOT TESTED</x:v>
      </x:c>
      <x:c r="P277" s="52" t="str">
        <x:f>IF(I277=1,IFERROR(VALUE(SUBSTITUTE(SUBSTITUTE(_xlfn.XLOOKUP(H277,Rates_Raw!$AF$5:$AF$464,Rates_Raw!$I$5:$I$464,""),"$",""),",","")),""),"")</x:f>
      </x:c>
      <x:c r="Q277" s="52" t="str">
        <x:f>IF(P277="","",P277*Guide!$B$15)</x:f>
      </x:c>
      <x:c r="R277" t="str">
        <x:f>IF(I277=0,"UNMATCHED",IF(I277&gt;1,"DUPLICATE KEY",IF(OR(N277="TITLE VARIANT",O277="REVIEW",O277="MISSING"),"REVIEW","VERIFIED")))</x:f>
        <x:v>UNMATCHED</x:v>
      </x:c>
      <x:c r="S277" s="46" t="str">
        <x:v>Not Reviewed</x:v>
      </x:c>
      <x:c r="T277" s="48"/>
    </x:row>
    <x:row r="278">
      <x:c r="A278" t="n">
        <x:f>Plan_Raw!A278</x:f>
        <x:v>1375</x:v>
      </x:c>
      <x:c r="B278" t="str">
        <x:f>Plan_Raw!D278</x:f>
        <x:v>1224</x:v>
      </x:c>
      <x:c r="C278" t="str">
        <x:f>LEFT(Plan_Raw!B278,10)</x:f>
        <x:v>2020-07-01</x:v>
      </x:c>
      <x:c r="D278" t="str">
        <x:f>Plan_Raw!F278</x:f>
        <x:v>COMMN</x:v>
      </x:c>
      <x:c r="E278" t="str">
        <x:f>Plan_Raw!E278</x:f>
        <x:v>Principal Payroll And Personnel Clerk</x:v>
      </x:c>
      <x:c r="F278" t="str">
        <x:f>Plan_Raw!C278</x:f>
        <x:v>1224S</x:v>
      </x:c>
      <x:c r="G278" s="50" t="n">
        <x:f>IF(Plan_Raw!G278="","",IFERROR(VALUE(Plan_Raw!G278),""))</x:f>
        <x:v>38.7125</x:v>
      </x:c>
      <x:c r="H278" t="str">
        <x:f>Plan_Raw!AH278</x:f>
        <x:v>1224|COMMN|2020-07-01</x:v>
      </x:c>
      <x:c r="I278" t="n">
        <x:f>COUNTIF(Rates_Raw!$AF$5:$AF$464,H278)</x:f>
        <x:v>1</x:v>
      </x:c>
      <x:c r="J278" t="str">
        <x:f>IF(I278=1,_xlfn.XLOOKUP(H278,Rates_Raw!$AF$5:$AF$464,Rates_Raw!$E$5:$E$464,""),"")</x:f>
        <x:v>Principal Payroll And Personnel Clerk</x:v>
      </x:c>
      <x:c r="K278" t="n">
        <x:f>IF(I278=1,_xlfn.XLOOKUP(H278,Rates_Raw!$AF$5:$AF$464,Rates_Raw!$F$5:$F$464,""),"")</x:f>
        <x:v>790</x:v>
      </x:c>
      <x:c r="L278" s="50" t="n">
        <x:f>IF(I278=1,IFERROR(VALUE(SUBSTITUTE(_xlfn.XLOOKUP(H278,Rates_Raw!$AF$5:$AF$464,Rates_Raw!$L$5:$L$464,""),"$","")),""),"")</x:f>
        <x:v>38.7125</x:v>
      </x:c>
      <x:c r="M278" s="50" t="n">
        <x:f>IF(OR(G278="",L278=""),"",ROUND(G278-L278,4))</x:f>
        <x:v>0</x:v>
      </x:c>
      <x:c r="N278" t="str">
        <x:f>IF(I278=0,"NO MATCH",IF(I278&gt;1,"AMBIGUOUS",IF(EXACT(TRIM(E278),TRIM(J278)),"EXACT","TITLE VARIANT")))</x:f>
        <x:v>EXACT</x:v>
      </x:c>
      <x:c r="O278" t="str">
        <x:f>IF(I278&lt;&gt;1,"NOT TESTED",IF(OR(G278="",L278=""),"MISSING",IF(ABS(M278)&lt;=Guide!$B$16,"PASS","REVIEW")))</x:f>
        <x:v>PASS</x:v>
      </x:c>
      <x:c r="P278" s="52" t="n">
        <x:f>IF(I278=1,IFERROR(VALUE(SUBSTITUTE(SUBSTITUTE(_xlfn.XLOOKUP(H278,Rates_Raw!$AF$5:$AF$464,Rates_Raw!$I$5:$I$464,""),"$",""),",","")),""),"")</x:f>
        <x:v>3097</x:v>
      </x:c>
      <x:c r="Q278" s="52" t="n">
        <x:f>IF(P278="","",P278*Guide!$B$15)</x:f>
        <x:v>80522</x:v>
      </x:c>
      <x:c r="R278" t="str">
        <x:f>IF(I278=0,"UNMATCHED",IF(I278&gt;1,"DUPLICATE KEY",IF(OR(N278="TITLE VARIANT",O278="REVIEW",O278="MISSING"),"REVIEW","VERIFIED")))</x:f>
        <x:v>VERIFIED</x:v>
      </x:c>
      <x:c r="S278" s="46" t="str">
        <x:v>Not Reviewed</x:v>
      </x:c>
      <x:c r="T278" s="48"/>
    </x:row>
    <x:row r="279">
      <x:c r="A279" t="n">
        <x:f>Plan_Raw!A279</x:f>
        <x:v>1381</x:v>
      </x:c>
      <x:c r="B279" t="str">
        <x:f>Plan_Raw!D279</x:f>
        <x:v>1224</x:v>
      </x:c>
      <x:c r="C279" t="str">
        <x:f>LEFT(Plan_Raw!B279,10)</x:f>
        <x:v>2024-01-06</x:v>
      </x:c>
      <x:c r="D279" t="str">
        <x:f>Plan_Raw!F279</x:f>
        <x:v>COMMN</x:v>
      </x:c>
      <x:c r="E279" t="str">
        <x:f>Plan_Raw!E279</x:f>
        <x:v>Principal Payroll And Personnel Clerk</x:v>
      </x:c>
      <x:c r="F279" t="str">
        <x:f>Plan_Raw!C279</x:f>
        <x:v>1224Y</x:v>
      </x:c>
      <x:c r="G279" s="50" t="n">
        <x:f>IF(Plan_Raw!G279="","",IFERROR(VALUE(Plan_Raw!G279),""))</x:f>
        <x:v>45.7625</x:v>
      </x:c>
      <x:c r="H279" t="str">
        <x:f>Plan_Raw!AH279</x:f>
        <x:v>1224|COMMN|2024-01-06</x:v>
      </x:c>
      <x:c r="I279" t="n">
        <x:f>COUNTIF(Rates_Raw!$AF$5:$AF$464,H279)</x:f>
        <x:v>1</x:v>
      </x:c>
      <x:c r="J279" t="str">
        <x:f>IF(I279=1,_xlfn.XLOOKUP(H279,Rates_Raw!$AF$5:$AF$464,Rates_Raw!$E$5:$E$464,""),"")</x:f>
        <x:v>Principal Payroll And Personnel Clerk</x:v>
      </x:c>
      <x:c r="K279" t="n">
        <x:f>IF(I279=1,_xlfn.XLOOKUP(H279,Rates_Raw!$AF$5:$AF$464,Rates_Raw!$F$5:$F$464,""),"")</x:f>
        <x:v>790</x:v>
      </x:c>
      <x:c r="L279" s="50" t="n">
        <x:f>IF(I279=1,IFERROR(VALUE(SUBSTITUTE(_xlfn.XLOOKUP(H279,Rates_Raw!$AF$5:$AF$464,Rates_Raw!$L$5:$L$464,""),"$","")),""),"")</x:f>
        <x:v>45.7625</x:v>
      </x:c>
      <x:c r="M279" s="50" t="n">
        <x:f>IF(OR(G279="",L279=""),"",ROUND(G279-L279,4))</x:f>
        <x:v>0</x:v>
      </x:c>
      <x:c r="N279" t="str">
        <x:f>IF(I279=0,"NO MATCH",IF(I279&gt;1,"AMBIGUOUS",IF(EXACT(TRIM(E279),TRIM(J279)),"EXACT","TITLE VARIANT")))</x:f>
        <x:v>EXACT</x:v>
      </x:c>
      <x:c r="O279" t="str">
        <x:f>IF(I279&lt;&gt;1,"NOT TESTED",IF(OR(G279="",L279=""),"MISSING",IF(ABS(M279)&lt;=Guide!$B$16,"PASS","REVIEW")))</x:f>
        <x:v>PASS</x:v>
      </x:c>
      <x:c r="P279" s="52" t="n">
        <x:f>IF(I279=1,IFERROR(VALUE(SUBSTITUTE(SUBSTITUTE(_xlfn.XLOOKUP(H279,Rates_Raw!$AF$5:$AF$464,Rates_Raw!$I$5:$I$464,""),"$",""),",","")),""),"")</x:f>
        <x:v>3661</x:v>
      </x:c>
      <x:c r="Q279" s="52" t="n">
        <x:f>IF(P279="","",P279*Guide!$B$15)</x:f>
        <x:v>95186</x:v>
      </x:c>
      <x:c r="R279" t="str">
        <x:f>IF(I279=0,"UNMATCHED",IF(I279&gt;1,"DUPLICATE KEY",IF(OR(N279="TITLE VARIANT",O279="REVIEW",O279="MISSING"),"REVIEW","VERIFIED")))</x:f>
        <x:v>VERIFIED</x:v>
      </x:c>
      <x:c r="S279" s="46" t="str">
        <x:v>Not Reviewed</x:v>
      </x:c>
      <x:c r="T279" s="48"/>
    </x:row>
    <x:row r="280">
      <x:c r="A280" t="n">
        <x:f>Plan_Raw!A280</x:f>
        <x:v>1393</x:v>
      </x:c>
      <x:c r="B280" t="str">
        <x:f>Plan_Raw!D280</x:f>
        <x:v>1224</x:v>
      </x:c>
      <x:c r="C280" t="str">
        <x:f>LEFT(Plan_Raw!B280,10)</x:f>
        <x:v>2024-01-06</x:v>
      </x:c>
      <x:c r="D280" t="str">
        <x:f>Plan_Raw!F280</x:f>
        <x:v>SFMTA</x:v>
      </x:c>
      <x:c r="E280" t="str">
        <x:f>Plan_Raw!E280</x:f>
        <x:v>Principal Payroll And Personnel Clerk</x:v>
      </x:c>
      <x:c r="F280" t="str">
        <x:f>Plan_Raw!C280</x:f>
        <x:v>1224Y</x:v>
      </x:c>
      <x:c r="G280" s="50" t="n">
        <x:f>IF(Plan_Raw!G280="","",IFERROR(VALUE(Plan_Raw!G280),""))</x:f>
        <x:v>45.7625</x:v>
      </x:c>
      <x:c r="H280" t="str">
        <x:f>Plan_Raw!AH280</x:f>
        <x:v>1224|SFMTA|2024-01-06</x:v>
      </x:c>
      <x:c r="I280" t="n">
        <x:f>COUNTIF(Rates_Raw!$AF$5:$AF$464,H280)</x:f>
        <x:v>1</x:v>
      </x:c>
      <x:c r="J280" t="str">
        <x:f>IF(I280=1,_xlfn.XLOOKUP(H280,Rates_Raw!$AF$5:$AF$464,Rates_Raw!$E$5:$E$464,""),"")</x:f>
        <x:v>Principal Payroll And Personnel Clerk</x:v>
      </x:c>
      <x:c r="K280" t="n">
        <x:f>IF(I280=1,_xlfn.XLOOKUP(H280,Rates_Raw!$AF$5:$AF$464,Rates_Raw!$F$5:$F$464,""),"")</x:f>
        <x:v>790</x:v>
      </x:c>
      <x:c r="L280" s="50" t="n">
        <x:f>IF(I280=1,IFERROR(VALUE(SUBSTITUTE(_xlfn.XLOOKUP(H280,Rates_Raw!$AF$5:$AF$464,Rates_Raw!$L$5:$L$464,""),"$","")),""),"")</x:f>
        <x:v>45.7625</x:v>
      </x:c>
      <x:c r="M280" s="50" t="n">
        <x:f>IF(OR(G280="",L280=""),"",ROUND(G280-L280,4))</x:f>
        <x:v>0</x:v>
      </x:c>
      <x:c r="N280" t="str">
        <x:f>IF(I280=0,"NO MATCH",IF(I280&gt;1,"AMBIGUOUS",IF(EXACT(TRIM(E280),TRIM(J280)),"EXACT","TITLE VARIANT")))</x:f>
        <x:v>EXACT</x:v>
      </x:c>
      <x:c r="O280" t="str">
        <x:f>IF(I280&lt;&gt;1,"NOT TESTED",IF(OR(G280="",L280=""),"MISSING",IF(ABS(M280)&lt;=Guide!$B$16,"PASS","REVIEW")))</x:f>
        <x:v>PASS</x:v>
      </x:c>
      <x:c r="P280" s="52" t="n">
        <x:f>IF(I280=1,IFERROR(VALUE(SUBSTITUTE(SUBSTITUTE(_xlfn.XLOOKUP(H280,Rates_Raw!$AF$5:$AF$464,Rates_Raw!$I$5:$I$464,""),"$",""),",","")),""),"")</x:f>
        <x:v>3661</x:v>
      </x:c>
      <x:c r="Q280" s="52" t="n">
        <x:f>IF(P280="","",P280*Guide!$B$15)</x:f>
        <x:v>95186</x:v>
      </x:c>
      <x:c r="R280" t="str">
        <x:f>IF(I280=0,"UNMATCHED",IF(I280&gt;1,"DUPLICATE KEY",IF(OR(N280="TITLE VARIANT",O280="REVIEW",O280="MISSING"),"REVIEW","VERIFIED")))</x:f>
        <x:v>VERIFIED</x:v>
      </x:c>
      <x:c r="S280" s="46" t="str">
        <x:v>Not Reviewed</x:v>
      </x:c>
      <x:c r="T280" s="48"/>
    </x:row>
    <x:row r="281">
      <x:c r="A281" t="n">
        <x:f>Plan_Raw!A281</x:f>
        <x:v>1382</x:v>
      </x:c>
      <x:c r="B281" t="str">
        <x:f>Plan_Raw!D281</x:f>
        <x:v>1224</x:v>
      </x:c>
      <x:c r="C281" t="str">
        <x:f>LEFT(Plan_Raw!B281,10)</x:f>
        <x:v>2024-07-01</x:v>
      </x:c>
      <x:c r="D281" t="str">
        <x:f>Plan_Raw!F281</x:f>
        <x:v>COMMN</x:v>
      </x:c>
      <x:c r="E281" t="str">
        <x:f>Plan_Raw!E281</x:f>
        <x:v>Principal Payroll And Personnel Clerk</x:v>
      </x:c>
      <x:c r="F281" t="str">
        <x:f>Plan_Raw!C281</x:f>
        <x:v>1224Z</x:v>
      </x:c>
      <x:c r="G281" s="50" t="n">
        <x:f>IF(Plan_Raw!G281="","",IFERROR(VALUE(Plan_Raw!G281),""))</x:f>
        <x:v>46.45</x:v>
      </x:c>
      <x:c r="H281" t="str">
        <x:f>Plan_Raw!AH281</x:f>
        <x:v>1224|COMMN|2024-07-01</x:v>
      </x:c>
      <x:c r="I281" t="n">
        <x:f>COUNTIF(Rates_Raw!$AF$5:$AF$464,H281)</x:f>
        <x:v>1</x:v>
      </x:c>
      <x:c r="J281" t="str">
        <x:f>IF(I281=1,_xlfn.XLOOKUP(H281,Rates_Raw!$AF$5:$AF$464,Rates_Raw!$E$5:$E$464,""),"")</x:f>
        <x:v>Principal Payroll And Personnel Clerk</x:v>
      </x:c>
      <x:c r="K281" t="n">
        <x:f>IF(I281=1,_xlfn.XLOOKUP(H281,Rates_Raw!$AF$5:$AF$464,Rates_Raw!$F$5:$F$464,""),"")</x:f>
        <x:v>790</x:v>
      </x:c>
      <x:c r="L281" s="50" t="n">
        <x:f>IF(I281=1,IFERROR(VALUE(SUBSTITUTE(_xlfn.XLOOKUP(H281,Rates_Raw!$AF$5:$AF$464,Rates_Raw!$L$5:$L$464,""),"$","")),""),"")</x:f>
        <x:v>46.45</x:v>
      </x:c>
      <x:c r="M281" s="50" t="n">
        <x:f>IF(OR(G281="",L281=""),"",ROUND(G281-L281,4))</x:f>
        <x:v>0</x:v>
      </x:c>
      <x:c r="N281" t="str">
        <x:f>IF(I281=0,"NO MATCH",IF(I281&gt;1,"AMBIGUOUS",IF(EXACT(TRIM(E281),TRIM(J281)),"EXACT","TITLE VARIANT")))</x:f>
        <x:v>EXACT</x:v>
      </x:c>
      <x:c r="O281" t="str">
        <x:f>IF(I281&lt;&gt;1,"NOT TESTED",IF(OR(G281="",L281=""),"MISSING",IF(ABS(M281)&lt;=Guide!$B$16,"PASS","REVIEW")))</x:f>
        <x:v>PASS</x:v>
      </x:c>
      <x:c r="P281" s="52" t="n">
        <x:f>IF(I281=1,IFERROR(VALUE(SUBSTITUTE(SUBSTITUTE(_xlfn.XLOOKUP(H281,Rates_Raw!$AF$5:$AF$464,Rates_Raw!$I$5:$I$464,""),"$",""),",","")),""),"")</x:f>
        <x:v>3716</x:v>
      </x:c>
      <x:c r="Q281" s="52" t="n">
        <x:f>IF(P281="","",P281*Guide!$B$15)</x:f>
        <x:v>96616</x:v>
      </x:c>
      <x:c r="R281" t="str">
        <x:f>IF(I281=0,"UNMATCHED",IF(I281&gt;1,"DUPLICATE KEY",IF(OR(N281="TITLE VARIANT",O281="REVIEW",O281="MISSING"),"REVIEW","VERIFIED")))</x:f>
        <x:v>VERIFIED</x:v>
      </x:c>
      <x:c r="S281" s="46" t="str">
        <x:v>Not Reviewed</x:v>
      </x:c>
      <x:c r="T281" s="48"/>
    </x:row>
    <x:row r="282">
      <x:c r="A282" t="n">
        <x:f>Plan_Raw!A282</x:f>
        <x:v>1394</x:v>
      </x:c>
      <x:c r="B282" t="str">
        <x:f>Plan_Raw!D282</x:f>
        <x:v>1224</x:v>
      </x:c>
      <x:c r="C282" t="str">
        <x:f>LEFT(Plan_Raw!B282,10)</x:f>
        <x:v>2024-07-01</x:v>
      </x:c>
      <x:c r="D282" t="str">
        <x:f>Plan_Raw!F282</x:f>
        <x:v>SFMTA</x:v>
      </x:c>
      <x:c r="E282" t="str">
        <x:f>Plan_Raw!E282</x:f>
        <x:v>Principal Payroll And Personnel Clerk</x:v>
      </x:c>
      <x:c r="F282" t="str">
        <x:f>Plan_Raw!C282</x:f>
        <x:v>1224Z</x:v>
      </x:c>
      <x:c r="G282" s="50" t="n">
        <x:f>IF(Plan_Raw!G282="","",IFERROR(VALUE(Plan_Raw!G282),""))</x:f>
        <x:v>46.45</x:v>
      </x:c>
      <x:c r="H282" t="str">
        <x:f>Plan_Raw!AH282</x:f>
        <x:v>1224|SFMTA|2024-07-01</x:v>
      </x:c>
      <x:c r="I282" t="n">
        <x:f>COUNTIF(Rates_Raw!$AF$5:$AF$464,H282)</x:f>
        <x:v>1</x:v>
      </x:c>
      <x:c r="J282" t="str">
        <x:f>IF(I282=1,_xlfn.XLOOKUP(H282,Rates_Raw!$AF$5:$AF$464,Rates_Raw!$E$5:$E$464,""),"")</x:f>
        <x:v>Principal Payroll And Personnel Clerk</x:v>
      </x:c>
      <x:c r="K282" t="n">
        <x:f>IF(I282=1,_xlfn.XLOOKUP(H282,Rates_Raw!$AF$5:$AF$464,Rates_Raw!$F$5:$F$464,""),"")</x:f>
        <x:v>790</x:v>
      </x:c>
      <x:c r="L282" s="50" t="n">
        <x:f>IF(I282=1,IFERROR(VALUE(SUBSTITUTE(_xlfn.XLOOKUP(H282,Rates_Raw!$AF$5:$AF$464,Rates_Raw!$L$5:$L$464,""),"$","")),""),"")</x:f>
        <x:v>46.45</x:v>
      </x:c>
      <x:c r="M282" s="50" t="n">
        <x:f>IF(OR(G282="",L282=""),"",ROUND(G282-L282,4))</x:f>
        <x:v>0</x:v>
      </x:c>
      <x:c r="N282" t="str">
        <x:f>IF(I282=0,"NO MATCH",IF(I282&gt;1,"AMBIGUOUS",IF(EXACT(TRIM(E282),TRIM(J282)),"EXACT","TITLE VARIANT")))</x:f>
        <x:v>EXACT</x:v>
      </x:c>
      <x:c r="O282" t="str">
        <x:f>IF(I282&lt;&gt;1,"NOT TESTED",IF(OR(G282="",L282=""),"MISSING",IF(ABS(M282)&lt;=Guide!$B$16,"PASS","REVIEW")))</x:f>
        <x:v>PASS</x:v>
      </x:c>
      <x:c r="P282" s="52" t="n">
        <x:f>IF(I282=1,IFERROR(VALUE(SUBSTITUTE(SUBSTITUTE(_xlfn.XLOOKUP(H282,Rates_Raw!$AF$5:$AF$464,Rates_Raw!$I$5:$I$464,""),"$",""),",","")),""),"")</x:f>
        <x:v>3716</x:v>
      </x:c>
      <x:c r="Q282" s="52" t="n">
        <x:f>IF(P282="","",P282*Guide!$B$15)</x:f>
        <x:v>96616</x:v>
      </x:c>
      <x:c r="R282" t="str">
        <x:f>IF(I282=0,"UNMATCHED",IF(I282&gt;1,"DUPLICATE KEY",IF(OR(N282="TITLE VARIANT",O282="REVIEW",O282="MISSING"),"REVIEW","VERIFIED")))</x:f>
        <x:v>VERIFIED</x:v>
      </x:c>
      <x:c r="S282" s="46" t="str">
        <x:v>Not Reviewed</x:v>
      </x:c>
      <x:c r="T282" s="48"/>
    </x:row>
    <x:row r="283">
      <x:c r="A283" t="n">
        <x:f>Plan_Raw!A283</x:f>
        <x:v>1383</x:v>
      </x:c>
      <x:c r="B283" t="str">
        <x:f>Plan_Raw!D283</x:f>
        <x:v>1224</x:v>
      </x:c>
      <x:c r="C283" t="str">
        <x:f>LEFT(Plan_Raw!B283,10)</x:f>
        <x:v>2025-01-04</x:v>
      </x:c>
      <x:c r="D283" t="str">
        <x:f>Plan_Raw!F283</x:f>
        <x:v>COMMN</x:v>
      </x:c>
      <x:c r="E283" t="str">
        <x:f>Plan_Raw!E283</x:f>
        <x:v>Principal Payroll And Personnel Clerk</x:v>
      </x:c>
      <x:c r="F283" t="str">
        <x:f>Plan_Raw!C283</x:f>
        <x:v>1224A</x:v>
      </x:c>
      <x:c r="G283" s="50" t="n">
        <x:f>IF(Plan_Raw!G283="","",IFERROR(VALUE(Plan_Raw!G283),""))</x:f>
        <x:v>47.15</x:v>
      </x:c>
      <x:c r="H283" t="str">
        <x:f>Plan_Raw!AH283</x:f>
        <x:v>1224|COMMN|2025-01-04</x:v>
      </x:c>
      <x:c r="I283" t="n">
        <x:f>COUNTIF(Rates_Raw!$AF$5:$AF$464,H283)</x:f>
        <x:v>1</x:v>
      </x:c>
      <x:c r="J283" t="str">
        <x:f>IF(I283=1,_xlfn.XLOOKUP(H283,Rates_Raw!$AF$5:$AF$464,Rates_Raw!$E$5:$E$464,""),"")</x:f>
        <x:v>Principal Payroll And Personnel Clerk</x:v>
      </x:c>
      <x:c r="K283" t="n">
        <x:f>IF(I283=1,_xlfn.XLOOKUP(H283,Rates_Raw!$AF$5:$AF$464,Rates_Raw!$F$5:$F$464,""),"")</x:f>
        <x:v>790</x:v>
      </x:c>
      <x:c r="L283" s="50" t="n">
        <x:f>IF(I283=1,IFERROR(VALUE(SUBSTITUTE(_xlfn.XLOOKUP(H283,Rates_Raw!$AF$5:$AF$464,Rates_Raw!$L$5:$L$464,""),"$","")),""),"")</x:f>
        <x:v>47.15</x:v>
      </x:c>
      <x:c r="M283" s="50" t="n">
        <x:f>IF(OR(G283="",L283=""),"",ROUND(G283-L283,4))</x:f>
        <x:v>0</x:v>
      </x:c>
      <x:c r="N283" t="str">
        <x:f>IF(I283=0,"NO MATCH",IF(I283&gt;1,"AMBIGUOUS",IF(EXACT(TRIM(E283),TRIM(J283)),"EXACT","TITLE VARIANT")))</x:f>
        <x:v>EXACT</x:v>
      </x:c>
      <x:c r="O283" t="str">
        <x:f>IF(I283&lt;&gt;1,"NOT TESTED",IF(OR(G283="",L283=""),"MISSING",IF(ABS(M283)&lt;=Guide!$B$16,"PASS","REVIEW")))</x:f>
        <x:v>PASS</x:v>
      </x:c>
      <x:c r="P283" s="52" t="n">
        <x:f>IF(I283=1,IFERROR(VALUE(SUBSTITUTE(SUBSTITUTE(_xlfn.XLOOKUP(H283,Rates_Raw!$AF$5:$AF$464,Rates_Raw!$I$5:$I$464,""),"$",""),",","")),""),"")</x:f>
        <x:v>3772</x:v>
      </x:c>
      <x:c r="Q283" s="52" t="n">
        <x:f>IF(P283="","",P283*Guide!$B$15)</x:f>
        <x:v>98072</x:v>
      </x:c>
      <x:c r="R283" t="str">
        <x:f>IF(I283=0,"UNMATCHED",IF(I283&gt;1,"DUPLICATE KEY",IF(OR(N283="TITLE VARIANT",O283="REVIEW",O283="MISSING"),"REVIEW","VERIFIED")))</x:f>
        <x:v>VERIFIED</x:v>
      </x:c>
      <x:c r="S283" s="46" t="str">
        <x:v>Not Reviewed</x:v>
      </x:c>
      <x:c r="T283" s="48"/>
    </x:row>
    <x:row r="284">
      <x:c r="A284" t="n">
        <x:f>Plan_Raw!A284</x:f>
        <x:v>1395</x:v>
      </x:c>
      <x:c r="B284" t="str">
        <x:f>Plan_Raw!D284</x:f>
        <x:v>1224</x:v>
      </x:c>
      <x:c r="C284" t="str">
        <x:f>LEFT(Plan_Raw!B284,10)</x:f>
        <x:v>2025-01-04</x:v>
      </x:c>
      <x:c r="D284" t="str">
        <x:f>Plan_Raw!F284</x:f>
        <x:v>SFMTA</x:v>
      </x:c>
      <x:c r="E284" t="str">
        <x:f>Plan_Raw!E284</x:f>
        <x:v>Principal Payroll And Personnel Clerk</x:v>
      </x:c>
      <x:c r="F284" t="str">
        <x:f>Plan_Raw!C284</x:f>
        <x:v>1224A</x:v>
      </x:c>
      <x:c r="G284" s="50" t="n">
        <x:f>IF(Plan_Raw!G284="","",IFERROR(VALUE(Plan_Raw!G284),""))</x:f>
        <x:v>47.15</x:v>
      </x:c>
      <x:c r="H284" t="str">
        <x:f>Plan_Raw!AH284</x:f>
        <x:v>1224|SFMTA|2025-01-04</x:v>
      </x:c>
      <x:c r="I284" t="n">
        <x:f>COUNTIF(Rates_Raw!$AF$5:$AF$464,H284)</x:f>
        <x:v>1</x:v>
      </x:c>
      <x:c r="J284" t="str">
        <x:f>IF(I284=1,_xlfn.XLOOKUP(H284,Rates_Raw!$AF$5:$AF$464,Rates_Raw!$E$5:$E$464,""),"")</x:f>
        <x:v>Principal Payroll And Personnel Clerk</x:v>
      </x:c>
      <x:c r="K284" t="n">
        <x:f>IF(I284=1,_xlfn.XLOOKUP(H284,Rates_Raw!$AF$5:$AF$464,Rates_Raw!$F$5:$F$464,""),"")</x:f>
        <x:v>790</x:v>
      </x:c>
      <x:c r="L284" s="50" t="n">
        <x:f>IF(I284=1,IFERROR(VALUE(SUBSTITUTE(_xlfn.XLOOKUP(H284,Rates_Raw!$AF$5:$AF$464,Rates_Raw!$L$5:$L$464,""),"$","")),""),"")</x:f>
        <x:v>47.15</x:v>
      </x:c>
      <x:c r="M284" s="50" t="n">
        <x:f>IF(OR(G284="",L284=""),"",ROUND(G284-L284,4))</x:f>
        <x:v>0</x:v>
      </x:c>
      <x:c r="N284" t="str">
        <x:f>IF(I284=0,"NO MATCH",IF(I284&gt;1,"AMBIGUOUS",IF(EXACT(TRIM(E284),TRIM(J284)),"EXACT","TITLE VARIANT")))</x:f>
        <x:v>EXACT</x:v>
      </x:c>
      <x:c r="O284" t="str">
        <x:f>IF(I284&lt;&gt;1,"NOT TESTED",IF(OR(G284="",L284=""),"MISSING",IF(ABS(M284)&lt;=Guide!$B$16,"PASS","REVIEW")))</x:f>
        <x:v>PASS</x:v>
      </x:c>
      <x:c r="P284" s="52" t="n">
        <x:f>IF(I284=1,IFERROR(VALUE(SUBSTITUTE(SUBSTITUTE(_xlfn.XLOOKUP(H284,Rates_Raw!$AF$5:$AF$464,Rates_Raw!$I$5:$I$464,""),"$",""),",","")),""),"")</x:f>
        <x:v>3772</x:v>
      </x:c>
      <x:c r="Q284" s="52" t="n">
        <x:f>IF(P284="","",P284*Guide!$B$15)</x:f>
        <x:v>98072</x:v>
      </x:c>
      <x:c r="R284" t="str">
        <x:f>IF(I284=0,"UNMATCHED",IF(I284&gt;1,"DUPLICATE KEY",IF(OR(N284="TITLE VARIANT",O284="REVIEW",O284="MISSING"),"REVIEW","VERIFIED")))</x:f>
        <x:v>VERIFIED</x:v>
      </x:c>
      <x:c r="S284" s="46" t="str">
        <x:v>Not Reviewed</x:v>
      </x:c>
      <x:c r="T284" s="48"/>
    </x:row>
    <x:row r="285">
      <x:c r="A285" t="n">
        <x:f>Plan_Raw!A285</x:f>
        <x:v>1384</x:v>
      </x:c>
      <x:c r="B285" t="str">
        <x:f>Plan_Raw!D285</x:f>
        <x:v>1224</x:v>
      </x:c>
      <x:c r="C285" t="str">
        <x:f>LEFT(Plan_Raw!B285,10)</x:f>
        <x:v>2025-07-01</x:v>
      </x:c>
      <x:c r="D285" t="str">
        <x:f>Plan_Raw!F285</x:f>
        <x:v>COMMN</x:v>
      </x:c>
      <x:c r="E285" t="str">
        <x:f>Plan_Raw!E285</x:f>
        <x:v>Pr Payroll &amp; Personnel Clerk</x:v>
      </x:c>
      <x:c r="F285" t="str">
        <x:f>Plan_Raw!C285</x:f>
        <x:v>1224B</x:v>
      </x:c>
      <x:c r="G285" s="50" t="n">
        <x:f>IF(Plan_Raw!G285="","",IFERROR(VALUE(Plan_Raw!G285),""))</x:f>
        <x:v>48.1</x:v>
      </x:c>
      <x:c r="H285" t="str">
        <x:f>Plan_Raw!AH285</x:f>
        <x:v>1224|COMMN|2025-07-01</x:v>
      </x:c>
      <x:c r="I285" t="n">
        <x:f>COUNTIF(Rates_Raw!$AF$5:$AF$464,H285)</x:f>
        <x:v>1</x:v>
      </x:c>
      <x:c r="J285" t="str">
        <x:f>IF(I285=1,_xlfn.XLOOKUP(H285,Rates_Raw!$AF$5:$AF$464,Rates_Raw!$E$5:$E$464,""),"")</x:f>
        <x:v>Pr Payroll &amp; Personnel Clerk</x:v>
      </x:c>
      <x:c r="K285" t="n">
        <x:f>IF(I285=1,_xlfn.XLOOKUP(H285,Rates_Raw!$AF$5:$AF$464,Rates_Raw!$F$5:$F$464,""),"")</x:f>
        <x:v>790</x:v>
      </x:c>
      <x:c r="L285" s="50" t="n">
        <x:f>IF(I285=1,IFERROR(VALUE(SUBSTITUTE(_xlfn.XLOOKUP(H285,Rates_Raw!$AF$5:$AF$464,Rates_Raw!$L$5:$L$464,""),"$","")),""),"")</x:f>
        <x:v>48.1</x:v>
      </x:c>
      <x:c r="M285" s="50" t="n">
        <x:f>IF(OR(G285="",L285=""),"",ROUND(G285-L285,4))</x:f>
        <x:v>0</x:v>
      </x:c>
      <x:c r="N285" t="str">
        <x:f>IF(I285=0,"NO MATCH",IF(I285&gt;1,"AMBIGUOUS",IF(EXACT(TRIM(E285),TRIM(J285)),"EXACT","TITLE VARIANT")))</x:f>
        <x:v>EXACT</x:v>
      </x:c>
      <x:c r="O285" t="str">
        <x:f>IF(I285&lt;&gt;1,"NOT TESTED",IF(OR(G285="",L285=""),"MISSING",IF(ABS(M285)&lt;=Guide!$B$16,"PASS","REVIEW")))</x:f>
        <x:v>PASS</x:v>
      </x:c>
      <x:c r="P285" s="52" t="n">
        <x:f>IF(I285=1,IFERROR(VALUE(SUBSTITUTE(SUBSTITUTE(_xlfn.XLOOKUP(H285,Rates_Raw!$AF$5:$AF$464,Rates_Raw!$I$5:$I$464,""),"$",""),",","")),""),"")</x:f>
        <x:v>3848</x:v>
      </x:c>
      <x:c r="Q285" s="52" t="n">
        <x:f>IF(P285="","",P285*Guide!$B$15)</x:f>
        <x:v>100048</x:v>
      </x:c>
      <x:c r="R285" t="str">
        <x:f>IF(I285=0,"UNMATCHED",IF(I285&gt;1,"DUPLICATE KEY",IF(OR(N285="TITLE VARIANT",O285="REVIEW",O285="MISSING"),"REVIEW","VERIFIED")))</x:f>
        <x:v>VERIFIED</x:v>
      </x:c>
      <x:c r="S285" s="46" t="str">
        <x:v>Not Reviewed</x:v>
      </x:c>
      <x:c r="T285" s="48"/>
    </x:row>
    <x:row r="286">
      <x:c r="A286" t="n">
        <x:f>Plan_Raw!A286</x:f>
        <x:v>1396</x:v>
      </x:c>
      <x:c r="B286" t="str">
        <x:f>Plan_Raw!D286</x:f>
        <x:v>1224</x:v>
      </x:c>
      <x:c r="C286" t="str">
        <x:f>LEFT(Plan_Raw!B286,10)</x:f>
        <x:v>2025-07-01</x:v>
      </x:c>
      <x:c r="D286" t="str">
        <x:f>Plan_Raw!F286</x:f>
        <x:v>SFMTA</x:v>
      </x:c>
      <x:c r="E286" t="str">
        <x:f>Plan_Raw!E286</x:f>
        <x:v>Pr Payroll &amp; Personnel Clerk</x:v>
      </x:c>
      <x:c r="F286" t="str">
        <x:f>Plan_Raw!C286</x:f>
        <x:v>1224B</x:v>
      </x:c>
      <x:c r="G286" s="50" t="n">
        <x:f>IF(Plan_Raw!G286="","",IFERROR(VALUE(Plan_Raw!G286),""))</x:f>
        <x:v>48.1</x:v>
      </x:c>
      <x:c r="H286" t="str">
        <x:f>Plan_Raw!AH286</x:f>
        <x:v>1224|SFMTA|2025-07-01</x:v>
      </x:c>
      <x:c r="I286" t="n">
        <x:f>COUNTIF(Rates_Raw!$AF$5:$AF$464,H286)</x:f>
        <x:v>1</x:v>
      </x:c>
      <x:c r="J286" t="str">
        <x:f>IF(I286=1,_xlfn.XLOOKUP(H286,Rates_Raw!$AF$5:$AF$464,Rates_Raw!$E$5:$E$464,""),"")</x:f>
        <x:v>Pr Payroll &amp; Personnel Clerk</x:v>
      </x:c>
      <x:c r="K286" t="n">
        <x:f>IF(I286=1,_xlfn.XLOOKUP(H286,Rates_Raw!$AF$5:$AF$464,Rates_Raw!$F$5:$F$464,""),"")</x:f>
        <x:v>790</x:v>
      </x:c>
      <x:c r="L286" s="50" t="n">
        <x:f>IF(I286=1,IFERROR(VALUE(SUBSTITUTE(_xlfn.XLOOKUP(H286,Rates_Raw!$AF$5:$AF$464,Rates_Raw!$L$5:$L$464,""),"$","")),""),"")</x:f>
        <x:v>48.1</x:v>
      </x:c>
      <x:c r="M286" s="50" t="n">
        <x:f>IF(OR(G286="",L286=""),"",ROUND(G286-L286,4))</x:f>
        <x:v>0</x:v>
      </x:c>
      <x:c r="N286" t="str">
        <x:f>IF(I286=0,"NO MATCH",IF(I286&gt;1,"AMBIGUOUS",IF(EXACT(TRIM(E286),TRIM(J286)),"EXACT","TITLE VARIANT")))</x:f>
        <x:v>EXACT</x:v>
      </x:c>
      <x:c r="O286" t="str">
        <x:f>IF(I286&lt;&gt;1,"NOT TESTED",IF(OR(G286="",L286=""),"MISSING",IF(ABS(M286)&lt;=Guide!$B$16,"PASS","REVIEW")))</x:f>
        <x:v>PASS</x:v>
      </x:c>
      <x:c r="P286" s="52" t="n">
        <x:f>IF(I286=1,IFERROR(VALUE(SUBSTITUTE(SUBSTITUTE(_xlfn.XLOOKUP(H286,Rates_Raw!$AF$5:$AF$464,Rates_Raw!$I$5:$I$464,""),"$",""),",","")),""),"")</x:f>
        <x:v>3848</x:v>
      </x:c>
      <x:c r="Q286" s="52" t="n">
        <x:f>IF(P286="","",P286*Guide!$B$15)</x:f>
        <x:v>100048</x:v>
      </x:c>
      <x:c r="R286" t="str">
        <x:f>IF(I286=0,"UNMATCHED",IF(I286&gt;1,"DUPLICATE KEY",IF(OR(N286="TITLE VARIANT",O286="REVIEW",O286="MISSING"),"REVIEW","VERIFIED")))</x:f>
        <x:v>VERIFIED</x:v>
      </x:c>
      <x:c r="S286" s="46" t="str">
        <x:v>Not Reviewed</x:v>
      </x:c>
      <x:c r="T286" s="48"/>
    </x:row>
    <x:row r="287">
      <x:c r="A287" t="n">
        <x:f>Plan_Raw!A287</x:f>
        <x:v>1385</x:v>
      </x:c>
      <x:c r="B287" t="str">
        <x:f>Plan_Raw!D287</x:f>
        <x:v>1224</x:v>
      </x:c>
      <x:c r="C287" t="str">
        <x:f>LEFT(Plan_Raw!B287,10)</x:f>
        <x:v>2026-01-03</x:v>
      </x:c>
      <x:c r="D287" t="str">
        <x:f>Plan_Raw!F287</x:f>
        <x:v>COMMN</x:v>
      </x:c>
      <x:c r="E287" t="str">
        <x:f>Plan_Raw!E287</x:f>
        <x:v>Pr Payroll &amp; Personnel Clerk</x:v>
      </x:c>
      <x:c r="F287" t="str">
        <x:f>Plan_Raw!C287</x:f>
        <x:v>1224C</x:v>
      </x:c>
      <x:c r="G287" s="50" t="n">
        <x:f>IF(Plan_Raw!G287="","",IFERROR(VALUE(Plan_Raw!G287),""))</x:f>
        <x:v>48.825</x:v>
      </x:c>
      <x:c r="H287" t="str">
        <x:f>Plan_Raw!AH287</x:f>
        <x:v>1224|COMMN|2026-01-03</x:v>
      </x:c>
      <x:c r="I287" t="n">
        <x:f>COUNTIF(Rates_Raw!$AF$5:$AF$464,H287)</x:f>
        <x:v>1</x:v>
      </x:c>
      <x:c r="J287" t="str">
        <x:f>IF(I287=1,_xlfn.XLOOKUP(H287,Rates_Raw!$AF$5:$AF$464,Rates_Raw!$E$5:$E$464,""),"")</x:f>
        <x:v>Pr Payroll &amp; Personnel Clerk</x:v>
      </x:c>
      <x:c r="K287" t="n">
        <x:f>IF(I287=1,_xlfn.XLOOKUP(H287,Rates_Raw!$AF$5:$AF$464,Rates_Raw!$F$5:$F$464,""),"")</x:f>
        <x:v>790</x:v>
      </x:c>
      <x:c r="L287" s="50" t="n">
        <x:f>IF(I287=1,IFERROR(VALUE(SUBSTITUTE(_xlfn.XLOOKUP(H287,Rates_Raw!$AF$5:$AF$464,Rates_Raw!$L$5:$L$464,""),"$","")),""),"")</x:f>
        <x:v>48.825</x:v>
      </x:c>
      <x:c r="M287" s="50" t="n">
        <x:f>IF(OR(G287="",L287=""),"",ROUND(G287-L287,4))</x:f>
        <x:v>0</x:v>
      </x:c>
      <x:c r="N287" t="str">
        <x:f>IF(I287=0,"NO MATCH",IF(I287&gt;1,"AMBIGUOUS",IF(EXACT(TRIM(E287),TRIM(J287)),"EXACT","TITLE VARIANT")))</x:f>
        <x:v>EXACT</x:v>
      </x:c>
      <x:c r="O287" t="str">
        <x:f>IF(I287&lt;&gt;1,"NOT TESTED",IF(OR(G287="",L287=""),"MISSING",IF(ABS(M287)&lt;=Guide!$B$16,"PASS","REVIEW")))</x:f>
        <x:v>PASS</x:v>
      </x:c>
      <x:c r="P287" s="52" t="n">
        <x:f>IF(I287=1,IFERROR(VALUE(SUBSTITUTE(SUBSTITUTE(_xlfn.XLOOKUP(H287,Rates_Raw!$AF$5:$AF$464,Rates_Raw!$I$5:$I$464,""),"$",""),",","")),""),"")</x:f>
        <x:v>3906</x:v>
      </x:c>
      <x:c r="Q287" s="52" t="n">
        <x:f>IF(P287="","",P287*Guide!$B$15)</x:f>
        <x:v>101556</x:v>
      </x:c>
      <x:c r="R287" t="str">
        <x:f>IF(I287=0,"UNMATCHED",IF(I287&gt;1,"DUPLICATE KEY",IF(OR(N287="TITLE VARIANT",O287="REVIEW",O287="MISSING"),"REVIEW","VERIFIED")))</x:f>
        <x:v>VERIFIED</x:v>
      </x:c>
      <x:c r="S287" s="46" t="str">
        <x:v>Not Reviewed</x:v>
      </x:c>
      <x:c r="T287" s="48"/>
    </x:row>
    <x:row r="288">
      <x:c r="A288" t="n">
        <x:f>Plan_Raw!A288</x:f>
        <x:v>1397</x:v>
      </x:c>
      <x:c r="B288" t="str">
        <x:f>Plan_Raw!D288</x:f>
        <x:v>1224</x:v>
      </x:c>
      <x:c r="C288" t="str">
        <x:f>LEFT(Plan_Raw!B288,10)</x:f>
        <x:v>2026-01-03</x:v>
      </x:c>
      <x:c r="D288" t="str">
        <x:f>Plan_Raw!F288</x:f>
        <x:v>SFMTA</x:v>
      </x:c>
      <x:c r="E288" t="str">
        <x:f>Plan_Raw!E288</x:f>
        <x:v>Pr Payroll &amp; Personnel Clerk</x:v>
      </x:c>
      <x:c r="F288" t="str">
        <x:f>Plan_Raw!C288</x:f>
        <x:v>1224C</x:v>
      </x:c>
      <x:c r="G288" s="50" t="n">
        <x:f>IF(Plan_Raw!G288="","",IFERROR(VALUE(Plan_Raw!G288),""))</x:f>
        <x:v>48.825</x:v>
      </x:c>
      <x:c r="H288" t="str">
        <x:f>Plan_Raw!AH288</x:f>
        <x:v>1224|SFMTA|2026-01-03</x:v>
      </x:c>
      <x:c r="I288" t="n">
        <x:f>COUNTIF(Rates_Raw!$AF$5:$AF$464,H288)</x:f>
        <x:v>1</x:v>
      </x:c>
      <x:c r="J288" t="str">
        <x:f>IF(I288=1,_xlfn.XLOOKUP(H288,Rates_Raw!$AF$5:$AF$464,Rates_Raw!$E$5:$E$464,""),"")</x:f>
        <x:v>Pr Payroll &amp; Personnel Clerk</x:v>
      </x:c>
      <x:c r="K288" t="n">
        <x:f>IF(I288=1,_xlfn.XLOOKUP(H288,Rates_Raw!$AF$5:$AF$464,Rates_Raw!$F$5:$F$464,""),"")</x:f>
        <x:v>790</x:v>
      </x:c>
      <x:c r="L288" s="50" t="n">
        <x:f>IF(I288=1,IFERROR(VALUE(SUBSTITUTE(_xlfn.XLOOKUP(H288,Rates_Raw!$AF$5:$AF$464,Rates_Raw!$L$5:$L$464,""),"$","")),""),"")</x:f>
        <x:v>48.825</x:v>
      </x:c>
      <x:c r="M288" s="50" t="n">
        <x:f>IF(OR(G288="",L288=""),"",ROUND(G288-L288,4))</x:f>
        <x:v>0</x:v>
      </x:c>
      <x:c r="N288" t="str">
        <x:f>IF(I288=0,"NO MATCH",IF(I288&gt;1,"AMBIGUOUS",IF(EXACT(TRIM(E288),TRIM(J288)),"EXACT","TITLE VARIANT")))</x:f>
        <x:v>EXACT</x:v>
      </x:c>
      <x:c r="O288" t="str">
        <x:f>IF(I288&lt;&gt;1,"NOT TESTED",IF(OR(G288="",L288=""),"MISSING",IF(ABS(M288)&lt;=Guide!$B$16,"PASS","REVIEW")))</x:f>
        <x:v>PASS</x:v>
      </x:c>
      <x:c r="P288" s="52" t="n">
        <x:f>IF(I288=1,IFERROR(VALUE(SUBSTITUTE(SUBSTITUTE(_xlfn.XLOOKUP(H288,Rates_Raw!$AF$5:$AF$464,Rates_Raw!$I$5:$I$464,""),"$",""),",","")),""),"")</x:f>
        <x:v>3906</x:v>
      </x:c>
      <x:c r="Q288" s="52" t="n">
        <x:f>IF(P288="","",P288*Guide!$B$15)</x:f>
        <x:v>101556</x:v>
      </x:c>
      <x:c r="R288" t="str">
        <x:f>IF(I288=0,"UNMATCHED",IF(I288&gt;1,"DUPLICATE KEY",IF(OR(N288="TITLE VARIANT",O288="REVIEW",O288="MISSING"),"REVIEW","VERIFIED")))</x:f>
        <x:v>VERIFIED</x:v>
      </x:c>
      <x:c r="S288" s="46" t="str">
        <x:v>Not Reviewed</x:v>
      </x:c>
      <x:c r="T288" s="48"/>
    </x:row>
    <x:row r="289">
      <x:c r="A289" t="n">
        <x:f>Plan_Raw!A289</x:f>
        <x:v>1386</x:v>
      </x:c>
      <x:c r="B289" t="str">
        <x:f>Plan_Raw!D289</x:f>
        <x:v>1224</x:v>
      </x:c>
      <x:c r="C289" t="str">
        <x:f>LEFT(Plan_Raw!B289,10)</x:f>
        <x:v>2026-07-01</x:v>
      </x:c>
      <x:c r="D289" t="str">
        <x:f>Plan_Raw!F289</x:f>
        <x:v>COMMN</x:v>
      </x:c>
      <x:c r="E289" t="str">
        <x:f>Plan_Raw!E289</x:f>
        <x:v>Pr Payroll &amp; Personnel Clerk</x:v>
      </x:c>
      <x:c r="F289" t="str">
        <x:f>Plan_Raw!C289</x:f>
        <x:v>1224D</x:v>
      </x:c>
      <x:c r="G289" s="50" t="n">
        <x:f>IF(Plan_Raw!G289="","",IFERROR(VALUE(Plan_Raw!G289),""))</x:f>
        <x:v>49.8</x:v>
      </x:c>
      <x:c r="H289" t="str">
        <x:f>Plan_Raw!AH289</x:f>
        <x:v>1224|COMMN|2026-07-01</x:v>
      </x:c>
      <x:c r="I289" t="n">
        <x:f>COUNTIF(Rates_Raw!$AF$5:$AF$464,H289)</x:f>
        <x:v>0</x:v>
      </x:c>
      <x:c r="J289" t="str">
        <x:f>IF(I289=1,_xlfn.XLOOKUP(H289,Rates_Raw!$AF$5:$AF$464,Rates_Raw!$E$5:$E$464,""),"")</x:f>
      </x:c>
      <x:c r="K289" t="str">
        <x:f>IF(I289=1,_xlfn.XLOOKUP(H289,Rates_Raw!$AF$5:$AF$464,Rates_Raw!$F$5:$F$464,""),"")</x:f>
      </x:c>
      <x:c r="L289" s="50" t="str">
        <x:f>IF(I289=1,IFERROR(VALUE(SUBSTITUTE(_xlfn.XLOOKUP(H289,Rates_Raw!$AF$5:$AF$464,Rates_Raw!$L$5:$L$464,""),"$","")),""),"")</x:f>
      </x:c>
      <x:c r="M289" s="50" t="str">
        <x:f>IF(OR(G289="",L289=""),"",ROUND(G289-L289,4))</x:f>
      </x:c>
      <x:c r="N289" t="str">
        <x:f>IF(I289=0,"NO MATCH",IF(I289&gt;1,"AMBIGUOUS",IF(EXACT(TRIM(E289),TRIM(J289)),"EXACT","TITLE VARIANT")))</x:f>
        <x:v>NO MATCH</x:v>
      </x:c>
      <x:c r="O289" t="str">
        <x:f>IF(I289&lt;&gt;1,"NOT TESTED",IF(OR(G289="",L289=""),"MISSING",IF(ABS(M289)&lt;=Guide!$B$16,"PASS","REVIEW")))</x:f>
        <x:v>NOT TESTED</x:v>
      </x:c>
      <x:c r="P289" s="52" t="str">
        <x:f>IF(I289=1,IFERROR(VALUE(SUBSTITUTE(SUBSTITUTE(_xlfn.XLOOKUP(H289,Rates_Raw!$AF$5:$AF$464,Rates_Raw!$I$5:$I$464,""),"$",""),",","")),""),"")</x:f>
      </x:c>
      <x:c r="Q289" s="52" t="str">
        <x:f>IF(P289="","",P289*Guide!$B$15)</x:f>
      </x:c>
      <x:c r="R289" t="str">
        <x:f>IF(I289=0,"UNMATCHED",IF(I289&gt;1,"DUPLICATE KEY",IF(OR(N289="TITLE VARIANT",O289="REVIEW",O289="MISSING"),"REVIEW","VERIFIED")))</x:f>
        <x:v>UNMATCHED</x:v>
      </x:c>
      <x:c r="S289" s="46" t="str">
        <x:v>Not Reviewed</x:v>
      </x:c>
      <x:c r="T289" s="48"/>
    </x:row>
    <x:row r="290">
      <x:c r="A290" t="n">
        <x:f>Plan_Raw!A290</x:f>
        <x:v>1398</x:v>
      </x:c>
      <x:c r="B290" t="str">
        <x:f>Plan_Raw!D290</x:f>
        <x:v>1224</x:v>
      </x:c>
      <x:c r="C290" t="str">
        <x:f>LEFT(Plan_Raw!B290,10)</x:f>
        <x:v>2026-07-01</x:v>
      </x:c>
      <x:c r="D290" t="str">
        <x:f>Plan_Raw!F290</x:f>
        <x:v>SFMTA</x:v>
      </x:c>
      <x:c r="E290" t="str">
        <x:f>Plan_Raw!E290</x:f>
        <x:v>Pr Payroll &amp; Personnel Clerk</x:v>
      </x:c>
      <x:c r="F290" t="str">
        <x:f>Plan_Raw!C290</x:f>
        <x:v>1224D</x:v>
      </x:c>
      <x:c r="G290" s="50" t="n">
        <x:f>IF(Plan_Raw!G290="","",IFERROR(VALUE(Plan_Raw!G290),""))</x:f>
        <x:v>49.8</x:v>
      </x:c>
      <x:c r="H290" t="str">
        <x:f>Plan_Raw!AH290</x:f>
        <x:v>1224|SFMTA|2026-07-01</x:v>
      </x:c>
      <x:c r="I290" t="n">
        <x:f>COUNTIF(Rates_Raw!$AF$5:$AF$464,H290)</x:f>
        <x:v>0</x:v>
      </x:c>
      <x:c r="J290" t="str">
        <x:f>IF(I290=1,_xlfn.XLOOKUP(H290,Rates_Raw!$AF$5:$AF$464,Rates_Raw!$E$5:$E$464,""),"")</x:f>
      </x:c>
      <x:c r="K290" t="str">
        <x:f>IF(I290=1,_xlfn.XLOOKUP(H290,Rates_Raw!$AF$5:$AF$464,Rates_Raw!$F$5:$F$464,""),"")</x:f>
      </x:c>
      <x:c r="L290" s="50" t="str">
        <x:f>IF(I290=1,IFERROR(VALUE(SUBSTITUTE(_xlfn.XLOOKUP(H290,Rates_Raw!$AF$5:$AF$464,Rates_Raw!$L$5:$L$464,""),"$","")),""),"")</x:f>
      </x:c>
      <x:c r="M290" s="50" t="str">
        <x:f>IF(OR(G290="",L290=""),"",ROUND(G290-L290,4))</x:f>
      </x:c>
      <x:c r="N290" t="str">
        <x:f>IF(I290=0,"NO MATCH",IF(I290&gt;1,"AMBIGUOUS",IF(EXACT(TRIM(E290),TRIM(J290)),"EXACT","TITLE VARIANT")))</x:f>
        <x:v>NO MATCH</x:v>
      </x:c>
      <x:c r="O290" t="str">
        <x:f>IF(I290&lt;&gt;1,"NOT TESTED",IF(OR(G290="",L290=""),"MISSING",IF(ABS(M290)&lt;=Guide!$B$16,"PASS","REVIEW")))</x:f>
        <x:v>NOT TESTED</x:v>
      </x:c>
      <x:c r="P290" s="52" t="str">
        <x:f>IF(I290=1,IFERROR(VALUE(SUBSTITUTE(SUBSTITUTE(_xlfn.XLOOKUP(H290,Rates_Raw!$AF$5:$AF$464,Rates_Raw!$I$5:$I$464,""),"$",""),",","")),""),"")</x:f>
      </x:c>
      <x:c r="Q290" s="52" t="str">
        <x:f>IF(P290="","",P290*Guide!$B$15)</x:f>
      </x:c>
      <x:c r="R290" t="str">
        <x:f>IF(I290=0,"UNMATCHED",IF(I290&gt;1,"DUPLICATE KEY",IF(OR(N290="TITLE VARIANT",O290="REVIEW",O290="MISSING"),"REVIEW","VERIFIED")))</x:f>
        <x:v>UNMATCHED</x:v>
      </x:c>
      <x:c r="S290" s="46" t="str">
        <x:v>Not Reviewed</x:v>
      </x:c>
      <x:c r="T290" s="48"/>
    </x:row>
    <x:row r="291">
      <x:c r="A291" t="n">
        <x:f>Plan_Raw!A291</x:f>
        <x:v>1399</x:v>
      </x:c>
      <x:c r="B291" t="str">
        <x:f>Plan_Raw!D291</x:f>
        <x:v>1226</x:v>
      </x:c>
      <x:c r="C291" t="str">
        <x:f>LEFT(Plan_Raw!B291,10)</x:f>
        <x:v>2020-07-01</x:v>
      </x:c>
      <x:c r="D291" t="str">
        <x:f>Plan_Raw!F291</x:f>
        <x:v>COMMN</x:v>
      </x:c>
      <x:c r="E291" t="str">
        <x:f>Plan_Raw!E291</x:f>
        <x:v>Chief Payroll And Personnel Clerk</x:v>
      </x:c>
      <x:c r="F291" t="str">
        <x:f>Plan_Raw!C291</x:f>
        <x:v>1226S</x:v>
      </x:c>
      <x:c r="G291" s="50" t="n">
        <x:f>IF(Plan_Raw!G291="","",IFERROR(VALUE(Plan_Raw!G291),""))</x:f>
        <x:v>40.825</x:v>
      </x:c>
      <x:c r="H291" t="str">
        <x:f>Plan_Raw!AH291</x:f>
        <x:v>1226|COMMN|2020-07-01</x:v>
      </x:c>
      <x:c r="I291" t="n">
        <x:f>COUNTIF(Rates_Raw!$AF$5:$AF$464,H291)</x:f>
        <x:v>1</x:v>
      </x:c>
      <x:c r="J291" t="str">
        <x:f>IF(I291=1,_xlfn.XLOOKUP(H291,Rates_Raw!$AF$5:$AF$464,Rates_Raw!$E$5:$E$464,""),"")</x:f>
        <x:v>Chief Payroll And Personnel Clerk</x:v>
      </x:c>
      <x:c r="K291" t="n">
        <x:f>IF(I291=1,_xlfn.XLOOKUP(H291,Rates_Raw!$AF$5:$AF$464,Rates_Raw!$F$5:$F$464,""),"")</x:f>
        <x:v>790</x:v>
      </x:c>
      <x:c r="L291" s="50" t="n">
        <x:f>IF(I291=1,IFERROR(VALUE(SUBSTITUTE(_xlfn.XLOOKUP(H291,Rates_Raw!$AF$5:$AF$464,Rates_Raw!$L$5:$L$464,""),"$","")),""),"")</x:f>
        <x:v>40.825</x:v>
      </x:c>
      <x:c r="M291" s="50" t="n">
        <x:f>IF(OR(G291="",L291=""),"",ROUND(G291-L291,4))</x:f>
        <x:v>0</x:v>
      </x:c>
      <x:c r="N291" t="str">
        <x:f>IF(I291=0,"NO MATCH",IF(I291&gt;1,"AMBIGUOUS",IF(EXACT(TRIM(E291),TRIM(J291)),"EXACT","TITLE VARIANT")))</x:f>
        <x:v>EXACT</x:v>
      </x:c>
      <x:c r="O291" t="str">
        <x:f>IF(I291&lt;&gt;1,"NOT TESTED",IF(OR(G291="",L291=""),"MISSING",IF(ABS(M291)&lt;=Guide!$B$16,"PASS","REVIEW")))</x:f>
        <x:v>PASS</x:v>
      </x:c>
      <x:c r="P291" s="52" t="n">
        <x:f>IF(I291=1,IFERROR(VALUE(SUBSTITUTE(SUBSTITUTE(_xlfn.XLOOKUP(H291,Rates_Raw!$AF$5:$AF$464,Rates_Raw!$I$5:$I$464,""),"$",""),",","")),""),"")</x:f>
        <x:v>3266</x:v>
      </x:c>
      <x:c r="Q291" s="52" t="n">
        <x:f>IF(P291="","",P291*Guide!$B$15)</x:f>
        <x:v>84916</x:v>
      </x:c>
      <x:c r="R291" t="str">
        <x:f>IF(I291=0,"UNMATCHED",IF(I291&gt;1,"DUPLICATE KEY",IF(OR(N291="TITLE VARIANT",O291="REVIEW",O291="MISSING"),"REVIEW","VERIFIED")))</x:f>
        <x:v>VERIFIED</x:v>
      </x:c>
      <x:c r="S291" s="46" t="str">
        <x:v>Not Reviewed</x:v>
      </x:c>
      <x:c r="T291" s="48"/>
    </x:row>
    <x:row r="292">
      <x:c r="A292" t="n">
        <x:f>Plan_Raw!A292</x:f>
        <x:v>1405</x:v>
      </x:c>
      <x:c r="B292" t="str">
        <x:f>Plan_Raw!D292</x:f>
        <x:v>1226</x:v>
      </x:c>
      <x:c r="C292" t="str">
        <x:f>LEFT(Plan_Raw!B292,10)</x:f>
        <x:v>2024-01-06</x:v>
      </x:c>
      <x:c r="D292" t="str">
        <x:f>Plan_Raw!F292</x:f>
        <x:v>COMMN</x:v>
      </x:c>
      <x:c r="E292" t="str">
        <x:f>Plan_Raw!E292</x:f>
        <x:v>Chief Payroll And Personnel Clerk</x:v>
      </x:c>
      <x:c r="F292" t="str">
        <x:f>Plan_Raw!C292</x:f>
        <x:v>1226Y</x:v>
      </x:c>
      <x:c r="G292" s="50" t="n">
        <x:f>IF(Plan_Raw!G292="","",IFERROR(VALUE(Plan_Raw!G292),""))</x:f>
        <x:v>48.25</x:v>
      </x:c>
      <x:c r="H292" t="str">
        <x:f>Plan_Raw!AH292</x:f>
        <x:v>1226|COMMN|2024-01-06</x:v>
      </x:c>
      <x:c r="I292" t="n">
        <x:f>COUNTIF(Rates_Raw!$AF$5:$AF$464,H292)</x:f>
        <x:v>1</x:v>
      </x:c>
      <x:c r="J292" t="str">
        <x:f>IF(I292=1,_xlfn.XLOOKUP(H292,Rates_Raw!$AF$5:$AF$464,Rates_Raw!$E$5:$E$464,""),"")</x:f>
        <x:v>Chief Payroll And Personnel Clerk</x:v>
      </x:c>
      <x:c r="K292" t="n">
        <x:f>IF(I292=1,_xlfn.XLOOKUP(H292,Rates_Raw!$AF$5:$AF$464,Rates_Raw!$F$5:$F$464,""),"")</x:f>
        <x:v>790</x:v>
      </x:c>
      <x:c r="L292" s="50" t="n">
        <x:f>IF(I292=1,IFERROR(VALUE(SUBSTITUTE(_xlfn.XLOOKUP(H292,Rates_Raw!$AF$5:$AF$464,Rates_Raw!$L$5:$L$464,""),"$","")),""),"")</x:f>
        <x:v>48.25</x:v>
      </x:c>
      <x:c r="M292" s="50" t="n">
        <x:f>IF(OR(G292="",L292=""),"",ROUND(G292-L292,4))</x:f>
        <x:v>0</x:v>
      </x:c>
      <x:c r="N292" t="str">
        <x:f>IF(I292=0,"NO MATCH",IF(I292&gt;1,"AMBIGUOUS",IF(EXACT(TRIM(E292),TRIM(J292)),"EXACT","TITLE VARIANT")))</x:f>
        <x:v>EXACT</x:v>
      </x:c>
      <x:c r="O292" t="str">
        <x:f>IF(I292&lt;&gt;1,"NOT TESTED",IF(OR(G292="",L292=""),"MISSING",IF(ABS(M292)&lt;=Guide!$B$16,"PASS","REVIEW")))</x:f>
        <x:v>PASS</x:v>
      </x:c>
      <x:c r="P292" s="52" t="n">
        <x:f>IF(I292=1,IFERROR(VALUE(SUBSTITUTE(SUBSTITUTE(_xlfn.XLOOKUP(H292,Rates_Raw!$AF$5:$AF$464,Rates_Raw!$I$5:$I$464,""),"$",""),",","")),""),"")</x:f>
        <x:v>3860</x:v>
      </x:c>
      <x:c r="Q292" s="52" t="n">
        <x:f>IF(P292="","",P292*Guide!$B$15)</x:f>
        <x:v>100360</x:v>
      </x:c>
      <x:c r="R292" t="str">
        <x:f>IF(I292=0,"UNMATCHED",IF(I292&gt;1,"DUPLICATE KEY",IF(OR(N292="TITLE VARIANT",O292="REVIEW",O292="MISSING"),"REVIEW","VERIFIED")))</x:f>
        <x:v>VERIFIED</x:v>
      </x:c>
      <x:c r="S292" s="46" t="str">
        <x:v>Not Reviewed</x:v>
      </x:c>
      <x:c r="T292" s="48"/>
    </x:row>
    <x:row r="293">
      <x:c r="A293" t="n">
        <x:f>Plan_Raw!A293</x:f>
        <x:v>1417</x:v>
      </x:c>
      <x:c r="B293" t="str">
        <x:f>Plan_Raw!D293</x:f>
        <x:v>1226</x:v>
      </x:c>
      <x:c r="C293" t="str">
        <x:f>LEFT(Plan_Raw!B293,10)</x:f>
        <x:v>2024-01-06</x:v>
      </x:c>
      <x:c r="D293" t="str">
        <x:f>Plan_Raw!F293</x:f>
        <x:v>SFMTA</x:v>
      </x:c>
      <x:c r="E293" t="str">
        <x:f>Plan_Raw!E293</x:f>
        <x:v>Chief Payroll And Personnel Clerk</x:v>
      </x:c>
      <x:c r="F293" t="str">
        <x:f>Plan_Raw!C293</x:f>
        <x:v>1226Y</x:v>
      </x:c>
      <x:c r="G293" s="50" t="n">
        <x:f>IF(Plan_Raw!G293="","",IFERROR(VALUE(Plan_Raw!G293),""))</x:f>
        <x:v>48.25</x:v>
      </x:c>
      <x:c r="H293" t="str">
        <x:f>Plan_Raw!AH293</x:f>
        <x:v>1226|SFMTA|2024-01-06</x:v>
      </x:c>
      <x:c r="I293" t="n">
        <x:f>COUNTIF(Rates_Raw!$AF$5:$AF$464,H293)</x:f>
        <x:v>1</x:v>
      </x:c>
      <x:c r="J293" t="str">
        <x:f>IF(I293=1,_xlfn.XLOOKUP(H293,Rates_Raw!$AF$5:$AF$464,Rates_Raw!$E$5:$E$464,""),"")</x:f>
        <x:v>Chief Payroll And Personnel Clerk</x:v>
      </x:c>
      <x:c r="K293" t="n">
        <x:f>IF(I293=1,_xlfn.XLOOKUP(H293,Rates_Raw!$AF$5:$AF$464,Rates_Raw!$F$5:$F$464,""),"")</x:f>
        <x:v>790</x:v>
      </x:c>
      <x:c r="L293" s="50" t="n">
        <x:f>IF(I293=1,IFERROR(VALUE(SUBSTITUTE(_xlfn.XLOOKUP(H293,Rates_Raw!$AF$5:$AF$464,Rates_Raw!$L$5:$L$464,""),"$","")),""),"")</x:f>
        <x:v>48.25</x:v>
      </x:c>
      <x:c r="M293" s="50" t="n">
        <x:f>IF(OR(G293="",L293=""),"",ROUND(G293-L293,4))</x:f>
        <x:v>0</x:v>
      </x:c>
      <x:c r="N293" t="str">
        <x:f>IF(I293=0,"NO MATCH",IF(I293&gt;1,"AMBIGUOUS",IF(EXACT(TRIM(E293),TRIM(J293)),"EXACT","TITLE VARIANT")))</x:f>
        <x:v>EXACT</x:v>
      </x:c>
      <x:c r="O293" t="str">
        <x:f>IF(I293&lt;&gt;1,"NOT TESTED",IF(OR(G293="",L293=""),"MISSING",IF(ABS(M293)&lt;=Guide!$B$16,"PASS","REVIEW")))</x:f>
        <x:v>PASS</x:v>
      </x:c>
      <x:c r="P293" s="52" t="n">
        <x:f>IF(I293=1,IFERROR(VALUE(SUBSTITUTE(SUBSTITUTE(_xlfn.XLOOKUP(H293,Rates_Raw!$AF$5:$AF$464,Rates_Raw!$I$5:$I$464,""),"$",""),",","")),""),"")</x:f>
        <x:v>3860</x:v>
      </x:c>
      <x:c r="Q293" s="52" t="n">
        <x:f>IF(P293="","",P293*Guide!$B$15)</x:f>
        <x:v>100360</x:v>
      </x:c>
      <x:c r="R293" t="str">
        <x:f>IF(I293=0,"UNMATCHED",IF(I293&gt;1,"DUPLICATE KEY",IF(OR(N293="TITLE VARIANT",O293="REVIEW",O293="MISSING"),"REVIEW","VERIFIED")))</x:f>
        <x:v>VERIFIED</x:v>
      </x:c>
      <x:c r="S293" s="46" t="str">
        <x:v>Not Reviewed</x:v>
      </x:c>
      <x:c r="T293" s="48"/>
    </x:row>
    <x:row r="294">
      <x:c r="A294" t="n">
        <x:f>Plan_Raw!A294</x:f>
        <x:v>1406</x:v>
      </x:c>
      <x:c r="B294" t="str">
        <x:f>Plan_Raw!D294</x:f>
        <x:v>1226</x:v>
      </x:c>
      <x:c r="C294" t="str">
        <x:f>LEFT(Plan_Raw!B294,10)</x:f>
        <x:v>2024-07-01</x:v>
      </x:c>
      <x:c r="D294" t="str">
        <x:f>Plan_Raw!F294</x:f>
        <x:v>COMMN</x:v>
      </x:c>
      <x:c r="E294" t="str">
        <x:f>Plan_Raw!E294</x:f>
        <x:v>Chief Payroll And Personnel Clerk</x:v>
      </x:c>
      <x:c r="F294" t="str">
        <x:f>Plan_Raw!C294</x:f>
        <x:v>1226Z</x:v>
      </x:c>
      <x:c r="G294" s="50" t="n">
        <x:f>IF(Plan_Raw!G294="","",IFERROR(VALUE(Plan_Raw!G294),""))</x:f>
        <x:v>48.975</x:v>
      </x:c>
      <x:c r="H294" t="str">
        <x:f>Plan_Raw!AH294</x:f>
        <x:v>1226|COMMN|2024-07-01</x:v>
      </x:c>
      <x:c r="I294" t="n">
        <x:f>COUNTIF(Rates_Raw!$AF$5:$AF$464,H294)</x:f>
        <x:v>1</x:v>
      </x:c>
      <x:c r="J294" t="str">
        <x:f>IF(I294=1,_xlfn.XLOOKUP(H294,Rates_Raw!$AF$5:$AF$464,Rates_Raw!$E$5:$E$464,""),"")</x:f>
        <x:v>Chief Payroll And Personnel Clerk</x:v>
      </x:c>
      <x:c r="K294" t="n">
        <x:f>IF(I294=1,_xlfn.XLOOKUP(H294,Rates_Raw!$AF$5:$AF$464,Rates_Raw!$F$5:$F$464,""),"")</x:f>
        <x:v>790</x:v>
      </x:c>
      <x:c r="L294" s="50" t="n">
        <x:f>IF(I294=1,IFERROR(VALUE(SUBSTITUTE(_xlfn.XLOOKUP(H294,Rates_Raw!$AF$5:$AF$464,Rates_Raw!$L$5:$L$464,""),"$","")),""),"")</x:f>
        <x:v>48.975</x:v>
      </x:c>
      <x:c r="M294" s="50" t="n">
        <x:f>IF(OR(G294="",L294=""),"",ROUND(G294-L294,4))</x:f>
        <x:v>0</x:v>
      </x:c>
      <x:c r="N294" t="str">
        <x:f>IF(I294=0,"NO MATCH",IF(I294&gt;1,"AMBIGUOUS",IF(EXACT(TRIM(E294),TRIM(J294)),"EXACT","TITLE VARIANT")))</x:f>
        <x:v>EXACT</x:v>
      </x:c>
      <x:c r="O294" t="str">
        <x:f>IF(I294&lt;&gt;1,"NOT TESTED",IF(OR(G294="",L294=""),"MISSING",IF(ABS(M294)&lt;=Guide!$B$16,"PASS","REVIEW")))</x:f>
        <x:v>PASS</x:v>
      </x:c>
      <x:c r="P294" s="52" t="n">
        <x:f>IF(I294=1,IFERROR(VALUE(SUBSTITUTE(SUBSTITUTE(_xlfn.XLOOKUP(H294,Rates_Raw!$AF$5:$AF$464,Rates_Raw!$I$5:$I$464,""),"$",""),",","")),""),"")</x:f>
        <x:v>3918</x:v>
      </x:c>
      <x:c r="Q294" s="52" t="n">
        <x:f>IF(P294="","",P294*Guide!$B$15)</x:f>
        <x:v>101868</x:v>
      </x:c>
      <x:c r="R294" t="str">
        <x:f>IF(I294=0,"UNMATCHED",IF(I294&gt;1,"DUPLICATE KEY",IF(OR(N294="TITLE VARIANT",O294="REVIEW",O294="MISSING"),"REVIEW","VERIFIED")))</x:f>
        <x:v>VERIFIED</x:v>
      </x:c>
      <x:c r="S294" s="46" t="str">
        <x:v>Not Reviewed</x:v>
      </x:c>
      <x:c r="T294" s="48"/>
    </x:row>
    <x:row r="295">
      <x:c r="A295" t="n">
        <x:f>Plan_Raw!A295</x:f>
        <x:v>1418</x:v>
      </x:c>
      <x:c r="B295" t="str">
        <x:f>Plan_Raw!D295</x:f>
        <x:v>1226</x:v>
      </x:c>
      <x:c r="C295" t="str">
        <x:f>LEFT(Plan_Raw!B295,10)</x:f>
        <x:v>2024-07-01</x:v>
      </x:c>
      <x:c r="D295" t="str">
        <x:f>Plan_Raw!F295</x:f>
        <x:v>SFMTA</x:v>
      </x:c>
      <x:c r="E295" t="str">
        <x:f>Plan_Raw!E295</x:f>
        <x:v>Chief Payroll And Personnel Clerk</x:v>
      </x:c>
      <x:c r="F295" t="str">
        <x:f>Plan_Raw!C295</x:f>
        <x:v>1226Z</x:v>
      </x:c>
      <x:c r="G295" s="50" t="n">
        <x:f>IF(Plan_Raw!G295="","",IFERROR(VALUE(Plan_Raw!G295),""))</x:f>
        <x:v>48.975</x:v>
      </x:c>
      <x:c r="H295" t="str">
        <x:f>Plan_Raw!AH295</x:f>
        <x:v>1226|SFMTA|2024-07-01</x:v>
      </x:c>
      <x:c r="I295" t="n">
        <x:f>COUNTIF(Rates_Raw!$AF$5:$AF$464,H295)</x:f>
        <x:v>1</x:v>
      </x:c>
      <x:c r="J295" t="str">
        <x:f>IF(I295=1,_xlfn.XLOOKUP(H295,Rates_Raw!$AF$5:$AF$464,Rates_Raw!$E$5:$E$464,""),"")</x:f>
        <x:v>Chief Payroll And Personnel Clerk</x:v>
      </x:c>
      <x:c r="K295" t="n">
        <x:f>IF(I295=1,_xlfn.XLOOKUP(H295,Rates_Raw!$AF$5:$AF$464,Rates_Raw!$F$5:$F$464,""),"")</x:f>
        <x:v>790</x:v>
      </x:c>
      <x:c r="L295" s="50" t="n">
        <x:f>IF(I295=1,IFERROR(VALUE(SUBSTITUTE(_xlfn.XLOOKUP(H295,Rates_Raw!$AF$5:$AF$464,Rates_Raw!$L$5:$L$464,""),"$","")),""),"")</x:f>
        <x:v>48.975</x:v>
      </x:c>
      <x:c r="M295" s="50" t="n">
        <x:f>IF(OR(G295="",L295=""),"",ROUND(G295-L295,4))</x:f>
        <x:v>0</x:v>
      </x:c>
      <x:c r="N295" t="str">
        <x:f>IF(I295=0,"NO MATCH",IF(I295&gt;1,"AMBIGUOUS",IF(EXACT(TRIM(E295),TRIM(J295)),"EXACT","TITLE VARIANT")))</x:f>
        <x:v>EXACT</x:v>
      </x:c>
      <x:c r="O295" t="str">
        <x:f>IF(I295&lt;&gt;1,"NOT TESTED",IF(OR(G295="",L295=""),"MISSING",IF(ABS(M295)&lt;=Guide!$B$16,"PASS","REVIEW")))</x:f>
        <x:v>PASS</x:v>
      </x:c>
      <x:c r="P295" s="52" t="n">
        <x:f>IF(I295=1,IFERROR(VALUE(SUBSTITUTE(SUBSTITUTE(_xlfn.XLOOKUP(H295,Rates_Raw!$AF$5:$AF$464,Rates_Raw!$I$5:$I$464,""),"$",""),",","")),""),"")</x:f>
        <x:v>3918</x:v>
      </x:c>
      <x:c r="Q295" s="52" t="n">
        <x:f>IF(P295="","",P295*Guide!$B$15)</x:f>
        <x:v>101868</x:v>
      </x:c>
      <x:c r="R295" t="str">
        <x:f>IF(I295=0,"UNMATCHED",IF(I295&gt;1,"DUPLICATE KEY",IF(OR(N295="TITLE VARIANT",O295="REVIEW",O295="MISSING"),"REVIEW","VERIFIED")))</x:f>
        <x:v>VERIFIED</x:v>
      </x:c>
      <x:c r="S295" s="46" t="str">
        <x:v>Not Reviewed</x:v>
      </x:c>
      <x:c r="T295" s="48"/>
    </x:row>
    <x:row r="296">
      <x:c r="A296" t="n">
        <x:f>Plan_Raw!A296</x:f>
        <x:v>1407</x:v>
      </x:c>
      <x:c r="B296" t="str">
        <x:f>Plan_Raw!D296</x:f>
        <x:v>1226</x:v>
      </x:c>
      <x:c r="C296" t="str">
        <x:f>LEFT(Plan_Raw!B296,10)</x:f>
        <x:v>2025-01-04</x:v>
      </x:c>
      <x:c r="D296" t="str">
        <x:f>Plan_Raw!F296</x:f>
        <x:v>COMMN</x:v>
      </x:c>
      <x:c r="E296" t="str">
        <x:f>Plan_Raw!E296</x:f>
        <x:v>Chief Payroll And Personnel Clerk</x:v>
      </x:c>
      <x:c r="F296" t="str">
        <x:f>Plan_Raw!C296</x:f>
        <x:v>1226A</x:v>
      </x:c>
      <x:c r="G296" s="50" t="n">
        <x:f>IF(Plan_Raw!G296="","",IFERROR(VALUE(Plan_Raw!G296),""))</x:f>
        <x:v>49.7125</x:v>
      </x:c>
      <x:c r="H296" t="str">
        <x:f>Plan_Raw!AH296</x:f>
        <x:v>1226|COMMN|2025-01-04</x:v>
      </x:c>
      <x:c r="I296" t="n">
        <x:f>COUNTIF(Rates_Raw!$AF$5:$AF$464,H296)</x:f>
        <x:v>1</x:v>
      </x:c>
      <x:c r="J296" t="str">
        <x:f>IF(I296=1,_xlfn.XLOOKUP(H296,Rates_Raw!$AF$5:$AF$464,Rates_Raw!$E$5:$E$464,""),"")</x:f>
        <x:v>Chief Payroll And Personnel Clerk</x:v>
      </x:c>
      <x:c r="K296" t="n">
        <x:f>IF(I296=1,_xlfn.XLOOKUP(H296,Rates_Raw!$AF$5:$AF$464,Rates_Raw!$F$5:$F$464,""),"")</x:f>
        <x:v>790</x:v>
      </x:c>
      <x:c r="L296" s="50" t="n">
        <x:f>IF(I296=1,IFERROR(VALUE(SUBSTITUTE(_xlfn.XLOOKUP(H296,Rates_Raw!$AF$5:$AF$464,Rates_Raw!$L$5:$L$464,""),"$","")),""),"")</x:f>
        <x:v>49.7125</x:v>
      </x:c>
      <x:c r="M296" s="50" t="n">
        <x:f>IF(OR(G296="",L296=""),"",ROUND(G296-L296,4))</x:f>
        <x:v>0</x:v>
      </x:c>
      <x:c r="N296" t="str">
        <x:f>IF(I296=0,"NO MATCH",IF(I296&gt;1,"AMBIGUOUS",IF(EXACT(TRIM(E296),TRIM(J296)),"EXACT","TITLE VARIANT")))</x:f>
        <x:v>EXACT</x:v>
      </x:c>
      <x:c r="O296" t="str">
        <x:f>IF(I296&lt;&gt;1,"NOT TESTED",IF(OR(G296="",L296=""),"MISSING",IF(ABS(M296)&lt;=Guide!$B$16,"PASS","REVIEW")))</x:f>
        <x:v>PASS</x:v>
      </x:c>
      <x:c r="P296" s="52" t="n">
        <x:f>IF(I296=1,IFERROR(VALUE(SUBSTITUTE(SUBSTITUTE(_xlfn.XLOOKUP(H296,Rates_Raw!$AF$5:$AF$464,Rates_Raw!$I$5:$I$464,""),"$",""),",","")),""),"")</x:f>
        <x:v>3977</x:v>
      </x:c>
      <x:c r="Q296" s="52" t="n">
        <x:f>IF(P296="","",P296*Guide!$B$15)</x:f>
        <x:v>103402</x:v>
      </x:c>
      <x:c r="R296" t="str">
        <x:f>IF(I296=0,"UNMATCHED",IF(I296&gt;1,"DUPLICATE KEY",IF(OR(N296="TITLE VARIANT",O296="REVIEW",O296="MISSING"),"REVIEW","VERIFIED")))</x:f>
        <x:v>VERIFIED</x:v>
      </x:c>
      <x:c r="S296" s="46" t="str">
        <x:v>Not Reviewed</x:v>
      </x:c>
      <x:c r="T296" s="48"/>
    </x:row>
    <x:row r="297">
      <x:c r="A297" t="n">
        <x:f>Plan_Raw!A297</x:f>
        <x:v>1419</x:v>
      </x:c>
      <x:c r="B297" t="str">
        <x:f>Plan_Raw!D297</x:f>
        <x:v>1226</x:v>
      </x:c>
      <x:c r="C297" t="str">
        <x:f>LEFT(Plan_Raw!B297,10)</x:f>
        <x:v>2025-01-04</x:v>
      </x:c>
      <x:c r="D297" t="str">
        <x:f>Plan_Raw!F297</x:f>
        <x:v>SFMTA</x:v>
      </x:c>
      <x:c r="E297" t="str">
        <x:f>Plan_Raw!E297</x:f>
        <x:v>Chief Payroll And Personnel Clerk</x:v>
      </x:c>
      <x:c r="F297" t="str">
        <x:f>Plan_Raw!C297</x:f>
        <x:v>1226A</x:v>
      </x:c>
      <x:c r="G297" s="50" t="n">
        <x:f>IF(Plan_Raw!G297="","",IFERROR(VALUE(Plan_Raw!G297),""))</x:f>
        <x:v>49.7125</x:v>
      </x:c>
      <x:c r="H297" t="str">
        <x:f>Plan_Raw!AH297</x:f>
        <x:v>1226|SFMTA|2025-01-04</x:v>
      </x:c>
      <x:c r="I297" t="n">
        <x:f>COUNTIF(Rates_Raw!$AF$5:$AF$464,H297)</x:f>
        <x:v>1</x:v>
      </x:c>
      <x:c r="J297" t="str">
        <x:f>IF(I297=1,_xlfn.XLOOKUP(H297,Rates_Raw!$AF$5:$AF$464,Rates_Raw!$E$5:$E$464,""),"")</x:f>
        <x:v>Chief Payroll And Personnel Clerk</x:v>
      </x:c>
      <x:c r="K297" t="n">
        <x:f>IF(I297=1,_xlfn.XLOOKUP(H297,Rates_Raw!$AF$5:$AF$464,Rates_Raw!$F$5:$F$464,""),"")</x:f>
        <x:v>790</x:v>
      </x:c>
      <x:c r="L297" s="50" t="n">
        <x:f>IF(I297=1,IFERROR(VALUE(SUBSTITUTE(_xlfn.XLOOKUP(H297,Rates_Raw!$AF$5:$AF$464,Rates_Raw!$L$5:$L$464,""),"$","")),""),"")</x:f>
        <x:v>49.7125</x:v>
      </x:c>
      <x:c r="M297" s="50" t="n">
        <x:f>IF(OR(G297="",L297=""),"",ROUND(G297-L297,4))</x:f>
        <x:v>0</x:v>
      </x:c>
      <x:c r="N297" t="str">
        <x:f>IF(I297=0,"NO MATCH",IF(I297&gt;1,"AMBIGUOUS",IF(EXACT(TRIM(E297),TRIM(J297)),"EXACT","TITLE VARIANT")))</x:f>
        <x:v>EXACT</x:v>
      </x:c>
      <x:c r="O297" t="str">
        <x:f>IF(I297&lt;&gt;1,"NOT TESTED",IF(OR(G297="",L297=""),"MISSING",IF(ABS(M297)&lt;=Guide!$B$16,"PASS","REVIEW")))</x:f>
        <x:v>PASS</x:v>
      </x:c>
      <x:c r="P297" s="52" t="n">
        <x:f>IF(I297=1,IFERROR(VALUE(SUBSTITUTE(SUBSTITUTE(_xlfn.XLOOKUP(H297,Rates_Raw!$AF$5:$AF$464,Rates_Raw!$I$5:$I$464,""),"$",""),",","")),""),"")</x:f>
        <x:v>3977</x:v>
      </x:c>
      <x:c r="Q297" s="52" t="n">
        <x:f>IF(P297="","",P297*Guide!$B$15)</x:f>
        <x:v>103402</x:v>
      </x:c>
      <x:c r="R297" t="str">
        <x:f>IF(I297=0,"UNMATCHED",IF(I297&gt;1,"DUPLICATE KEY",IF(OR(N297="TITLE VARIANT",O297="REVIEW",O297="MISSING"),"REVIEW","VERIFIED")))</x:f>
        <x:v>VERIFIED</x:v>
      </x:c>
      <x:c r="S297" s="46" t="str">
        <x:v>Not Reviewed</x:v>
      </x:c>
      <x:c r="T297" s="48"/>
    </x:row>
    <x:row r="298">
      <x:c r="A298" t="n">
        <x:f>Plan_Raw!A298</x:f>
        <x:v>1408</x:v>
      </x:c>
      <x:c r="B298" t="str">
        <x:f>Plan_Raw!D298</x:f>
        <x:v>1226</x:v>
      </x:c>
      <x:c r="C298" t="str">
        <x:f>LEFT(Plan_Raw!B298,10)</x:f>
        <x:v>2025-07-01</x:v>
      </x:c>
      <x:c r="D298" t="str">
        <x:f>Plan_Raw!F298</x:f>
        <x:v>COMMN</x:v>
      </x:c>
      <x:c r="E298" t="str">
        <x:f>Plan_Raw!E298</x:f>
        <x:v>Chf Payroll &amp; Personnel Clerk</x:v>
      </x:c>
      <x:c r="F298" t="str">
        <x:f>Plan_Raw!C298</x:f>
        <x:v>1226B</x:v>
      </x:c>
      <x:c r="G298" s="50" t="n">
        <x:f>IF(Plan_Raw!G298="","",IFERROR(VALUE(Plan_Raw!G298),""))</x:f>
        <x:v>50.7125</x:v>
      </x:c>
      <x:c r="H298" t="str">
        <x:f>Plan_Raw!AH298</x:f>
        <x:v>1226|COMMN|2025-07-01</x:v>
      </x:c>
      <x:c r="I298" t="n">
        <x:f>COUNTIF(Rates_Raw!$AF$5:$AF$464,H298)</x:f>
        <x:v>1</x:v>
      </x:c>
      <x:c r="J298" t="str">
        <x:f>IF(I298=1,_xlfn.XLOOKUP(H298,Rates_Raw!$AF$5:$AF$464,Rates_Raw!$E$5:$E$464,""),"")</x:f>
        <x:v>Chf Payroll &amp; Personnel Clerk</x:v>
      </x:c>
      <x:c r="K298" t="n">
        <x:f>IF(I298=1,_xlfn.XLOOKUP(H298,Rates_Raw!$AF$5:$AF$464,Rates_Raw!$F$5:$F$464,""),"")</x:f>
        <x:v>790</x:v>
      </x:c>
      <x:c r="L298" s="50" t="n">
        <x:f>IF(I298=1,IFERROR(VALUE(SUBSTITUTE(_xlfn.XLOOKUP(H298,Rates_Raw!$AF$5:$AF$464,Rates_Raw!$L$5:$L$464,""),"$","")),""),"")</x:f>
        <x:v>50.7125</x:v>
      </x:c>
      <x:c r="M298" s="50" t="n">
        <x:f>IF(OR(G298="",L298=""),"",ROUND(G298-L298,4))</x:f>
        <x:v>0</x:v>
      </x:c>
      <x:c r="N298" t="str">
        <x:f>IF(I298=0,"NO MATCH",IF(I298&gt;1,"AMBIGUOUS",IF(EXACT(TRIM(E298),TRIM(J298)),"EXACT","TITLE VARIANT")))</x:f>
        <x:v>EXACT</x:v>
      </x:c>
      <x:c r="O298" t="str">
        <x:f>IF(I298&lt;&gt;1,"NOT TESTED",IF(OR(G298="",L298=""),"MISSING",IF(ABS(M298)&lt;=Guide!$B$16,"PASS","REVIEW")))</x:f>
        <x:v>PASS</x:v>
      </x:c>
      <x:c r="P298" s="52" t="n">
        <x:f>IF(I298=1,IFERROR(VALUE(SUBSTITUTE(SUBSTITUTE(_xlfn.XLOOKUP(H298,Rates_Raw!$AF$5:$AF$464,Rates_Raw!$I$5:$I$464,""),"$",""),",","")),""),"")</x:f>
        <x:v>4057</x:v>
      </x:c>
      <x:c r="Q298" s="52" t="n">
        <x:f>IF(P298="","",P298*Guide!$B$15)</x:f>
        <x:v>105482</x:v>
      </x:c>
      <x:c r="R298" t="str">
        <x:f>IF(I298=0,"UNMATCHED",IF(I298&gt;1,"DUPLICATE KEY",IF(OR(N298="TITLE VARIANT",O298="REVIEW",O298="MISSING"),"REVIEW","VERIFIED")))</x:f>
        <x:v>VERIFIED</x:v>
      </x:c>
      <x:c r="S298" s="46" t="str">
        <x:v>Not Reviewed</x:v>
      </x:c>
      <x:c r="T298" s="48"/>
    </x:row>
    <x:row r="299">
      <x:c r="A299" t="n">
        <x:f>Plan_Raw!A299</x:f>
        <x:v>1420</x:v>
      </x:c>
      <x:c r="B299" t="str">
        <x:f>Plan_Raw!D299</x:f>
        <x:v>1226</x:v>
      </x:c>
      <x:c r="C299" t="str">
        <x:f>LEFT(Plan_Raw!B299,10)</x:f>
        <x:v>2025-07-01</x:v>
      </x:c>
      <x:c r="D299" t="str">
        <x:f>Plan_Raw!F299</x:f>
        <x:v>SFMTA</x:v>
      </x:c>
      <x:c r="E299" t="str">
        <x:f>Plan_Raw!E299</x:f>
        <x:v>Chf Payroll &amp; Personnel Clerk</x:v>
      </x:c>
      <x:c r="F299" t="str">
        <x:f>Plan_Raw!C299</x:f>
        <x:v>1226B</x:v>
      </x:c>
      <x:c r="G299" s="50" t="n">
        <x:f>IF(Plan_Raw!G299="","",IFERROR(VALUE(Plan_Raw!G299),""))</x:f>
        <x:v>50.7125</x:v>
      </x:c>
      <x:c r="H299" t="str">
        <x:f>Plan_Raw!AH299</x:f>
        <x:v>1226|SFMTA|2025-07-01</x:v>
      </x:c>
      <x:c r="I299" t="n">
        <x:f>COUNTIF(Rates_Raw!$AF$5:$AF$464,H299)</x:f>
        <x:v>1</x:v>
      </x:c>
      <x:c r="J299" t="str">
        <x:f>IF(I299=1,_xlfn.XLOOKUP(H299,Rates_Raw!$AF$5:$AF$464,Rates_Raw!$E$5:$E$464,""),"")</x:f>
        <x:v>Chf Payroll &amp; Personnel Clerk</x:v>
      </x:c>
      <x:c r="K299" t="n">
        <x:f>IF(I299=1,_xlfn.XLOOKUP(H299,Rates_Raw!$AF$5:$AF$464,Rates_Raw!$F$5:$F$464,""),"")</x:f>
        <x:v>790</x:v>
      </x:c>
      <x:c r="L299" s="50" t="n">
        <x:f>IF(I299=1,IFERROR(VALUE(SUBSTITUTE(_xlfn.XLOOKUP(H299,Rates_Raw!$AF$5:$AF$464,Rates_Raw!$L$5:$L$464,""),"$","")),""),"")</x:f>
        <x:v>50.7125</x:v>
      </x:c>
      <x:c r="M299" s="50" t="n">
        <x:f>IF(OR(G299="",L299=""),"",ROUND(G299-L299,4))</x:f>
        <x:v>0</x:v>
      </x:c>
      <x:c r="N299" t="str">
        <x:f>IF(I299=0,"NO MATCH",IF(I299&gt;1,"AMBIGUOUS",IF(EXACT(TRIM(E299),TRIM(J299)),"EXACT","TITLE VARIANT")))</x:f>
        <x:v>EXACT</x:v>
      </x:c>
      <x:c r="O299" t="str">
        <x:f>IF(I299&lt;&gt;1,"NOT TESTED",IF(OR(G299="",L299=""),"MISSING",IF(ABS(M299)&lt;=Guide!$B$16,"PASS","REVIEW")))</x:f>
        <x:v>PASS</x:v>
      </x:c>
      <x:c r="P299" s="52" t="n">
        <x:f>IF(I299=1,IFERROR(VALUE(SUBSTITUTE(SUBSTITUTE(_xlfn.XLOOKUP(H299,Rates_Raw!$AF$5:$AF$464,Rates_Raw!$I$5:$I$464,""),"$",""),",","")),""),"")</x:f>
        <x:v>4057</x:v>
      </x:c>
      <x:c r="Q299" s="52" t="n">
        <x:f>IF(P299="","",P299*Guide!$B$15)</x:f>
        <x:v>105482</x:v>
      </x:c>
      <x:c r="R299" t="str">
        <x:f>IF(I299=0,"UNMATCHED",IF(I299&gt;1,"DUPLICATE KEY",IF(OR(N299="TITLE VARIANT",O299="REVIEW",O299="MISSING"),"REVIEW","VERIFIED")))</x:f>
        <x:v>VERIFIED</x:v>
      </x:c>
      <x:c r="S299" s="46" t="str">
        <x:v>Not Reviewed</x:v>
      </x:c>
      <x:c r="T299" s="48"/>
    </x:row>
    <x:row r="300">
      <x:c r="A300" t="n">
        <x:f>Plan_Raw!A300</x:f>
        <x:v>1409</x:v>
      </x:c>
      <x:c r="B300" t="str">
        <x:f>Plan_Raw!D300</x:f>
        <x:v>1226</x:v>
      </x:c>
      <x:c r="C300" t="str">
        <x:f>LEFT(Plan_Raw!B300,10)</x:f>
        <x:v>2026-01-03</x:v>
      </x:c>
      <x:c r="D300" t="str">
        <x:f>Plan_Raw!F300</x:f>
        <x:v>COMMN</x:v>
      </x:c>
      <x:c r="E300" t="str">
        <x:f>Plan_Raw!E300</x:f>
        <x:v>Chf Payroll &amp; Personnel Clerk</x:v>
      </x:c>
      <x:c r="F300" t="str">
        <x:f>Plan_Raw!C300</x:f>
        <x:v>1226C</x:v>
      </x:c>
      <x:c r="G300" s="50" t="n">
        <x:f>IF(Plan_Raw!G300="","",IFERROR(VALUE(Plan_Raw!G300),""))</x:f>
        <x:v>51.475</x:v>
      </x:c>
      <x:c r="H300" t="str">
        <x:f>Plan_Raw!AH300</x:f>
        <x:v>1226|COMMN|2026-01-03</x:v>
      </x:c>
      <x:c r="I300" t="n">
        <x:f>COUNTIF(Rates_Raw!$AF$5:$AF$464,H300)</x:f>
        <x:v>1</x:v>
      </x:c>
      <x:c r="J300" t="str">
        <x:f>IF(I300=1,_xlfn.XLOOKUP(H300,Rates_Raw!$AF$5:$AF$464,Rates_Raw!$E$5:$E$464,""),"")</x:f>
        <x:v>Chf Payroll &amp; Personnel Clerk</x:v>
      </x:c>
      <x:c r="K300" t="n">
        <x:f>IF(I300=1,_xlfn.XLOOKUP(H300,Rates_Raw!$AF$5:$AF$464,Rates_Raw!$F$5:$F$464,""),"")</x:f>
        <x:v>790</x:v>
      </x:c>
      <x:c r="L300" s="50" t="n">
        <x:f>IF(I300=1,IFERROR(VALUE(SUBSTITUTE(_xlfn.XLOOKUP(H300,Rates_Raw!$AF$5:$AF$464,Rates_Raw!$L$5:$L$464,""),"$","")),""),"")</x:f>
        <x:v>51.475</x:v>
      </x:c>
      <x:c r="M300" s="50" t="n">
        <x:f>IF(OR(G300="",L300=""),"",ROUND(G300-L300,4))</x:f>
        <x:v>0</x:v>
      </x:c>
      <x:c r="N300" t="str">
        <x:f>IF(I300=0,"NO MATCH",IF(I300&gt;1,"AMBIGUOUS",IF(EXACT(TRIM(E300),TRIM(J300)),"EXACT","TITLE VARIANT")))</x:f>
        <x:v>EXACT</x:v>
      </x:c>
      <x:c r="O300" t="str">
        <x:f>IF(I300&lt;&gt;1,"NOT TESTED",IF(OR(G300="",L300=""),"MISSING",IF(ABS(M300)&lt;=Guide!$B$16,"PASS","REVIEW")))</x:f>
        <x:v>PASS</x:v>
      </x:c>
      <x:c r="P300" s="52" t="n">
        <x:f>IF(I300=1,IFERROR(VALUE(SUBSTITUTE(SUBSTITUTE(_xlfn.XLOOKUP(H300,Rates_Raw!$AF$5:$AF$464,Rates_Raw!$I$5:$I$464,""),"$",""),",","")),""),"")</x:f>
        <x:v>4118</x:v>
      </x:c>
      <x:c r="Q300" s="52" t="n">
        <x:f>IF(P300="","",P300*Guide!$B$15)</x:f>
        <x:v>107068</x:v>
      </x:c>
      <x:c r="R300" t="str">
        <x:f>IF(I300=0,"UNMATCHED",IF(I300&gt;1,"DUPLICATE KEY",IF(OR(N300="TITLE VARIANT",O300="REVIEW",O300="MISSING"),"REVIEW","VERIFIED")))</x:f>
        <x:v>VERIFIED</x:v>
      </x:c>
      <x:c r="S300" s="46" t="str">
        <x:v>Not Reviewed</x:v>
      </x:c>
      <x:c r="T300" s="48"/>
    </x:row>
    <x:row r="301">
      <x:c r="A301" t="n">
        <x:f>Plan_Raw!A301</x:f>
        <x:v>1421</x:v>
      </x:c>
      <x:c r="B301" t="str">
        <x:f>Plan_Raw!D301</x:f>
        <x:v>1226</x:v>
      </x:c>
      <x:c r="C301" t="str">
        <x:f>LEFT(Plan_Raw!B301,10)</x:f>
        <x:v>2026-01-03</x:v>
      </x:c>
      <x:c r="D301" t="str">
        <x:f>Plan_Raw!F301</x:f>
        <x:v>SFMTA</x:v>
      </x:c>
      <x:c r="E301" t="str">
        <x:f>Plan_Raw!E301</x:f>
        <x:v>Chf Payroll &amp; Personnel Clerk</x:v>
      </x:c>
      <x:c r="F301" t="str">
        <x:f>Plan_Raw!C301</x:f>
        <x:v>1226C</x:v>
      </x:c>
      <x:c r="G301" s="50" t="n">
        <x:f>IF(Plan_Raw!G301="","",IFERROR(VALUE(Plan_Raw!G301),""))</x:f>
        <x:v>51.475</x:v>
      </x:c>
      <x:c r="H301" t="str">
        <x:f>Plan_Raw!AH301</x:f>
        <x:v>1226|SFMTA|2026-01-03</x:v>
      </x:c>
      <x:c r="I301" t="n">
        <x:f>COUNTIF(Rates_Raw!$AF$5:$AF$464,H301)</x:f>
        <x:v>1</x:v>
      </x:c>
      <x:c r="J301" t="str">
        <x:f>IF(I301=1,_xlfn.XLOOKUP(H301,Rates_Raw!$AF$5:$AF$464,Rates_Raw!$E$5:$E$464,""),"")</x:f>
        <x:v>Chf Payroll &amp; Personnel Clerk</x:v>
      </x:c>
      <x:c r="K301" t="n">
        <x:f>IF(I301=1,_xlfn.XLOOKUP(H301,Rates_Raw!$AF$5:$AF$464,Rates_Raw!$F$5:$F$464,""),"")</x:f>
        <x:v>790</x:v>
      </x:c>
      <x:c r="L301" s="50" t="n">
        <x:f>IF(I301=1,IFERROR(VALUE(SUBSTITUTE(_xlfn.XLOOKUP(H301,Rates_Raw!$AF$5:$AF$464,Rates_Raw!$L$5:$L$464,""),"$","")),""),"")</x:f>
        <x:v>51.475</x:v>
      </x:c>
      <x:c r="M301" s="50" t="n">
        <x:f>IF(OR(G301="",L301=""),"",ROUND(G301-L301,4))</x:f>
        <x:v>0</x:v>
      </x:c>
      <x:c r="N301" t="str">
        <x:f>IF(I301=0,"NO MATCH",IF(I301&gt;1,"AMBIGUOUS",IF(EXACT(TRIM(E301),TRIM(J301)),"EXACT","TITLE VARIANT")))</x:f>
        <x:v>EXACT</x:v>
      </x:c>
      <x:c r="O301" t="str">
        <x:f>IF(I301&lt;&gt;1,"NOT TESTED",IF(OR(G301="",L301=""),"MISSING",IF(ABS(M301)&lt;=Guide!$B$16,"PASS","REVIEW")))</x:f>
        <x:v>PASS</x:v>
      </x:c>
      <x:c r="P301" s="52" t="n">
        <x:f>IF(I301=1,IFERROR(VALUE(SUBSTITUTE(SUBSTITUTE(_xlfn.XLOOKUP(H301,Rates_Raw!$AF$5:$AF$464,Rates_Raw!$I$5:$I$464,""),"$",""),",","")),""),"")</x:f>
        <x:v>4118</x:v>
      </x:c>
      <x:c r="Q301" s="52" t="n">
        <x:f>IF(P301="","",P301*Guide!$B$15)</x:f>
        <x:v>107068</x:v>
      </x:c>
      <x:c r="R301" t="str">
        <x:f>IF(I301=0,"UNMATCHED",IF(I301&gt;1,"DUPLICATE KEY",IF(OR(N301="TITLE VARIANT",O301="REVIEW",O301="MISSING"),"REVIEW","VERIFIED")))</x:f>
        <x:v>VERIFIED</x:v>
      </x:c>
      <x:c r="S301" s="46" t="str">
        <x:v>Not Reviewed</x:v>
      </x:c>
      <x:c r="T301" s="48"/>
    </x:row>
    <x:row r="302">
      <x:c r="A302" t="n">
        <x:f>Plan_Raw!A302</x:f>
        <x:v>1410</x:v>
      </x:c>
      <x:c r="B302" t="str">
        <x:f>Plan_Raw!D302</x:f>
        <x:v>1226</x:v>
      </x:c>
      <x:c r="C302" t="str">
        <x:f>LEFT(Plan_Raw!B302,10)</x:f>
        <x:v>2026-07-01</x:v>
      </x:c>
      <x:c r="D302" t="str">
        <x:f>Plan_Raw!F302</x:f>
        <x:v>COMMN</x:v>
      </x:c>
      <x:c r="E302" t="str">
        <x:f>Plan_Raw!E302</x:f>
        <x:v>Chf Payroll &amp; Personnel Clerk</x:v>
      </x:c>
      <x:c r="F302" t="str">
        <x:f>Plan_Raw!C302</x:f>
        <x:v>1226D</x:v>
      </x:c>
      <x:c r="G302" s="50" t="n">
        <x:f>IF(Plan_Raw!G302="","",IFERROR(VALUE(Plan_Raw!G302),""))</x:f>
        <x:v>52.5</x:v>
      </x:c>
      <x:c r="H302" t="str">
        <x:f>Plan_Raw!AH302</x:f>
        <x:v>1226|COMMN|2026-07-01</x:v>
      </x:c>
      <x:c r="I302" t="n">
        <x:f>COUNTIF(Rates_Raw!$AF$5:$AF$464,H302)</x:f>
        <x:v>0</x:v>
      </x:c>
      <x:c r="J302" t="str">
        <x:f>IF(I302=1,_xlfn.XLOOKUP(H302,Rates_Raw!$AF$5:$AF$464,Rates_Raw!$E$5:$E$464,""),"")</x:f>
      </x:c>
      <x:c r="K302" t="str">
        <x:f>IF(I302=1,_xlfn.XLOOKUP(H302,Rates_Raw!$AF$5:$AF$464,Rates_Raw!$F$5:$F$464,""),"")</x:f>
      </x:c>
      <x:c r="L302" s="50" t="str">
        <x:f>IF(I302=1,IFERROR(VALUE(SUBSTITUTE(_xlfn.XLOOKUP(H302,Rates_Raw!$AF$5:$AF$464,Rates_Raw!$L$5:$L$464,""),"$","")),""),"")</x:f>
      </x:c>
      <x:c r="M302" s="50" t="str">
        <x:f>IF(OR(G302="",L302=""),"",ROUND(G302-L302,4))</x:f>
      </x:c>
      <x:c r="N302" t="str">
        <x:f>IF(I302=0,"NO MATCH",IF(I302&gt;1,"AMBIGUOUS",IF(EXACT(TRIM(E302),TRIM(J302)),"EXACT","TITLE VARIANT")))</x:f>
        <x:v>NO MATCH</x:v>
      </x:c>
      <x:c r="O302" t="str">
        <x:f>IF(I302&lt;&gt;1,"NOT TESTED",IF(OR(G302="",L302=""),"MISSING",IF(ABS(M302)&lt;=Guide!$B$16,"PASS","REVIEW")))</x:f>
        <x:v>NOT TESTED</x:v>
      </x:c>
      <x:c r="P302" s="52" t="str">
        <x:f>IF(I302=1,IFERROR(VALUE(SUBSTITUTE(SUBSTITUTE(_xlfn.XLOOKUP(H302,Rates_Raw!$AF$5:$AF$464,Rates_Raw!$I$5:$I$464,""),"$",""),",","")),""),"")</x:f>
      </x:c>
      <x:c r="Q302" s="52" t="str">
        <x:f>IF(P302="","",P302*Guide!$B$15)</x:f>
      </x:c>
      <x:c r="R302" t="str">
        <x:f>IF(I302=0,"UNMATCHED",IF(I302&gt;1,"DUPLICATE KEY",IF(OR(N302="TITLE VARIANT",O302="REVIEW",O302="MISSING"),"REVIEW","VERIFIED")))</x:f>
        <x:v>UNMATCHED</x:v>
      </x:c>
      <x:c r="S302" s="46" t="str">
        <x:v>Not Reviewed</x:v>
      </x:c>
      <x:c r="T302" s="48"/>
    </x:row>
    <x:row r="303">
      <x:c r="A303" t="n">
        <x:f>Plan_Raw!A303</x:f>
        <x:v>1422</x:v>
      </x:c>
      <x:c r="B303" t="str">
        <x:f>Plan_Raw!D303</x:f>
        <x:v>1226</x:v>
      </x:c>
      <x:c r="C303" t="str">
        <x:f>LEFT(Plan_Raw!B303,10)</x:f>
        <x:v>2026-07-01</x:v>
      </x:c>
      <x:c r="D303" t="str">
        <x:f>Plan_Raw!F303</x:f>
        <x:v>SFMTA</x:v>
      </x:c>
      <x:c r="E303" t="str">
        <x:f>Plan_Raw!E303</x:f>
        <x:v>Chf Payroll &amp; Personnel Clerk</x:v>
      </x:c>
      <x:c r="F303" t="str">
        <x:f>Plan_Raw!C303</x:f>
        <x:v>1226D</x:v>
      </x:c>
      <x:c r="G303" s="50" t="n">
        <x:f>IF(Plan_Raw!G303="","",IFERROR(VALUE(Plan_Raw!G303),""))</x:f>
        <x:v>52.5</x:v>
      </x:c>
      <x:c r="H303" t="str">
        <x:f>Plan_Raw!AH303</x:f>
        <x:v>1226|SFMTA|2026-07-01</x:v>
      </x:c>
      <x:c r="I303" t="n">
        <x:f>COUNTIF(Rates_Raw!$AF$5:$AF$464,H303)</x:f>
        <x:v>0</x:v>
      </x:c>
      <x:c r="J303" t="str">
        <x:f>IF(I303=1,_xlfn.XLOOKUP(H303,Rates_Raw!$AF$5:$AF$464,Rates_Raw!$E$5:$E$464,""),"")</x:f>
      </x:c>
      <x:c r="K303" t="str">
        <x:f>IF(I303=1,_xlfn.XLOOKUP(H303,Rates_Raw!$AF$5:$AF$464,Rates_Raw!$F$5:$F$464,""),"")</x:f>
      </x:c>
      <x:c r="L303" s="50" t="str">
        <x:f>IF(I303=1,IFERROR(VALUE(SUBSTITUTE(_xlfn.XLOOKUP(H303,Rates_Raw!$AF$5:$AF$464,Rates_Raw!$L$5:$L$464,""),"$","")),""),"")</x:f>
      </x:c>
      <x:c r="M303" s="50" t="str">
        <x:f>IF(OR(G303="",L303=""),"",ROUND(G303-L303,4))</x:f>
      </x:c>
      <x:c r="N303" t="str">
        <x:f>IF(I303=0,"NO MATCH",IF(I303&gt;1,"AMBIGUOUS",IF(EXACT(TRIM(E303),TRIM(J303)),"EXACT","TITLE VARIANT")))</x:f>
        <x:v>NO MATCH</x:v>
      </x:c>
      <x:c r="O303" t="str">
        <x:f>IF(I303&lt;&gt;1,"NOT TESTED",IF(OR(G303="",L303=""),"MISSING",IF(ABS(M303)&lt;=Guide!$B$16,"PASS","REVIEW")))</x:f>
        <x:v>NOT TESTED</x:v>
      </x:c>
      <x:c r="P303" s="52" t="str">
        <x:f>IF(I303=1,IFERROR(VALUE(SUBSTITUTE(SUBSTITUTE(_xlfn.XLOOKUP(H303,Rates_Raw!$AF$5:$AF$464,Rates_Raw!$I$5:$I$464,""),"$",""),",","")),""),"")</x:f>
      </x:c>
      <x:c r="Q303" s="52" t="str">
        <x:f>IF(P303="","",P303*Guide!$B$15)</x:f>
      </x:c>
      <x:c r="R303" t="str">
        <x:f>IF(I303=0,"UNMATCHED",IF(I303&gt;1,"DUPLICATE KEY",IF(OR(N303="TITLE VARIANT",O303="REVIEW",O303="MISSING"),"REVIEW","VERIFIED")))</x:f>
        <x:v>UNMATCHED</x:v>
      </x:c>
      <x:c r="S303" s="46" t="str">
        <x:v>Not Reviewed</x:v>
      </x:c>
      <x:c r="T303" s="48"/>
    </x:row>
    <x:row r="304">
      <x:c r="A304" t="n">
        <x:f>Plan_Raw!A304</x:f>
        <x:v>1490</x:v>
      </x:c>
      <x:c r="B304" t="str">
        <x:f>Plan_Raw!D304</x:f>
        <x:v>1231</x:v>
      </x:c>
      <x:c r="C304" t="str">
        <x:f>LEFT(Plan_Raw!B304,10)</x:f>
        <x:v>2020-07-01</x:v>
      </x:c>
      <x:c r="D304" t="str">
        <x:f>Plan_Raw!F304</x:f>
        <x:v>COMMN</x:v>
      </x:c>
      <x:c r="E304" t="str">
        <x:f>Plan_Raw!E304</x:f>
        <x:v>Equal Employment Opportunity Programs Senior Specialist</x:v>
      </x:c>
      <x:c r="F304" t="str">
        <x:f>Plan_Raw!C304</x:f>
        <x:v>1231S</x:v>
      </x:c>
      <x:c r="G304" s="50" t="n">
        <x:f>IF(Plan_Raw!G304="","",IFERROR(VALUE(Plan_Raw!G304),""))</x:f>
        <x:v>52.2625</x:v>
      </x:c>
      <x:c r="H304" t="str">
        <x:f>Plan_Raw!AH304</x:f>
        <x:v>1231|COMMN|2020-07-01</x:v>
      </x:c>
      <x:c r="I304" t="n">
        <x:f>COUNTIF(Rates_Raw!$AF$5:$AF$464,H304)</x:f>
        <x:v>1</x:v>
      </x:c>
      <x:c r="J304" t="str">
        <x:f>IF(I304=1,_xlfn.XLOOKUP(H304,Rates_Raw!$AF$5:$AF$464,Rates_Raw!$E$5:$E$464,""),"")</x:f>
        <x:v>Equal Employment Opportunity Programs Senior Specialist</x:v>
      </x:c>
      <x:c r="K304" t="n">
        <x:f>IF(I304=1,_xlfn.XLOOKUP(H304,Rates_Raw!$AF$5:$AF$464,Rates_Raw!$F$5:$F$464,""),"")</x:f>
        <x:v>22</x:v>
      </x:c>
      <x:c r="L304" s="50" t="n">
        <x:f>IF(I304=1,IFERROR(VALUE(SUBSTITUTE(_xlfn.XLOOKUP(H304,Rates_Raw!$AF$5:$AF$464,Rates_Raw!$L$5:$L$464,""),"$","")),""),"")</x:f>
        <x:v>52.2625</x:v>
      </x:c>
      <x:c r="M304" s="50" t="n">
        <x:f>IF(OR(G304="",L304=""),"",ROUND(G304-L304,4))</x:f>
        <x:v>0</x:v>
      </x:c>
      <x:c r="N304" t="str">
        <x:f>IF(I304=0,"NO MATCH",IF(I304&gt;1,"AMBIGUOUS",IF(EXACT(TRIM(E304),TRIM(J304)),"EXACT","TITLE VARIANT")))</x:f>
        <x:v>EXACT</x:v>
      </x:c>
      <x:c r="O304" t="str">
        <x:f>IF(I304&lt;&gt;1,"NOT TESTED",IF(OR(G304="",L304=""),"MISSING",IF(ABS(M304)&lt;=Guide!$B$16,"PASS","REVIEW")))</x:f>
        <x:v>PASS</x:v>
      </x:c>
      <x:c r="P304" s="52" t="n">
        <x:f>IF(I304=1,IFERROR(VALUE(SUBSTITUTE(SUBSTITUTE(_xlfn.XLOOKUP(H304,Rates_Raw!$AF$5:$AF$464,Rates_Raw!$I$5:$I$464,""),"$",""),",","")),""),"")</x:f>
        <x:v>4181</x:v>
      </x:c>
      <x:c r="Q304" s="52" t="n">
        <x:f>IF(P304="","",P304*Guide!$B$15)</x:f>
        <x:v>108706</x:v>
      </x:c>
      <x:c r="R304" t="str">
        <x:f>IF(I304=0,"UNMATCHED",IF(I304&gt;1,"DUPLICATE KEY",IF(OR(N304="TITLE VARIANT",O304="REVIEW",O304="MISSING"),"REVIEW","VERIFIED")))</x:f>
        <x:v>VERIFIED</x:v>
      </x:c>
      <x:c r="S304" s="46" t="str">
        <x:v>Not Reviewed</x:v>
      </x:c>
      <x:c r="T304" s="48"/>
    </x:row>
    <x:row r="305">
      <x:c r="A305" t="n">
        <x:f>Plan_Raw!A305</x:f>
        <x:v>1496</x:v>
      </x:c>
      <x:c r="B305" t="str">
        <x:f>Plan_Raw!D305</x:f>
        <x:v>1231</x:v>
      </x:c>
      <x:c r="C305" t="str">
        <x:f>LEFT(Plan_Raw!B305,10)</x:f>
        <x:v>2024-01-06</x:v>
      </x:c>
      <x:c r="D305" t="str">
        <x:f>Plan_Raw!F305</x:f>
        <x:v>COMMN</x:v>
      </x:c>
      <x:c r="E305" t="str">
        <x:f>Plan_Raw!E305</x:f>
        <x:v>Equal Employment Opportunity Programs Senior Specialist</x:v>
      </x:c>
      <x:c r="F305" t="str">
        <x:f>Plan_Raw!C305</x:f>
        <x:v>1231Y</x:v>
      </x:c>
      <x:c r="G305" s="50" t="n">
        <x:f>IF(Plan_Raw!G305="","",IFERROR(VALUE(Plan_Raw!G305),""))</x:f>
        <x:v>61.7625</x:v>
      </x:c>
      <x:c r="H305" t="str">
        <x:f>Plan_Raw!AH305</x:f>
        <x:v>1231|COMMN|2024-01-06</x:v>
      </x:c>
      <x:c r="I305" t="n">
        <x:f>COUNTIF(Rates_Raw!$AF$5:$AF$464,H305)</x:f>
        <x:v>1</x:v>
      </x:c>
      <x:c r="J305" t="str">
        <x:f>IF(I305=1,_xlfn.XLOOKUP(H305,Rates_Raw!$AF$5:$AF$464,Rates_Raw!$E$5:$E$464,""),"")</x:f>
        <x:v>Equal Employment Opportunity Programs Senior Specialist</x:v>
      </x:c>
      <x:c r="K305" t="n">
        <x:f>IF(I305=1,_xlfn.XLOOKUP(H305,Rates_Raw!$AF$5:$AF$464,Rates_Raw!$F$5:$F$464,""),"")</x:f>
        <x:v>22</x:v>
      </x:c>
      <x:c r="L305" s="50" t="n">
        <x:f>IF(I305=1,IFERROR(VALUE(SUBSTITUTE(_xlfn.XLOOKUP(H305,Rates_Raw!$AF$5:$AF$464,Rates_Raw!$L$5:$L$464,""),"$","")),""),"")</x:f>
        <x:v>61.7625</x:v>
      </x:c>
      <x:c r="M305" s="50" t="n">
        <x:f>IF(OR(G305="",L305=""),"",ROUND(G305-L305,4))</x:f>
        <x:v>0</x:v>
      </x:c>
      <x:c r="N305" t="str">
        <x:f>IF(I305=0,"NO MATCH",IF(I305&gt;1,"AMBIGUOUS",IF(EXACT(TRIM(E305),TRIM(J305)),"EXACT","TITLE VARIANT")))</x:f>
        <x:v>EXACT</x:v>
      </x:c>
      <x:c r="O305" t="str">
        <x:f>IF(I305&lt;&gt;1,"NOT TESTED",IF(OR(G305="",L305=""),"MISSING",IF(ABS(M305)&lt;=Guide!$B$16,"PASS","REVIEW")))</x:f>
        <x:v>PASS</x:v>
      </x:c>
      <x:c r="P305" s="52" t="n">
        <x:f>IF(I305=1,IFERROR(VALUE(SUBSTITUTE(SUBSTITUTE(_xlfn.XLOOKUP(H305,Rates_Raw!$AF$5:$AF$464,Rates_Raw!$I$5:$I$464,""),"$",""),",","")),""),"")</x:f>
        <x:v>4941</x:v>
      </x:c>
      <x:c r="Q305" s="52" t="n">
        <x:f>IF(P305="","",P305*Guide!$B$15)</x:f>
        <x:v>128466</x:v>
      </x:c>
      <x:c r="R305" t="str">
        <x:f>IF(I305=0,"UNMATCHED",IF(I305&gt;1,"DUPLICATE KEY",IF(OR(N305="TITLE VARIANT",O305="REVIEW",O305="MISSING"),"REVIEW","VERIFIED")))</x:f>
        <x:v>VERIFIED</x:v>
      </x:c>
      <x:c r="S305" s="46" t="str">
        <x:v>Not Reviewed</x:v>
      </x:c>
      <x:c r="T305" s="48"/>
    </x:row>
    <x:row r="306">
      <x:c r="A306" t="n">
        <x:f>Plan_Raw!A306</x:f>
        <x:v>1508</x:v>
      </x:c>
      <x:c r="B306" t="str">
        <x:f>Plan_Raw!D306</x:f>
        <x:v>1231</x:v>
      </x:c>
      <x:c r="C306" t="str">
        <x:f>LEFT(Plan_Raw!B306,10)</x:f>
        <x:v>2024-01-06</x:v>
      </x:c>
      <x:c r="D306" t="str">
        <x:f>Plan_Raw!F306</x:f>
        <x:v>SFMTA</x:v>
      </x:c>
      <x:c r="E306" t="str">
        <x:f>Plan_Raw!E306</x:f>
        <x:v>Equal Employment Opportunity Programs Senior Specialist</x:v>
      </x:c>
      <x:c r="F306" t="str">
        <x:f>Plan_Raw!C306</x:f>
        <x:v>1231Y</x:v>
      </x:c>
      <x:c r="G306" s="50" t="n">
        <x:f>IF(Plan_Raw!G306="","",IFERROR(VALUE(Plan_Raw!G306),""))</x:f>
        <x:v>61.7625</x:v>
      </x:c>
      <x:c r="H306" t="str">
        <x:f>Plan_Raw!AH306</x:f>
        <x:v>1231|SFMTA|2024-01-06</x:v>
      </x:c>
      <x:c r="I306" t="n">
        <x:f>COUNTIF(Rates_Raw!$AF$5:$AF$464,H306)</x:f>
        <x:v>1</x:v>
      </x:c>
      <x:c r="J306" t="str">
        <x:f>IF(I306=1,_xlfn.XLOOKUP(H306,Rates_Raw!$AF$5:$AF$464,Rates_Raw!$E$5:$E$464,""),"")</x:f>
        <x:v>Equal Employment Opportunity Programs Senior Specialist</x:v>
      </x:c>
      <x:c r="K306" t="n">
        <x:f>IF(I306=1,_xlfn.XLOOKUP(H306,Rates_Raw!$AF$5:$AF$464,Rates_Raw!$F$5:$F$464,""),"")</x:f>
        <x:v>22</x:v>
      </x:c>
      <x:c r="L306" s="50" t="n">
        <x:f>IF(I306=1,IFERROR(VALUE(SUBSTITUTE(_xlfn.XLOOKUP(H306,Rates_Raw!$AF$5:$AF$464,Rates_Raw!$L$5:$L$464,""),"$","")),""),"")</x:f>
        <x:v>61.7625</x:v>
      </x:c>
      <x:c r="M306" s="50" t="n">
        <x:f>IF(OR(G306="",L306=""),"",ROUND(G306-L306,4))</x:f>
        <x:v>0</x:v>
      </x:c>
      <x:c r="N306" t="str">
        <x:f>IF(I306=0,"NO MATCH",IF(I306&gt;1,"AMBIGUOUS",IF(EXACT(TRIM(E306),TRIM(J306)),"EXACT","TITLE VARIANT")))</x:f>
        <x:v>EXACT</x:v>
      </x:c>
      <x:c r="O306" t="str">
        <x:f>IF(I306&lt;&gt;1,"NOT TESTED",IF(OR(G306="",L306=""),"MISSING",IF(ABS(M306)&lt;=Guide!$B$16,"PASS","REVIEW")))</x:f>
        <x:v>PASS</x:v>
      </x:c>
      <x:c r="P306" s="52" t="n">
        <x:f>IF(I306=1,IFERROR(VALUE(SUBSTITUTE(SUBSTITUTE(_xlfn.XLOOKUP(H306,Rates_Raw!$AF$5:$AF$464,Rates_Raw!$I$5:$I$464,""),"$",""),",","")),""),"")</x:f>
        <x:v>4941</x:v>
      </x:c>
      <x:c r="Q306" s="52" t="n">
        <x:f>IF(P306="","",P306*Guide!$B$15)</x:f>
        <x:v>128466</x:v>
      </x:c>
      <x:c r="R306" t="str">
        <x:f>IF(I306=0,"UNMATCHED",IF(I306&gt;1,"DUPLICATE KEY",IF(OR(N306="TITLE VARIANT",O306="REVIEW",O306="MISSING"),"REVIEW","VERIFIED")))</x:f>
        <x:v>VERIFIED</x:v>
      </x:c>
      <x:c r="S306" s="46" t="str">
        <x:v>Not Reviewed</x:v>
      </x:c>
      <x:c r="T306" s="48"/>
    </x:row>
    <x:row r="307">
      <x:c r="A307" t="n">
        <x:f>Plan_Raw!A307</x:f>
        <x:v>1497</x:v>
      </x:c>
      <x:c r="B307" t="str">
        <x:f>Plan_Raw!D307</x:f>
        <x:v>1231</x:v>
      </x:c>
      <x:c r="C307" t="str">
        <x:f>LEFT(Plan_Raw!B307,10)</x:f>
        <x:v>2024-07-01</x:v>
      </x:c>
      <x:c r="D307" t="str">
        <x:f>Plan_Raw!F307</x:f>
        <x:v>COMMN</x:v>
      </x:c>
      <x:c r="E307" t="str">
        <x:f>Plan_Raw!E307</x:f>
        <x:v>Equal Employment Opportunity Programs Senior Specialist</x:v>
      </x:c>
      <x:c r="F307" t="str">
        <x:f>Plan_Raw!C307</x:f>
        <x:v>1231Z</x:v>
      </x:c>
      <x:c r="G307" s="50" t="n">
        <x:f>IF(Plan_Raw!G307="","",IFERROR(VALUE(Plan_Raw!G307),""))</x:f>
        <x:v>62.6875</x:v>
      </x:c>
      <x:c r="H307" t="str">
        <x:f>Plan_Raw!AH307</x:f>
        <x:v>1231|COMMN|2024-07-01</x:v>
      </x:c>
      <x:c r="I307" t="n">
        <x:f>COUNTIF(Rates_Raw!$AF$5:$AF$464,H307)</x:f>
        <x:v>1</x:v>
      </x:c>
      <x:c r="J307" t="str">
        <x:f>IF(I307=1,_xlfn.XLOOKUP(H307,Rates_Raw!$AF$5:$AF$464,Rates_Raw!$E$5:$E$464,""),"")</x:f>
        <x:v>Equal Employment Opportunity Programs Senior Specialist</x:v>
      </x:c>
      <x:c r="K307" t="n">
        <x:f>IF(I307=1,_xlfn.XLOOKUP(H307,Rates_Raw!$AF$5:$AF$464,Rates_Raw!$F$5:$F$464,""),"")</x:f>
        <x:v>22</x:v>
      </x:c>
      <x:c r="L307" s="50" t="n">
        <x:f>IF(I307=1,IFERROR(VALUE(SUBSTITUTE(_xlfn.XLOOKUP(H307,Rates_Raw!$AF$5:$AF$464,Rates_Raw!$L$5:$L$464,""),"$","")),""),"")</x:f>
        <x:v>62.6875</x:v>
      </x:c>
      <x:c r="M307" s="50" t="n">
        <x:f>IF(OR(G307="",L307=""),"",ROUND(G307-L307,4))</x:f>
        <x:v>0</x:v>
      </x:c>
      <x:c r="N307" t="str">
        <x:f>IF(I307=0,"NO MATCH",IF(I307&gt;1,"AMBIGUOUS",IF(EXACT(TRIM(E307),TRIM(J307)),"EXACT","TITLE VARIANT")))</x:f>
        <x:v>EXACT</x:v>
      </x:c>
      <x:c r="O307" t="str">
        <x:f>IF(I307&lt;&gt;1,"NOT TESTED",IF(OR(G307="",L307=""),"MISSING",IF(ABS(M307)&lt;=Guide!$B$16,"PASS","REVIEW")))</x:f>
        <x:v>PASS</x:v>
      </x:c>
      <x:c r="P307" s="52" t="n">
        <x:f>IF(I307=1,IFERROR(VALUE(SUBSTITUTE(SUBSTITUTE(_xlfn.XLOOKUP(H307,Rates_Raw!$AF$5:$AF$464,Rates_Raw!$I$5:$I$464,""),"$",""),",","")),""),"")</x:f>
        <x:v>5015</x:v>
      </x:c>
      <x:c r="Q307" s="52" t="n">
        <x:f>IF(P307="","",P307*Guide!$B$15)</x:f>
        <x:v>130390</x:v>
      </x:c>
      <x:c r="R307" t="str">
        <x:f>IF(I307=0,"UNMATCHED",IF(I307&gt;1,"DUPLICATE KEY",IF(OR(N307="TITLE VARIANT",O307="REVIEW",O307="MISSING"),"REVIEW","VERIFIED")))</x:f>
        <x:v>VERIFIED</x:v>
      </x:c>
      <x:c r="S307" s="46" t="str">
        <x:v>Not Reviewed</x:v>
      </x:c>
      <x:c r="T307" s="48"/>
    </x:row>
    <x:row r="308">
      <x:c r="A308" t="n">
        <x:f>Plan_Raw!A308</x:f>
        <x:v>1509</x:v>
      </x:c>
      <x:c r="B308" t="str">
        <x:f>Plan_Raw!D308</x:f>
        <x:v>1231</x:v>
      </x:c>
      <x:c r="C308" t="str">
        <x:f>LEFT(Plan_Raw!B308,10)</x:f>
        <x:v>2024-07-01</x:v>
      </x:c>
      <x:c r="D308" t="str">
        <x:f>Plan_Raw!F308</x:f>
        <x:v>SFMTA</x:v>
      </x:c>
      <x:c r="E308" t="str">
        <x:f>Plan_Raw!E308</x:f>
        <x:v>Equal Employment Opportunity Programs Senior Specialist</x:v>
      </x:c>
      <x:c r="F308" t="str">
        <x:f>Plan_Raw!C308</x:f>
        <x:v>1231Z</x:v>
      </x:c>
      <x:c r="G308" s="50" t="n">
        <x:f>IF(Plan_Raw!G308="","",IFERROR(VALUE(Plan_Raw!G308),""))</x:f>
        <x:v>62.6875</x:v>
      </x:c>
      <x:c r="H308" t="str">
        <x:f>Plan_Raw!AH308</x:f>
        <x:v>1231|SFMTA|2024-07-01</x:v>
      </x:c>
      <x:c r="I308" t="n">
        <x:f>COUNTIF(Rates_Raw!$AF$5:$AF$464,H308)</x:f>
        <x:v>1</x:v>
      </x:c>
      <x:c r="J308" t="str">
        <x:f>IF(I308=1,_xlfn.XLOOKUP(H308,Rates_Raw!$AF$5:$AF$464,Rates_Raw!$E$5:$E$464,""),"")</x:f>
        <x:v>Equal Employment Opportunity Programs Senior Specialist</x:v>
      </x:c>
      <x:c r="K308" t="n">
        <x:f>IF(I308=1,_xlfn.XLOOKUP(H308,Rates_Raw!$AF$5:$AF$464,Rates_Raw!$F$5:$F$464,""),"")</x:f>
        <x:v>22</x:v>
      </x:c>
      <x:c r="L308" s="50" t="n">
        <x:f>IF(I308=1,IFERROR(VALUE(SUBSTITUTE(_xlfn.XLOOKUP(H308,Rates_Raw!$AF$5:$AF$464,Rates_Raw!$L$5:$L$464,""),"$","")),""),"")</x:f>
        <x:v>62.6875</x:v>
      </x:c>
      <x:c r="M308" s="50" t="n">
        <x:f>IF(OR(G308="",L308=""),"",ROUND(G308-L308,4))</x:f>
        <x:v>0</x:v>
      </x:c>
      <x:c r="N308" t="str">
        <x:f>IF(I308=0,"NO MATCH",IF(I308&gt;1,"AMBIGUOUS",IF(EXACT(TRIM(E308),TRIM(J308)),"EXACT","TITLE VARIANT")))</x:f>
        <x:v>EXACT</x:v>
      </x:c>
      <x:c r="O308" t="str">
        <x:f>IF(I308&lt;&gt;1,"NOT TESTED",IF(OR(G308="",L308=""),"MISSING",IF(ABS(M308)&lt;=Guide!$B$16,"PASS","REVIEW")))</x:f>
        <x:v>PASS</x:v>
      </x:c>
      <x:c r="P308" s="52" t="n">
        <x:f>IF(I308=1,IFERROR(VALUE(SUBSTITUTE(SUBSTITUTE(_xlfn.XLOOKUP(H308,Rates_Raw!$AF$5:$AF$464,Rates_Raw!$I$5:$I$464,""),"$",""),",","")),""),"")</x:f>
        <x:v>5015</x:v>
      </x:c>
      <x:c r="Q308" s="52" t="n">
        <x:f>IF(P308="","",P308*Guide!$B$15)</x:f>
        <x:v>130390</x:v>
      </x:c>
      <x:c r="R308" t="str">
        <x:f>IF(I308=0,"UNMATCHED",IF(I308&gt;1,"DUPLICATE KEY",IF(OR(N308="TITLE VARIANT",O308="REVIEW",O308="MISSING"),"REVIEW","VERIFIED")))</x:f>
        <x:v>VERIFIED</x:v>
      </x:c>
      <x:c r="S308" s="46" t="str">
        <x:v>Not Reviewed</x:v>
      </x:c>
      <x:c r="T308" s="48"/>
    </x:row>
    <x:row r="309">
      <x:c r="A309" t="n">
        <x:f>Plan_Raw!A309</x:f>
        <x:v>1498</x:v>
      </x:c>
      <x:c r="B309" t="str">
        <x:f>Plan_Raw!D309</x:f>
        <x:v>1231</x:v>
      </x:c>
      <x:c r="C309" t="str">
        <x:f>LEFT(Plan_Raw!B309,10)</x:f>
        <x:v>2025-01-04</x:v>
      </x:c>
      <x:c r="D309" t="str">
        <x:f>Plan_Raw!F309</x:f>
        <x:v>COMMN</x:v>
      </x:c>
      <x:c r="E309" t="str">
        <x:f>Plan_Raw!E309</x:f>
        <x:v>Equal Employment Opportunity Programs Senior Specialist</x:v>
      </x:c>
      <x:c r="F309" t="str">
        <x:f>Plan_Raw!C309</x:f>
        <x:v>1231A</x:v>
      </x:c>
      <x:c r="G309" s="50" t="n">
        <x:f>IF(Plan_Raw!G309="","",IFERROR(VALUE(Plan_Raw!G309),""))</x:f>
        <x:v>63.625</x:v>
      </x:c>
      <x:c r="H309" t="str">
        <x:f>Plan_Raw!AH309</x:f>
        <x:v>1231|COMMN|2025-01-04</x:v>
      </x:c>
      <x:c r="I309" t="n">
        <x:f>COUNTIF(Rates_Raw!$AF$5:$AF$464,H309)</x:f>
        <x:v>1</x:v>
      </x:c>
      <x:c r="J309" t="str">
        <x:f>IF(I309=1,_xlfn.XLOOKUP(H309,Rates_Raw!$AF$5:$AF$464,Rates_Raw!$E$5:$E$464,""),"")</x:f>
        <x:v>Equal Employment Opportunity Programs Senior Specialist</x:v>
      </x:c>
      <x:c r="K309" t="n">
        <x:f>IF(I309=1,_xlfn.XLOOKUP(H309,Rates_Raw!$AF$5:$AF$464,Rates_Raw!$F$5:$F$464,""),"")</x:f>
        <x:v>22</x:v>
      </x:c>
      <x:c r="L309" s="50" t="n">
        <x:f>IF(I309=1,IFERROR(VALUE(SUBSTITUTE(_xlfn.XLOOKUP(H309,Rates_Raw!$AF$5:$AF$464,Rates_Raw!$L$5:$L$464,""),"$","")),""),"")</x:f>
        <x:v>63.625</x:v>
      </x:c>
      <x:c r="M309" s="50" t="n">
        <x:f>IF(OR(G309="",L309=""),"",ROUND(G309-L309,4))</x:f>
        <x:v>0</x:v>
      </x:c>
      <x:c r="N309" t="str">
        <x:f>IF(I309=0,"NO MATCH",IF(I309&gt;1,"AMBIGUOUS",IF(EXACT(TRIM(E309),TRIM(J309)),"EXACT","TITLE VARIANT")))</x:f>
        <x:v>EXACT</x:v>
      </x:c>
      <x:c r="O309" t="str">
        <x:f>IF(I309&lt;&gt;1,"NOT TESTED",IF(OR(G309="",L309=""),"MISSING",IF(ABS(M309)&lt;=Guide!$B$16,"PASS","REVIEW")))</x:f>
        <x:v>PASS</x:v>
      </x:c>
      <x:c r="P309" s="52" t="n">
        <x:f>IF(I309=1,IFERROR(VALUE(SUBSTITUTE(SUBSTITUTE(_xlfn.XLOOKUP(H309,Rates_Raw!$AF$5:$AF$464,Rates_Raw!$I$5:$I$464,""),"$",""),",","")),""),"")</x:f>
        <x:v>5090</x:v>
      </x:c>
      <x:c r="Q309" s="52" t="n">
        <x:f>IF(P309="","",P309*Guide!$B$15)</x:f>
        <x:v>132340</x:v>
      </x:c>
      <x:c r="R309" t="str">
        <x:f>IF(I309=0,"UNMATCHED",IF(I309&gt;1,"DUPLICATE KEY",IF(OR(N309="TITLE VARIANT",O309="REVIEW",O309="MISSING"),"REVIEW","VERIFIED")))</x:f>
        <x:v>VERIFIED</x:v>
      </x:c>
      <x:c r="S309" s="46" t="str">
        <x:v>Not Reviewed</x:v>
      </x:c>
      <x:c r="T309" s="48"/>
    </x:row>
    <x:row r="310">
      <x:c r="A310" t="n">
        <x:f>Plan_Raw!A310</x:f>
        <x:v>1510</x:v>
      </x:c>
      <x:c r="B310" t="str">
        <x:f>Plan_Raw!D310</x:f>
        <x:v>1231</x:v>
      </x:c>
      <x:c r="C310" t="str">
        <x:f>LEFT(Plan_Raw!B310,10)</x:f>
        <x:v>2025-01-04</x:v>
      </x:c>
      <x:c r="D310" t="str">
        <x:f>Plan_Raw!F310</x:f>
        <x:v>SFMTA</x:v>
      </x:c>
      <x:c r="E310" t="str">
        <x:f>Plan_Raw!E310</x:f>
        <x:v>Equal Employment Opportunity Programs Senior Specialist</x:v>
      </x:c>
      <x:c r="F310" t="str">
        <x:f>Plan_Raw!C310</x:f>
        <x:v>1231A</x:v>
      </x:c>
      <x:c r="G310" s="50" t="n">
        <x:f>IF(Plan_Raw!G310="","",IFERROR(VALUE(Plan_Raw!G310),""))</x:f>
        <x:v>63.625</x:v>
      </x:c>
      <x:c r="H310" t="str">
        <x:f>Plan_Raw!AH310</x:f>
        <x:v>1231|SFMTA|2025-01-04</x:v>
      </x:c>
      <x:c r="I310" t="n">
        <x:f>COUNTIF(Rates_Raw!$AF$5:$AF$464,H310)</x:f>
        <x:v>1</x:v>
      </x:c>
      <x:c r="J310" t="str">
        <x:f>IF(I310=1,_xlfn.XLOOKUP(H310,Rates_Raw!$AF$5:$AF$464,Rates_Raw!$E$5:$E$464,""),"")</x:f>
        <x:v>Equal Employment Opportunity Programs Senior Specialist</x:v>
      </x:c>
      <x:c r="K310" t="n">
        <x:f>IF(I310=1,_xlfn.XLOOKUP(H310,Rates_Raw!$AF$5:$AF$464,Rates_Raw!$F$5:$F$464,""),"")</x:f>
        <x:v>22</x:v>
      </x:c>
      <x:c r="L310" s="50" t="n">
        <x:f>IF(I310=1,IFERROR(VALUE(SUBSTITUTE(_xlfn.XLOOKUP(H310,Rates_Raw!$AF$5:$AF$464,Rates_Raw!$L$5:$L$464,""),"$","")),""),"")</x:f>
        <x:v>63.625</x:v>
      </x:c>
      <x:c r="M310" s="50" t="n">
        <x:f>IF(OR(G310="",L310=""),"",ROUND(G310-L310,4))</x:f>
        <x:v>0</x:v>
      </x:c>
      <x:c r="N310" t="str">
        <x:f>IF(I310=0,"NO MATCH",IF(I310&gt;1,"AMBIGUOUS",IF(EXACT(TRIM(E310),TRIM(J310)),"EXACT","TITLE VARIANT")))</x:f>
        <x:v>EXACT</x:v>
      </x:c>
      <x:c r="O310" t="str">
        <x:f>IF(I310&lt;&gt;1,"NOT TESTED",IF(OR(G310="",L310=""),"MISSING",IF(ABS(M310)&lt;=Guide!$B$16,"PASS","REVIEW")))</x:f>
        <x:v>PASS</x:v>
      </x:c>
      <x:c r="P310" s="52" t="n">
        <x:f>IF(I310=1,IFERROR(VALUE(SUBSTITUTE(SUBSTITUTE(_xlfn.XLOOKUP(H310,Rates_Raw!$AF$5:$AF$464,Rates_Raw!$I$5:$I$464,""),"$",""),",","")),""),"")</x:f>
        <x:v>5090</x:v>
      </x:c>
      <x:c r="Q310" s="52" t="n">
        <x:f>IF(P310="","",P310*Guide!$B$15)</x:f>
        <x:v>132340</x:v>
      </x:c>
      <x:c r="R310" t="str">
        <x:f>IF(I310=0,"UNMATCHED",IF(I310&gt;1,"DUPLICATE KEY",IF(OR(N310="TITLE VARIANT",O310="REVIEW",O310="MISSING"),"REVIEW","VERIFIED")))</x:f>
        <x:v>VERIFIED</x:v>
      </x:c>
      <x:c r="S310" s="46" t="str">
        <x:v>Not Reviewed</x:v>
      </x:c>
      <x:c r="T310" s="48"/>
    </x:row>
    <x:row r="311">
      <x:c r="A311" t="n">
        <x:f>Plan_Raw!A311</x:f>
        <x:v>1499</x:v>
      </x:c>
      <x:c r="B311" t="str">
        <x:f>Plan_Raw!D311</x:f>
        <x:v>1231</x:v>
      </x:c>
      <x:c r="C311" t="str">
        <x:f>LEFT(Plan_Raw!B311,10)</x:f>
        <x:v>2025-07-01</x:v>
      </x:c>
      <x:c r="D311" t="str">
        <x:f>Plan_Raw!F311</x:f>
        <x:v>COMMN</x:v>
      </x:c>
      <x:c r="E311" t="str">
        <x:f>Plan_Raw!E311</x:f>
        <x:v>EEO Senior Specialist</x:v>
      </x:c>
      <x:c r="F311" t="str">
        <x:f>Plan_Raw!C311</x:f>
        <x:v>1231B</x:v>
      </x:c>
      <x:c r="G311" s="50" t="n">
        <x:f>IF(Plan_Raw!G311="","",IFERROR(VALUE(Plan_Raw!G311),""))</x:f>
        <x:v>64.9</x:v>
      </x:c>
      <x:c r="H311" t="str">
        <x:f>Plan_Raw!AH311</x:f>
        <x:v>1231|COMMN|2025-07-01</x:v>
      </x:c>
      <x:c r="I311" t="n">
        <x:f>COUNTIF(Rates_Raw!$AF$5:$AF$464,H311)</x:f>
        <x:v>1</x:v>
      </x:c>
      <x:c r="J311" t="str">
        <x:f>IF(I311=1,_xlfn.XLOOKUP(H311,Rates_Raw!$AF$5:$AF$464,Rates_Raw!$E$5:$E$464,""),"")</x:f>
        <x:v>EEO Senior Specialist</x:v>
      </x:c>
      <x:c r="K311" t="n">
        <x:f>IF(I311=1,_xlfn.XLOOKUP(H311,Rates_Raw!$AF$5:$AF$464,Rates_Raw!$F$5:$F$464,""),"")</x:f>
        <x:v>22</x:v>
      </x:c>
      <x:c r="L311" s="50" t="n">
        <x:f>IF(I311=1,IFERROR(VALUE(SUBSTITUTE(_xlfn.XLOOKUP(H311,Rates_Raw!$AF$5:$AF$464,Rates_Raw!$L$5:$L$464,""),"$","")),""),"")</x:f>
        <x:v>64.9</x:v>
      </x:c>
      <x:c r="M311" s="50" t="n">
        <x:f>IF(OR(G311="",L311=""),"",ROUND(G311-L311,4))</x:f>
        <x:v>0</x:v>
      </x:c>
      <x:c r="N311" t="str">
        <x:f>IF(I311=0,"NO MATCH",IF(I311&gt;1,"AMBIGUOUS",IF(EXACT(TRIM(E311),TRIM(J311)),"EXACT","TITLE VARIANT")))</x:f>
        <x:v>EXACT</x:v>
      </x:c>
      <x:c r="O311" t="str">
        <x:f>IF(I311&lt;&gt;1,"NOT TESTED",IF(OR(G311="",L311=""),"MISSING",IF(ABS(M311)&lt;=Guide!$B$16,"PASS","REVIEW")))</x:f>
        <x:v>PASS</x:v>
      </x:c>
      <x:c r="P311" s="52" t="n">
        <x:f>IF(I311=1,IFERROR(VALUE(SUBSTITUTE(SUBSTITUTE(_xlfn.XLOOKUP(H311,Rates_Raw!$AF$5:$AF$464,Rates_Raw!$I$5:$I$464,""),"$",""),",","")),""),"")</x:f>
        <x:v>5192</x:v>
      </x:c>
      <x:c r="Q311" s="52" t="n">
        <x:f>IF(P311="","",P311*Guide!$B$15)</x:f>
        <x:v>134992</x:v>
      </x:c>
      <x:c r="R311" t="str">
        <x:f>IF(I311=0,"UNMATCHED",IF(I311&gt;1,"DUPLICATE KEY",IF(OR(N311="TITLE VARIANT",O311="REVIEW",O311="MISSING"),"REVIEW","VERIFIED")))</x:f>
        <x:v>VERIFIED</x:v>
      </x:c>
      <x:c r="S311" s="46" t="str">
        <x:v>Not Reviewed</x:v>
      </x:c>
      <x:c r="T311" s="48"/>
    </x:row>
    <x:row r="312">
      <x:c r="A312" t="n">
        <x:f>Plan_Raw!A312</x:f>
        <x:v>1511</x:v>
      </x:c>
      <x:c r="B312" t="str">
        <x:f>Plan_Raw!D312</x:f>
        <x:v>1231</x:v>
      </x:c>
      <x:c r="C312" t="str">
        <x:f>LEFT(Plan_Raw!B312,10)</x:f>
        <x:v>2025-07-01</x:v>
      </x:c>
      <x:c r="D312" t="str">
        <x:f>Plan_Raw!F312</x:f>
        <x:v>SFMTA</x:v>
      </x:c>
      <x:c r="E312" t="str">
        <x:f>Plan_Raw!E312</x:f>
        <x:v>EEO Senior Specialist</x:v>
      </x:c>
      <x:c r="F312" t="str">
        <x:f>Plan_Raw!C312</x:f>
        <x:v>1231B</x:v>
      </x:c>
      <x:c r="G312" s="50" t="n">
        <x:f>IF(Plan_Raw!G312="","",IFERROR(VALUE(Plan_Raw!G312),""))</x:f>
        <x:v>64.9</x:v>
      </x:c>
      <x:c r="H312" t="str">
        <x:f>Plan_Raw!AH312</x:f>
        <x:v>1231|SFMTA|2025-07-01</x:v>
      </x:c>
      <x:c r="I312" t="n">
        <x:f>COUNTIF(Rates_Raw!$AF$5:$AF$464,H312)</x:f>
        <x:v>1</x:v>
      </x:c>
      <x:c r="J312" t="str">
        <x:f>IF(I312=1,_xlfn.XLOOKUP(H312,Rates_Raw!$AF$5:$AF$464,Rates_Raw!$E$5:$E$464,""),"")</x:f>
        <x:v>EEO Senior Specialist</x:v>
      </x:c>
      <x:c r="K312" t="n">
        <x:f>IF(I312=1,_xlfn.XLOOKUP(H312,Rates_Raw!$AF$5:$AF$464,Rates_Raw!$F$5:$F$464,""),"")</x:f>
        <x:v>22</x:v>
      </x:c>
      <x:c r="L312" s="50" t="n">
        <x:f>IF(I312=1,IFERROR(VALUE(SUBSTITUTE(_xlfn.XLOOKUP(H312,Rates_Raw!$AF$5:$AF$464,Rates_Raw!$L$5:$L$464,""),"$","")),""),"")</x:f>
        <x:v>64.9</x:v>
      </x:c>
      <x:c r="M312" s="50" t="n">
        <x:f>IF(OR(G312="",L312=""),"",ROUND(G312-L312,4))</x:f>
        <x:v>0</x:v>
      </x:c>
      <x:c r="N312" t="str">
        <x:f>IF(I312=0,"NO MATCH",IF(I312&gt;1,"AMBIGUOUS",IF(EXACT(TRIM(E312),TRIM(J312)),"EXACT","TITLE VARIANT")))</x:f>
        <x:v>EXACT</x:v>
      </x:c>
      <x:c r="O312" t="str">
        <x:f>IF(I312&lt;&gt;1,"NOT TESTED",IF(OR(G312="",L312=""),"MISSING",IF(ABS(M312)&lt;=Guide!$B$16,"PASS","REVIEW")))</x:f>
        <x:v>PASS</x:v>
      </x:c>
      <x:c r="P312" s="52" t="n">
        <x:f>IF(I312=1,IFERROR(VALUE(SUBSTITUTE(SUBSTITUTE(_xlfn.XLOOKUP(H312,Rates_Raw!$AF$5:$AF$464,Rates_Raw!$I$5:$I$464,""),"$",""),",","")),""),"")</x:f>
        <x:v>5192</x:v>
      </x:c>
      <x:c r="Q312" s="52" t="n">
        <x:f>IF(P312="","",P312*Guide!$B$15)</x:f>
        <x:v>134992</x:v>
      </x:c>
      <x:c r="R312" t="str">
        <x:f>IF(I312=0,"UNMATCHED",IF(I312&gt;1,"DUPLICATE KEY",IF(OR(N312="TITLE VARIANT",O312="REVIEW",O312="MISSING"),"REVIEW","VERIFIED")))</x:f>
        <x:v>VERIFIED</x:v>
      </x:c>
      <x:c r="S312" s="46" t="str">
        <x:v>Not Reviewed</x:v>
      </x:c>
      <x:c r="T312" s="48"/>
    </x:row>
    <x:row r="313">
      <x:c r="A313" t="n">
        <x:f>Plan_Raw!A313</x:f>
        <x:v>1500</x:v>
      </x:c>
      <x:c r="B313" t="str">
        <x:f>Plan_Raw!D313</x:f>
        <x:v>1231</x:v>
      </x:c>
      <x:c r="C313" t="str">
        <x:f>LEFT(Plan_Raw!B313,10)</x:f>
        <x:v>2026-01-03</x:v>
      </x:c>
      <x:c r="D313" t="str">
        <x:f>Plan_Raw!F313</x:f>
        <x:v>COMMN</x:v>
      </x:c>
      <x:c r="E313" t="str">
        <x:f>Plan_Raw!E313</x:f>
        <x:v>EEO Senior Specialist</x:v>
      </x:c>
      <x:c r="F313" t="str">
        <x:f>Plan_Raw!C313</x:f>
        <x:v>1231C</x:v>
      </x:c>
      <x:c r="G313" s="50" t="n">
        <x:f>IF(Plan_Raw!G313="","",IFERROR(VALUE(Plan_Raw!G313),""))</x:f>
        <x:v>65.875</x:v>
      </x:c>
      <x:c r="H313" t="str">
        <x:f>Plan_Raw!AH313</x:f>
        <x:v>1231|COMMN|2026-01-03</x:v>
      </x:c>
      <x:c r="I313" t="n">
        <x:f>COUNTIF(Rates_Raw!$AF$5:$AF$464,H313)</x:f>
        <x:v>1</x:v>
      </x:c>
      <x:c r="J313" t="str">
        <x:f>IF(I313=1,_xlfn.XLOOKUP(H313,Rates_Raw!$AF$5:$AF$464,Rates_Raw!$E$5:$E$464,""),"")</x:f>
        <x:v>EEO Senior Specialist</x:v>
      </x:c>
      <x:c r="K313" t="n">
        <x:f>IF(I313=1,_xlfn.XLOOKUP(H313,Rates_Raw!$AF$5:$AF$464,Rates_Raw!$F$5:$F$464,""),"")</x:f>
        <x:v>22</x:v>
      </x:c>
      <x:c r="L313" s="50" t="n">
        <x:f>IF(I313=1,IFERROR(VALUE(SUBSTITUTE(_xlfn.XLOOKUP(H313,Rates_Raw!$AF$5:$AF$464,Rates_Raw!$L$5:$L$464,""),"$","")),""),"")</x:f>
        <x:v>65.875</x:v>
      </x:c>
      <x:c r="M313" s="50" t="n">
        <x:f>IF(OR(G313="",L313=""),"",ROUND(G313-L313,4))</x:f>
        <x:v>0</x:v>
      </x:c>
      <x:c r="N313" t="str">
        <x:f>IF(I313=0,"NO MATCH",IF(I313&gt;1,"AMBIGUOUS",IF(EXACT(TRIM(E313),TRIM(J313)),"EXACT","TITLE VARIANT")))</x:f>
        <x:v>EXACT</x:v>
      </x:c>
      <x:c r="O313" t="str">
        <x:f>IF(I313&lt;&gt;1,"NOT TESTED",IF(OR(G313="",L313=""),"MISSING",IF(ABS(M313)&lt;=Guide!$B$16,"PASS","REVIEW")))</x:f>
        <x:v>PASS</x:v>
      </x:c>
      <x:c r="P313" s="52" t="n">
        <x:f>IF(I313=1,IFERROR(VALUE(SUBSTITUTE(SUBSTITUTE(_xlfn.XLOOKUP(H313,Rates_Raw!$AF$5:$AF$464,Rates_Raw!$I$5:$I$464,""),"$",""),",","")),""),"")</x:f>
        <x:v>5270</x:v>
      </x:c>
      <x:c r="Q313" s="52" t="n">
        <x:f>IF(P313="","",P313*Guide!$B$15)</x:f>
        <x:v>137020</x:v>
      </x:c>
      <x:c r="R313" t="str">
        <x:f>IF(I313=0,"UNMATCHED",IF(I313&gt;1,"DUPLICATE KEY",IF(OR(N313="TITLE VARIANT",O313="REVIEW",O313="MISSING"),"REVIEW","VERIFIED")))</x:f>
        <x:v>VERIFIED</x:v>
      </x:c>
      <x:c r="S313" s="46" t="str">
        <x:v>Not Reviewed</x:v>
      </x:c>
      <x:c r="T313" s="48"/>
    </x:row>
    <x:row r="314">
      <x:c r="A314" t="n">
        <x:f>Plan_Raw!A314</x:f>
        <x:v>1512</x:v>
      </x:c>
      <x:c r="B314" t="str">
        <x:f>Plan_Raw!D314</x:f>
        <x:v>1231</x:v>
      </x:c>
      <x:c r="C314" t="str">
        <x:f>LEFT(Plan_Raw!B314,10)</x:f>
        <x:v>2026-01-03</x:v>
      </x:c>
      <x:c r="D314" t="str">
        <x:f>Plan_Raw!F314</x:f>
        <x:v>SFMTA</x:v>
      </x:c>
      <x:c r="E314" t="str">
        <x:f>Plan_Raw!E314</x:f>
        <x:v>EEO Senior Specialist</x:v>
      </x:c>
      <x:c r="F314" t="str">
        <x:f>Plan_Raw!C314</x:f>
        <x:v>1231C</x:v>
      </x:c>
      <x:c r="G314" s="50" t="n">
        <x:f>IF(Plan_Raw!G314="","",IFERROR(VALUE(Plan_Raw!G314),""))</x:f>
        <x:v>65.875</x:v>
      </x:c>
      <x:c r="H314" t="str">
        <x:f>Plan_Raw!AH314</x:f>
        <x:v>1231|SFMTA|2026-01-03</x:v>
      </x:c>
      <x:c r="I314" t="n">
        <x:f>COUNTIF(Rates_Raw!$AF$5:$AF$464,H314)</x:f>
        <x:v>1</x:v>
      </x:c>
      <x:c r="J314" t="str">
        <x:f>IF(I314=1,_xlfn.XLOOKUP(H314,Rates_Raw!$AF$5:$AF$464,Rates_Raw!$E$5:$E$464,""),"")</x:f>
        <x:v>EEO Senior Specialist</x:v>
      </x:c>
      <x:c r="K314" t="n">
        <x:f>IF(I314=1,_xlfn.XLOOKUP(H314,Rates_Raw!$AF$5:$AF$464,Rates_Raw!$F$5:$F$464,""),"")</x:f>
        <x:v>22</x:v>
      </x:c>
      <x:c r="L314" s="50" t="n">
        <x:f>IF(I314=1,IFERROR(VALUE(SUBSTITUTE(_xlfn.XLOOKUP(H314,Rates_Raw!$AF$5:$AF$464,Rates_Raw!$L$5:$L$464,""),"$","")),""),"")</x:f>
        <x:v>65.875</x:v>
      </x:c>
      <x:c r="M314" s="50" t="n">
        <x:f>IF(OR(G314="",L314=""),"",ROUND(G314-L314,4))</x:f>
        <x:v>0</x:v>
      </x:c>
      <x:c r="N314" t="str">
        <x:f>IF(I314=0,"NO MATCH",IF(I314&gt;1,"AMBIGUOUS",IF(EXACT(TRIM(E314),TRIM(J314)),"EXACT","TITLE VARIANT")))</x:f>
        <x:v>EXACT</x:v>
      </x:c>
      <x:c r="O314" t="str">
        <x:f>IF(I314&lt;&gt;1,"NOT TESTED",IF(OR(G314="",L314=""),"MISSING",IF(ABS(M314)&lt;=Guide!$B$16,"PASS","REVIEW")))</x:f>
        <x:v>PASS</x:v>
      </x:c>
      <x:c r="P314" s="52" t="n">
        <x:f>IF(I314=1,IFERROR(VALUE(SUBSTITUTE(SUBSTITUTE(_xlfn.XLOOKUP(H314,Rates_Raw!$AF$5:$AF$464,Rates_Raw!$I$5:$I$464,""),"$",""),",","")),""),"")</x:f>
        <x:v>5270</x:v>
      </x:c>
      <x:c r="Q314" s="52" t="n">
        <x:f>IF(P314="","",P314*Guide!$B$15)</x:f>
        <x:v>137020</x:v>
      </x:c>
      <x:c r="R314" t="str">
        <x:f>IF(I314=0,"UNMATCHED",IF(I314&gt;1,"DUPLICATE KEY",IF(OR(N314="TITLE VARIANT",O314="REVIEW",O314="MISSING"),"REVIEW","VERIFIED")))</x:f>
        <x:v>VERIFIED</x:v>
      </x:c>
      <x:c r="S314" s="46" t="str">
        <x:v>Not Reviewed</x:v>
      </x:c>
      <x:c r="T314" s="48"/>
    </x:row>
    <x:row r="315">
      <x:c r="A315" t="n">
        <x:f>Plan_Raw!A315</x:f>
        <x:v>1501</x:v>
      </x:c>
      <x:c r="B315" t="str">
        <x:f>Plan_Raw!D315</x:f>
        <x:v>1231</x:v>
      </x:c>
      <x:c r="C315" t="str">
        <x:f>LEFT(Plan_Raw!B315,10)</x:f>
        <x:v>2026-07-01</x:v>
      </x:c>
      <x:c r="D315" t="str">
        <x:f>Plan_Raw!F315</x:f>
        <x:v>COMMN</x:v>
      </x:c>
      <x:c r="E315" t="str">
        <x:f>Plan_Raw!E315</x:f>
        <x:v>EEO Senior Specialist</x:v>
      </x:c>
      <x:c r="F315" t="str">
        <x:f>Plan_Raw!C315</x:f>
        <x:v>1231D</x:v>
      </x:c>
      <x:c r="G315" s="50" t="n">
        <x:f>IF(Plan_Raw!G315="","",IFERROR(VALUE(Plan_Raw!G315),""))</x:f>
        <x:v>67.1875</x:v>
      </x:c>
      <x:c r="H315" t="str">
        <x:f>Plan_Raw!AH315</x:f>
        <x:v>1231|COMMN|2026-07-01</x:v>
      </x:c>
      <x:c r="I315" t="n">
        <x:f>COUNTIF(Rates_Raw!$AF$5:$AF$464,H315)</x:f>
        <x:v>0</x:v>
      </x:c>
      <x:c r="J315" t="str">
        <x:f>IF(I315=1,_xlfn.XLOOKUP(H315,Rates_Raw!$AF$5:$AF$464,Rates_Raw!$E$5:$E$464,""),"")</x:f>
      </x:c>
      <x:c r="K315" t="str">
        <x:f>IF(I315=1,_xlfn.XLOOKUP(H315,Rates_Raw!$AF$5:$AF$464,Rates_Raw!$F$5:$F$464,""),"")</x:f>
      </x:c>
      <x:c r="L315" s="50" t="str">
        <x:f>IF(I315=1,IFERROR(VALUE(SUBSTITUTE(_xlfn.XLOOKUP(H315,Rates_Raw!$AF$5:$AF$464,Rates_Raw!$L$5:$L$464,""),"$","")),""),"")</x:f>
      </x:c>
      <x:c r="M315" s="50" t="str">
        <x:f>IF(OR(G315="",L315=""),"",ROUND(G315-L315,4))</x:f>
      </x:c>
      <x:c r="N315" t="str">
        <x:f>IF(I315=0,"NO MATCH",IF(I315&gt;1,"AMBIGUOUS",IF(EXACT(TRIM(E315),TRIM(J315)),"EXACT","TITLE VARIANT")))</x:f>
        <x:v>NO MATCH</x:v>
      </x:c>
      <x:c r="O315" t="str">
        <x:f>IF(I315&lt;&gt;1,"NOT TESTED",IF(OR(G315="",L315=""),"MISSING",IF(ABS(M315)&lt;=Guide!$B$16,"PASS","REVIEW")))</x:f>
        <x:v>NOT TESTED</x:v>
      </x:c>
      <x:c r="P315" s="52" t="str">
        <x:f>IF(I315=1,IFERROR(VALUE(SUBSTITUTE(SUBSTITUTE(_xlfn.XLOOKUP(H315,Rates_Raw!$AF$5:$AF$464,Rates_Raw!$I$5:$I$464,""),"$",""),",","")),""),"")</x:f>
      </x:c>
      <x:c r="Q315" s="52" t="str">
        <x:f>IF(P315="","",P315*Guide!$B$15)</x:f>
      </x:c>
      <x:c r="R315" t="str">
        <x:f>IF(I315=0,"UNMATCHED",IF(I315&gt;1,"DUPLICATE KEY",IF(OR(N315="TITLE VARIANT",O315="REVIEW",O315="MISSING"),"REVIEW","VERIFIED")))</x:f>
        <x:v>UNMATCHED</x:v>
      </x:c>
      <x:c r="S315" s="46" t="str">
        <x:v>Not Reviewed</x:v>
      </x:c>
      <x:c r="T315" s="48"/>
    </x:row>
    <x:row r="316">
      <x:c r="A316" t="n">
        <x:f>Plan_Raw!A316</x:f>
        <x:v>1513</x:v>
      </x:c>
      <x:c r="B316" t="str">
        <x:f>Plan_Raw!D316</x:f>
        <x:v>1231</x:v>
      </x:c>
      <x:c r="C316" t="str">
        <x:f>LEFT(Plan_Raw!B316,10)</x:f>
        <x:v>2026-07-01</x:v>
      </x:c>
      <x:c r="D316" t="str">
        <x:f>Plan_Raw!F316</x:f>
        <x:v>SFMTA</x:v>
      </x:c>
      <x:c r="E316" t="str">
        <x:f>Plan_Raw!E316</x:f>
        <x:v>EEO Senior Specialist</x:v>
      </x:c>
      <x:c r="F316" t="str">
        <x:f>Plan_Raw!C316</x:f>
        <x:v>1231D</x:v>
      </x:c>
      <x:c r="G316" s="50" t="n">
        <x:f>IF(Plan_Raw!G316="","",IFERROR(VALUE(Plan_Raw!G316),""))</x:f>
        <x:v>67.1875</x:v>
      </x:c>
      <x:c r="H316" t="str">
        <x:f>Plan_Raw!AH316</x:f>
        <x:v>1231|SFMTA|2026-07-01</x:v>
      </x:c>
      <x:c r="I316" t="n">
        <x:f>COUNTIF(Rates_Raw!$AF$5:$AF$464,H316)</x:f>
        <x:v>0</x:v>
      </x:c>
      <x:c r="J316" t="str">
        <x:f>IF(I316=1,_xlfn.XLOOKUP(H316,Rates_Raw!$AF$5:$AF$464,Rates_Raw!$E$5:$E$464,""),"")</x:f>
      </x:c>
      <x:c r="K316" t="str">
        <x:f>IF(I316=1,_xlfn.XLOOKUP(H316,Rates_Raw!$AF$5:$AF$464,Rates_Raw!$F$5:$F$464,""),"")</x:f>
      </x:c>
      <x:c r="L316" s="50" t="str">
        <x:f>IF(I316=1,IFERROR(VALUE(SUBSTITUTE(_xlfn.XLOOKUP(H316,Rates_Raw!$AF$5:$AF$464,Rates_Raw!$L$5:$L$464,""),"$","")),""),"")</x:f>
      </x:c>
      <x:c r="M316" s="50" t="str">
        <x:f>IF(OR(G316="",L316=""),"",ROUND(G316-L316,4))</x:f>
      </x:c>
      <x:c r="N316" t="str">
        <x:f>IF(I316=0,"NO MATCH",IF(I316&gt;1,"AMBIGUOUS",IF(EXACT(TRIM(E316),TRIM(J316)),"EXACT","TITLE VARIANT")))</x:f>
        <x:v>NO MATCH</x:v>
      </x:c>
      <x:c r="O316" t="str">
        <x:f>IF(I316&lt;&gt;1,"NOT TESTED",IF(OR(G316="",L316=""),"MISSING",IF(ABS(M316)&lt;=Guide!$B$16,"PASS","REVIEW")))</x:f>
        <x:v>NOT TESTED</x:v>
      </x:c>
      <x:c r="P316" s="52" t="str">
        <x:f>IF(I316=1,IFERROR(VALUE(SUBSTITUTE(SUBSTITUTE(_xlfn.XLOOKUP(H316,Rates_Raw!$AF$5:$AF$464,Rates_Raw!$I$5:$I$464,""),"$",""),",","")),""),"")</x:f>
      </x:c>
      <x:c r="Q316" s="52" t="str">
        <x:f>IF(P316="","",P316*Guide!$B$15)</x:f>
      </x:c>
      <x:c r="R316" t="str">
        <x:f>IF(I316=0,"UNMATCHED",IF(I316&gt;1,"DUPLICATE KEY",IF(OR(N316="TITLE VARIANT",O316="REVIEW",O316="MISSING"),"REVIEW","VERIFIED")))</x:f>
        <x:v>UNMATCHED</x:v>
      </x:c>
      <x:c r="S316" s="46" t="str">
        <x:v>Not Reviewed</x:v>
      </x:c>
      <x:c r="T316" s="48"/>
    </x:row>
    <x:row r="317">
      <x:c r="A317" t="n">
        <x:f>Plan_Raw!A317</x:f>
        <x:v>1544</x:v>
      </x:c>
      <x:c r="B317" t="str">
        <x:f>Plan_Raw!D317</x:f>
        <x:v>1233</x:v>
      </x:c>
      <x:c r="C317" t="str">
        <x:f>LEFT(Plan_Raw!B317,10)</x:f>
        <x:v>2024-01-06</x:v>
      </x:c>
      <x:c r="D317" t="str">
        <x:f>Plan_Raw!F317</x:f>
        <x:v>COMMN</x:v>
      </x:c>
      <x:c r="E317" t="str">
        <x:f>Plan_Raw!E317</x:f>
        <x:v>Equal Employment Opportunity Programs Specialist</x:v>
      </x:c>
      <x:c r="F317" t="str">
        <x:f>Plan_Raw!C317</x:f>
        <x:v>1233Y</x:v>
      </x:c>
      <x:c r="G317" s="50" t="n">
        <x:f>IF(Plan_Raw!G317="","",IFERROR(VALUE(Plan_Raw!G317),""))</x:f>
        <x:v>52.9</x:v>
      </x:c>
      <x:c r="H317" t="str">
        <x:f>Plan_Raw!AH317</x:f>
        <x:v>1233|COMMN|2024-01-06</x:v>
      </x:c>
      <x:c r="I317" t="n">
        <x:f>COUNTIF(Rates_Raw!$AF$5:$AF$464,H317)</x:f>
        <x:v>1</x:v>
      </x:c>
      <x:c r="J317" t="str">
        <x:f>IF(I317=1,_xlfn.XLOOKUP(H317,Rates_Raw!$AF$5:$AF$464,Rates_Raw!$E$5:$E$464,""),"")</x:f>
        <x:v>Equal Employment Opportunity Programs Specialist</x:v>
      </x:c>
      <x:c r="K317" t="n">
        <x:f>IF(I317=1,_xlfn.XLOOKUP(H317,Rates_Raw!$AF$5:$AF$464,Rates_Raw!$F$5:$F$464,""),"")</x:f>
        <x:v>22</x:v>
      </x:c>
      <x:c r="L317" s="50" t="n">
        <x:f>IF(I317=1,IFERROR(VALUE(SUBSTITUTE(_xlfn.XLOOKUP(H317,Rates_Raw!$AF$5:$AF$464,Rates_Raw!$L$5:$L$464,""),"$","")),""),"")</x:f>
        <x:v>52.9</x:v>
      </x:c>
      <x:c r="M317" s="50" t="n">
        <x:f>IF(OR(G317="",L317=""),"",ROUND(G317-L317,4))</x:f>
        <x:v>0</x:v>
      </x:c>
      <x:c r="N317" t="str">
        <x:f>IF(I317=0,"NO MATCH",IF(I317&gt;1,"AMBIGUOUS",IF(EXACT(TRIM(E317),TRIM(J317)),"EXACT","TITLE VARIANT")))</x:f>
        <x:v>EXACT</x:v>
      </x:c>
      <x:c r="O317" t="str">
        <x:f>IF(I317&lt;&gt;1,"NOT TESTED",IF(OR(G317="",L317=""),"MISSING",IF(ABS(M317)&lt;=Guide!$B$16,"PASS","REVIEW")))</x:f>
        <x:v>PASS</x:v>
      </x:c>
      <x:c r="P317" s="52" t="n">
        <x:f>IF(I317=1,IFERROR(VALUE(SUBSTITUTE(SUBSTITUTE(_xlfn.XLOOKUP(H317,Rates_Raw!$AF$5:$AF$464,Rates_Raw!$I$5:$I$464,""),"$",""),",","")),""),"")</x:f>
        <x:v>4232</x:v>
      </x:c>
      <x:c r="Q317" s="52" t="n">
        <x:f>IF(P317="","",P317*Guide!$B$15)</x:f>
        <x:v>110032</x:v>
      </x:c>
      <x:c r="R317" t="str">
        <x:f>IF(I317=0,"UNMATCHED",IF(I317&gt;1,"DUPLICATE KEY",IF(OR(N317="TITLE VARIANT",O317="REVIEW",O317="MISSING"),"REVIEW","VERIFIED")))</x:f>
        <x:v>VERIFIED</x:v>
      </x:c>
      <x:c r="S317" s="46" t="str">
        <x:v>Not Reviewed</x:v>
      </x:c>
      <x:c r="T317" s="48"/>
    </x:row>
    <x:row r="318">
      <x:c r="A318" t="n">
        <x:f>Plan_Raw!A318</x:f>
        <x:v>1556</x:v>
      </x:c>
      <x:c r="B318" t="str">
        <x:f>Plan_Raw!D318</x:f>
        <x:v>1233</x:v>
      </x:c>
      <x:c r="C318" t="str">
        <x:f>LEFT(Plan_Raw!B318,10)</x:f>
        <x:v>2024-01-06</x:v>
      </x:c>
      <x:c r="D318" t="str">
        <x:f>Plan_Raw!F318</x:f>
        <x:v>SFMTA</x:v>
      </x:c>
      <x:c r="E318" t="str">
        <x:f>Plan_Raw!E318</x:f>
        <x:v>Equal Employment Opportunity Programs Specialist</x:v>
      </x:c>
      <x:c r="F318" t="str">
        <x:f>Plan_Raw!C318</x:f>
        <x:v>1233Y</x:v>
      </x:c>
      <x:c r="G318" s="50" t="n">
        <x:f>IF(Plan_Raw!G318="","",IFERROR(VALUE(Plan_Raw!G318),""))</x:f>
        <x:v>52.9</x:v>
      </x:c>
      <x:c r="H318" t="str">
        <x:f>Plan_Raw!AH318</x:f>
        <x:v>1233|SFMTA|2024-01-06</x:v>
      </x:c>
      <x:c r="I318" t="n">
        <x:f>COUNTIF(Rates_Raw!$AF$5:$AF$464,H318)</x:f>
        <x:v>1</x:v>
      </x:c>
      <x:c r="J318" t="str">
        <x:f>IF(I318=1,_xlfn.XLOOKUP(H318,Rates_Raw!$AF$5:$AF$464,Rates_Raw!$E$5:$E$464,""),"")</x:f>
        <x:v>Equal Employment Opportunity Programs Specialist</x:v>
      </x:c>
      <x:c r="K318" t="n">
        <x:f>IF(I318=1,_xlfn.XLOOKUP(H318,Rates_Raw!$AF$5:$AF$464,Rates_Raw!$F$5:$F$464,""),"")</x:f>
        <x:v>22</x:v>
      </x:c>
      <x:c r="L318" s="50" t="n">
        <x:f>IF(I318=1,IFERROR(VALUE(SUBSTITUTE(_xlfn.XLOOKUP(H318,Rates_Raw!$AF$5:$AF$464,Rates_Raw!$L$5:$L$464,""),"$","")),""),"")</x:f>
        <x:v>52.9</x:v>
      </x:c>
      <x:c r="M318" s="50" t="n">
        <x:f>IF(OR(G318="",L318=""),"",ROUND(G318-L318,4))</x:f>
        <x:v>0</x:v>
      </x:c>
      <x:c r="N318" t="str">
        <x:f>IF(I318=0,"NO MATCH",IF(I318&gt;1,"AMBIGUOUS",IF(EXACT(TRIM(E318),TRIM(J318)),"EXACT","TITLE VARIANT")))</x:f>
        <x:v>EXACT</x:v>
      </x:c>
      <x:c r="O318" t="str">
        <x:f>IF(I318&lt;&gt;1,"NOT TESTED",IF(OR(G318="",L318=""),"MISSING",IF(ABS(M318)&lt;=Guide!$B$16,"PASS","REVIEW")))</x:f>
        <x:v>PASS</x:v>
      </x:c>
      <x:c r="P318" s="52" t="n">
        <x:f>IF(I318=1,IFERROR(VALUE(SUBSTITUTE(SUBSTITUTE(_xlfn.XLOOKUP(H318,Rates_Raw!$AF$5:$AF$464,Rates_Raw!$I$5:$I$464,""),"$",""),",","")),""),"")</x:f>
        <x:v>4232</x:v>
      </x:c>
      <x:c r="Q318" s="52" t="n">
        <x:f>IF(P318="","",P318*Guide!$B$15)</x:f>
        <x:v>110032</x:v>
      </x:c>
      <x:c r="R318" t="str">
        <x:f>IF(I318=0,"UNMATCHED",IF(I318&gt;1,"DUPLICATE KEY",IF(OR(N318="TITLE VARIANT",O318="REVIEW",O318="MISSING"),"REVIEW","VERIFIED")))</x:f>
        <x:v>VERIFIED</x:v>
      </x:c>
      <x:c r="S318" s="46" t="str">
        <x:v>Not Reviewed</x:v>
      </x:c>
      <x:c r="T318" s="48"/>
    </x:row>
    <x:row r="319">
      <x:c r="A319" t="n">
        <x:f>Plan_Raw!A319</x:f>
        <x:v>1545</x:v>
      </x:c>
      <x:c r="B319" t="str">
        <x:f>Plan_Raw!D319</x:f>
        <x:v>1233</x:v>
      </x:c>
      <x:c r="C319" t="str">
        <x:f>LEFT(Plan_Raw!B319,10)</x:f>
        <x:v>2024-07-01</x:v>
      </x:c>
      <x:c r="D319" t="str">
        <x:f>Plan_Raw!F319</x:f>
        <x:v>COMMN</x:v>
      </x:c>
      <x:c r="E319" t="str">
        <x:f>Plan_Raw!E319</x:f>
        <x:v>Equal Employment Opportunity Programs Specialist</x:v>
      </x:c>
      <x:c r="F319" t="str">
        <x:f>Plan_Raw!C319</x:f>
        <x:v>1233Z</x:v>
      </x:c>
      <x:c r="G319" s="50" t="n">
        <x:f>IF(Plan_Raw!G319="","",IFERROR(VALUE(Plan_Raw!G319),""))</x:f>
        <x:v>53.6875</x:v>
      </x:c>
      <x:c r="H319" t="str">
        <x:f>Plan_Raw!AH319</x:f>
        <x:v>1233|COMMN|2024-07-01</x:v>
      </x:c>
      <x:c r="I319" t="n">
        <x:f>COUNTIF(Rates_Raw!$AF$5:$AF$464,H319)</x:f>
        <x:v>1</x:v>
      </x:c>
      <x:c r="J319" t="str">
        <x:f>IF(I319=1,_xlfn.XLOOKUP(H319,Rates_Raw!$AF$5:$AF$464,Rates_Raw!$E$5:$E$464,""),"")</x:f>
        <x:v>Equal Employment Opportunity Programs Specialist</x:v>
      </x:c>
      <x:c r="K319" t="n">
        <x:f>IF(I319=1,_xlfn.XLOOKUP(H319,Rates_Raw!$AF$5:$AF$464,Rates_Raw!$F$5:$F$464,""),"")</x:f>
        <x:v>22</x:v>
      </x:c>
      <x:c r="L319" s="50" t="n">
        <x:f>IF(I319=1,IFERROR(VALUE(SUBSTITUTE(_xlfn.XLOOKUP(H319,Rates_Raw!$AF$5:$AF$464,Rates_Raw!$L$5:$L$464,""),"$","")),""),"")</x:f>
        <x:v>53.6875</x:v>
      </x:c>
      <x:c r="M319" s="50" t="n">
        <x:f>IF(OR(G319="",L319=""),"",ROUND(G319-L319,4))</x:f>
        <x:v>0</x:v>
      </x:c>
      <x:c r="N319" t="str">
        <x:f>IF(I319=0,"NO MATCH",IF(I319&gt;1,"AMBIGUOUS",IF(EXACT(TRIM(E319),TRIM(J319)),"EXACT","TITLE VARIANT")))</x:f>
        <x:v>EXACT</x:v>
      </x:c>
      <x:c r="O319" t="str">
        <x:f>IF(I319&lt;&gt;1,"NOT TESTED",IF(OR(G319="",L319=""),"MISSING",IF(ABS(M319)&lt;=Guide!$B$16,"PASS","REVIEW")))</x:f>
        <x:v>PASS</x:v>
      </x:c>
      <x:c r="P319" s="52" t="n">
        <x:f>IF(I319=1,IFERROR(VALUE(SUBSTITUTE(SUBSTITUTE(_xlfn.XLOOKUP(H319,Rates_Raw!$AF$5:$AF$464,Rates_Raw!$I$5:$I$464,""),"$",""),",","")),""),"")</x:f>
        <x:v>4295</x:v>
      </x:c>
      <x:c r="Q319" s="52" t="n">
        <x:f>IF(P319="","",P319*Guide!$B$15)</x:f>
        <x:v>111670</x:v>
      </x:c>
      <x:c r="R319" t="str">
        <x:f>IF(I319=0,"UNMATCHED",IF(I319&gt;1,"DUPLICATE KEY",IF(OR(N319="TITLE VARIANT",O319="REVIEW",O319="MISSING"),"REVIEW","VERIFIED")))</x:f>
        <x:v>VERIFIED</x:v>
      </x:c>
      <x:c r="S319" s="46" t="str">
        <x:v>Not Reviewed</x:v>
      </x:c>
      <x:c r="T319" s="48"/>
    </x:row>
    <x:row r="320">
      <x:c r="A320" t="n">
        <x:f>Plan_Raw!A320</x:f>
        <x:v>1557</x:v>
      </x:c>
      <x:c r="B320" t="str">
        <x:f>Plan_Raw!D320</x:f>
        <x:v>1233</x:v>
      </x:c>
      <x:c r="C320" t="str">
        <x:f>LEFT(Plan_Raw!B320,10)</x:f>
        <x:v>2024-07-01</x:v>
      </x:c>
      <x:c r="D320" t="str">
        <x:f>Plan_Raw!F320</x:f>
        <x:v>SFMTA</x:v>
      </x:c>
      <x:c r="E320" t="str">
        <x:f>Plan_Raw!E320</x:f>
        <x:v>Equal Employment Opportunity Programs Specialist</x:v>
      </x:c>
      <x:c r="F320" t="str">
        <x:f>Plan_Raw!C320</x:f>
        <x:v>1233Z</x:v>
      </x:c>
      <x:c r="G320" s="50" t="n">
        <x:f>IF(Plan_Raw!G320="","",IFERROR(VALUE(Plan_Raw!G320),""))</x:f>
        <x:v>53.6875</x:v>
      </x:c>
      <x:c r="H320" t="str">
        <x:f>Plan_Raw!AH320</x:f>
        <x:v>1233|SFMTA|2024-07-01</x:v>
      </x:c>
      <x:c r="I320" t="n">
        <x:f>COUNTIF(Rates_Raw!$AF$5:$AF$464,H320)</x:f>
        <x:v>1</x:v>
      </x:c>
      <x:c r="J320" t="str">
        <x:f>IF(I320=1,_xlfn.XLOOKUP(H320,Rates_Raw!$AF$5:$AF$464,Rates_Raw!$E$5:$E$464,""),"")</x:f>
        <x:v>Equal Employment Opportunity Programs Specialist</x:v>
      </x:c>
      <x:c r="K320" t="n">
        <x:f>IF(I320=1,_xlfn.XLOOKUP(H320,Rates_Raw!$AF$5:$AF$464,Rates_Raw!$F$5:$F$464,""),"")</x:f>
        <x:v>22</x:v>
      </x:c>
      <x:c r="L320" s="50" t="n">
        <x:f>IF(I320=1,IFERROR(VALUE(SUBSTITUTE(_xlfn.XLOOKUP(H320,Rates_Raw!$AF$5:$AF$464,Rates_Raw!$L$5:$L$464,""),"$","")),""),"")</x:f>
        <x:v>53.6875</x:v>
      </x:c>
      <x:c r="M320" s="50" t="n">
        <x:f>IF(OR(G320="",L320=""),"",ROUND(G320-L320,4))</x:f>
        <x:v>0</x:v>
      </x:c>
      <x:c r="N320" t="str">
        <x:f>IF(I320=0,"NO MATCH",IF(I320&gt;1,"AMBIGUOUS",IF(EXACT(TRIM(E320),TRIM(J320)),"EXACT","TITLE VARIANT")))</x:f>
        <x:v>EXACT</x:v>
      </x:c>
      <x:c r="O320" t="str">
        <x:f>IF(I320&lt;&gt;1,"NOT TESTED",IF(OR(G320="",L320=""),"MISSING",IF(ABS(M320)&lt;=Guide!$B$16,"PASS","REVIEW")))</x:f>
        <x:v>PASS</x:v>
      </x:c>
      <x:c r="P320" s="52" t="n">
        <x:f>IF(I320=1,IFERROR(VALUE(SUBSTITUTE(SUBSTITUTE(_xlfn.XLOOKUP(H320,Rates_Raw!$AF$5:$AF$464,Rates_Raw!$I$5:$I$464,""),"$",""),",","")),""),"")</x:f>
        <x:v>4295</x:v>
      </x:c>
      <x:c r="Q320" s="52" t="n">
        <x:f>IF(P320="","",P320*Guide!$B$15)</x:f>
        <x:v>111670</x:v>
      </x:c>
      <x:c r="R320" t="str">
        <x:f>IF(I320=0,"UNMATCHED",IF(I320&gt;1,"DUPLICATE KEY",IF(OR(N320="TITLE VARIANT",O320="REVIEW",O320="MISSING"),"REVIEW","VERIFIED")))</x:f>
        <x:v>VERIFIED</x:v>
      </x:c>
      <x:c r="S320" s="46" t="str">
        <x:v>Not Reviewed</x:v>
      </x:c>
      <x:c r="T320" s="48"/>
    </x:row>
    <x:row r="321">
      <x:c r="A321" t="n">
        <x:f>Plan_Raw!A321</x:f>
        <x:v>1546</x:v>
      </x:c>
      <x:c r="B321" t="str">
        <x:f>Plan_Raw!D321</x:f>
        <x:v>1233</x:v>
      </x:c>
      <x:c r="C321" t="str">
        <x:f>LEFT(Plan_Raw!B321,10)</x:f>
        <x:v>2025-01-04</x:v>
      </x:c>
      <x:c r="D321" t="str">
        <x:f>Plan_Raw!F321</x:f>
        <x:v>COMMN</x:v>
      </x:c>
      <x:c r="E321" t="str">
        <x:f>Plan_Raw!E321</x:f>
        <x:v>Equal Employment Opportunity Programs Specialist</x:v>
      </x:c>
      <x:c r="F321" t="str">
        <x:f>Plan_Raw!C321</x:f>
        <x:v>1233A</x:v>
      </x:c>
      <x:c r="G321" s="50" t="n">
        <x:f>IF(Plan_Raw!G321="","",IFERROR(VALUE(Plan_Raw!G321),""))</x:f>
        <x:v>54.4875</x:v>
      </x:c>
      <x:c r="H321" t="str">
        <x:f>Plan_Raw!AH321</x:f>
        <x:v>1233|COMMN|2025-01-04</x:v>
      </x:c>
      <x:c r="I321" t="n">
        <x:f>COUNTIF(Rates_Raw!$AF$5:$AF$464,H321)</x:f>
        <x:v>1</x:v>
      </x:c>
      <x:c r="J321" t="str">
        <x:f>IF(I321=1,_xlfn.XLOOKUP(H321,Rates_Raw!$AF$5:$AF$464,Rates_Raw!$E$5:$E$464,""),"")</x:f>
        <x:v>Equal Employment Opportunity Programs Specialist</x:v>
      </x:c>
      <x:c r="K321" t="n">
        <x:f>IF(I321=1,_xlfn.XLOOKUP(H321,Rates_Raw!$AF$5:$AF$464,Rates_Raw!$F$5:$F$464,""),"")</x:f>
        <x:v>22</x:v>
      </x:c>
      <x:c r="L321" s="50" t="n">
        <x:f>IF(I321=1,IFERROR(VALUE(SUBSTITUTE(_xlfn.XLOOKUP(H321,Rates_Raw!$AF$5:$AF$464,Rates_Raw!$L$5:$L$464,""),"$","")),""),"")</x:f>
        <x:v>54.4875</x:v>
      </x:c>
      <x:c r="M321" s="50" t="n">
        <x:f>IF(OR(G321="",L321=""),"",ROUND(G321-L321,4))</x:f>
        <x:v>0</x:v>
      </x:c>
      <x:c r="N321" t="str">
        <x:f>IF(I321=0,"NO MATCH",IF(I321&gt;1,"AMBIGUOUS",IF(EXACT(TRIM(E321),TRIM(J321)),"EXACT","TITLE VARIANT")))</x:f>
        <x:v>EXACT</x:v>
      </x:c>
      <x:c r="O321" t="str">
        <x:f>IF(I321&lt;&gt;1,"NOT TESTED",IF(OR(G321="",L321=""),"MISSING",IF(ABS(M321)&lt;=Guide!$B$16,"PASS","REVIEW")))</x:f>
        <x:v>PASS</x:v>
      </x:c>
      <x:c r="P321" s="52" t="n">
        <x:f>IF(I321=1,IFERROR(VALUE(SUBSTITUTE(SUBSTITUTE(_xlfn.XLOOKUP(H321,Rates_Raw!$AF$5:$AF$464,Rates_Raw!$I$5:$I$464,""),"$",""),",","")),""),"")</x:f>
        <x:v>4359</x:v>
      </x:c>
      <x:c r="Q321" s="52" t="n">
        <x:f>IF(P321="","",P321*Guide!$B$15)</x:f>
        <x:v>113334</x:v>
      </x:c>
      <x:c r="R321" t="str">
        <x:f>IF(I321=0,"UNMATCHED",IF(I321&gt;1,"DUPLICATE KEY",IF(OR(N321="TITLE VARIANT",O321="REVIEW",O321="MISSING"),"REVIEW","VERIFIED")))</x:f>
        <x:v>VERIFIED</x:v>
      </x:c>
      <x:c r="S321" s="46" t="str">
        <x:v>Not Reviewed</x:v>
      </x:c>
      <x:c r="T321" s="48"/>
    </x:row>
    <x:row r="322">
      <x:c r="A322" t="n">
        <x:f>Plan_Raw!A322</x:f>
        <x:v>1558</x:v>
      </x:c>
      <x:c r="B322" t="str">
        <x:f>Plan_Raw!D322</x:f>
        <x:v>1233</x:v>
      </x:c>
      <x:c r="C322" t="str">
        <x:f>LEFT(Plan_Raw!B322,10)</x:f>
        <x:v>2025-01-04</x:v>
      </x:c>
      <x:c r="D322" t="str">
        <x:f>Plan_Raw!F322</x:f>
        <x:v>SFMTA</x:v>
      </x:c>
      <x:c r="E322" t="str">
        <x:f>Plan_Raw!E322</x:f>
        <x:v>Equal Employment Opportunity Programs Specialist</x:v>
      </x:c>
      <x:c r="F322" t="str">
        <x:f>Plan_Raw!C322</x:f>
        <x:v>1233A</x:v>
      </x:c>
      <x:c r="G322" s="50" t="n">
        <x:f>IF(Plan_Raw!G322="","",IFERROR(VALUE(Plan_Raw!G322),""))</x:f>
        <x:v>54.4875</x:v>
      </x:c>
      <x:c r="H322" t="str">
        <x:f>Plan_Raw!AH322</x:f>
        <x:v>1233|SFMTA|2025-01-04</x:v>
      </x:c>
      <x:c r="I322" t="n">
        <x:f>COUNTIF(Rates_Raw!$AF$5:$AF$464,H322)</x:f>
        <x:v>1</x:v>
      </x:c>
      <x:c r="J322" t="str">
        <x:f>IF(I322=1,_xlfn.XLOOKUP(H322,Rates_Raw!$AF$5:$AF$464,Rates_Raw!$E$5:$E$464,""),"")</x:f>
        <x:v>Equal Employment Opportunity Programs Specialist</x:v>
      </x:c>
      <x:c r="K322" t="n">
        <x:f>IF(I322=1,_xlfn.XLOOKUP(H322,Rates_Raw!$AF$5:$AF$464,Rates_Raw!$F$5:$F$464,""),"")</x:f>
        <x:v>22</x:v>
      </x:c>
      <x:c r="L322" s="50" t="n">
        <x:f>IF(I322=1,IFERROR(VALUE(SUBSTITUTE(_xlfn.XLOOKUP(H322,Rates_Raw!$AF$5:$AF$464,Rates_Raw!$L$5:$L$464,""),"$","")),""),"")</x:f>
        <x:v>54.4875</x:v>
      </x:c>
      <x:c r="M322" s="50" t="n">
        <x:f>IF(OR(G322="",L322=""),"",ROUND(G322-L322,4))</x:f>
        <x:v>0</x:v>
      </x:c>
      <x:c r="N322" t="str">
        <x:f>IF(I322=0,"NO MATCH",IF(I322&gt;1,"AMBIGUOUS",IF(EXACT(TRIM(E322),TRIM(J322)),"EXACT","TITLE VARIANT")))</x:f>
        <x:v>EXACT</x:v>
      </x:c>
      <x:c r="O322" t="str">
        <x:f>IF(I322&lt;&gt;1,"NOT TESTED",IF(OR(G322="",L322=""),"MISSING",IF(ABS(M322)&lt;=Guide!$B$16,"PASS","REVIEW")))</x:f>
        <x:v>PASS</x:v>
      </x:c>
      <x:c r="P322" s="52" t="n">
        <x:f>IF(I322=1,IFERROR(VALUE(SUBSTITUTE(SUBSTITUTE(_xlfn.XLOOKUP(H322,Rates_Raw!$AF$5:$AF$464,Rates_Raw!$I$5:$I$464,""),"$",""),",","")),""),"")</x:f>
        <x:v>4359</x:v>
      </x:c>
      <x:c r="Q322" s="52" t="n">
        <x:f>IF(P322="","",P322*Guide!$B$15)</x:f>
        <x:v>113334</x:v>
      </x:c>
      <x:c r="R322" t="str">
        <x:f>IF(I322=0,"UNMATCHED",IF(I322&gt;1,"DUPLICATE KEY",IF(OR(N322="TITLE VARIANT",O322="REVIEW",O322="MISSING"),"REVIEW","VERIFIED")))</x:f>
        <x:v>VERIFIED</x:v>
      </x:c>
      <x:c r="S322" s="46" t="str">
        <x:v>Not Reviewed</x:v>
      </x:c>
      <x:c r="T322" s="48"/>
    </x:row>
    <x:row r="323">
      <x:c r="A323" t="n">
        <x:f>Plan_Raw!A323</x:f>
        <x:v>1547</x:v>
      </x:c>
      <x:c r="B323" t="str">
        <x:f>Plan_Raw!D323</x:f>
        <x:v>1233</x:v>
      </x:c>
      <x:c r="C323" t="str">
        <x:f>LEFT(Plan_Raw!B323,10)</x:f>
        <x:v>2025-07-01</x:v>
      </x:c>
      <x:c r="D323" t="str">
        <x:f>Plan_Raw!F323</x:f>
        <x:v>COMMN</x:v>
      </x:c>
      <x:c r="E323" t="str">
        <x:f>Plan_Raw!E323</x:f>
        <x:v>EEO Programs Specialist</x:v>
      </x:c>
      <x:c r="F323" t="str">
        <x:f>Plan_Raw!C323</x:f>
        <x:v>1233B</x:v>
      </x:c>
      <x:c r="G323" s="50" t="n">
        <x:f>IF(Plan_Raw!G323="","",IFERROR(VALUE(Plan_Raw!G323),""))</x:f>
        <x:v>55.5875</x:v>
      </x:c>
      <x:c r="H323" t="str">
        <x:f>Plan_Raw!AH323</x:f>
        <x:v>1233|COMMN|2025-07-01</x:v>
      </x:c>
      <x:c r="I323" t="n">
        <x:f>COUNTIF(Rates_Raw!$AF$5:$AF$464,H323)</x:f>
        <x:v>1</x:v>
      </x:c>
      <x:c r="J323" t="str">
        <x:f>IF(I323=1,_xlfn.XLOOKUP(H323,Rates_Raw!$AF$5:$AF$464,Rates_Raw!$E$5:$E$464,""),"")</x:f>
        <x:v>EEO Programs Specialist</x:v>
      </x:c>
      <x:c r="K323" t="n">
        <x:f>IF(I323=1,_xlfn.XLOOKUP(H323,Rates_Raw!$AF$5:$AF$464,Rates_Raw!$F$5:$F$464,""),"")</x:f>
        <x:v>22</x:v>
      </x:c>
      <x:c r="L323" s="50" t="n">
        <x:f>IF(I323=1,IFERROR(VALUE(SUBSTITUTE(_xlfn.XLOOKUP(H323,Rates_Raw!$AF$5:$AF$464,Rates_Raw!$L$5:$L$464,""),"$","")),""),"")</x:f>
        <x:v>55.5875</x:v>
      </x:c>
      <x:c r="M323" s="50" t="n">
        <x:f>IF(OR(G323="",L323=""),"",ROUND(G323-L323,4))</x:f>
        <x:v>0</x:v>
      </x:c>
      <x:c r="N323" t="str">
        <x:f>IF(I323=0,"NO MATCH",IF(I323&gt;1,"AMBIGUOUS",IF(EXACT(TRIM(E323),TRIM(J323)),"EXACT","TITLE VARIANT")))</x:f>
        <x:v>EXACT</x:v>
      </x:c>
      <x:c r="O323" t="str">
        <x:f>IF(I323&lt;&gt;1,"NOT TESTED",IF(OR(G323="",L323=""),"MISSING",IF(ABS(M323)&lt;=Guide!$B$16,"PASS","REVIEW")))</x:f>
        <x:v>PASS</x:v>
      </x:c>
      <x:c r="P323" s="52" t="n">
        <x:f>IF(I323=1,IFERROR(VALUE(SUBSTITUTE(SUBSTITUTE(_xlfn.XLOOKUP(H323,Rates_Raw!$AF$5:$AF$464,Rates_Raw!$I$5:$I$464,""),"$",""),",","")),""),"")</x:f>
        <x:v>4447</x:v>
      </x:c>
      <x:c r="Q323" s="52" t="n">
        <x:f>IF(P323="","",P323*Guide!$B$15)</x:f>
        <x:v>115622</x:v>
      </x:c>
      <x:c r="R323" t="str">
        <x:f>IF(I323=0,"UNMATCHED",IF(I323&gt;1,"DUPLICATE KEY",IF(OR(N323="TITLE VARIANT",O323="REVIEW",O323="MISSING"),"REVIEW","VERIFIED")))</x:f>
        <x:v>VERIFIED</x:v>
      </x:c>
      <x:c r="S323" s="46" t="str">
        <x:v>Not Reviewed</x:v>
      </x:c>
      <x:c r="T323" s="48"/>
    </x:row>
    <x:row r="324">
      <x:c r="A324" t="n">
        <x:f>Plan_Raw!A324</x:f>
        <x:v>1559</x:v>
      </x:c>
      <x:c r="B324" t="str">
        <x:f>Plan_Raw!D324</x:f>
        <x:v>1233</x:v>
      </x:c>
      <x:c r="C324" t="str">
        <x:f>LEFT(Plan_Raw!B324,10)</x:f>
        <x:v>2025-07-01</x:v>
      </x:c>
      <x:c r="D324" t="str">
        <x:f>Plan_Raw!F324</x:f>
        <x:v>SFMTA</x:v>
      </x:c>
      <x:c r="E324" t="str">
        <x:f>Plan_Raw!E324</x:f>
        <x:v>EEO Programs Specialist</x:v>
      </x:c>
      <x:c r="F324" t="str">
        <x:f>Plan_Raw!C324</x:f>
        <x:v>1233B</x:v>
      </x:c>
      <x:c r="G324" s="50" t="n">
        <x:f>IF(Plan_Raw!G324="","",IFERROR(VALUE(Plan_Raw!G324),""))</x:f>
        <x:v>55.5875</x:v>
      </x:c>
      <x:c r="H324" t="str">
        <x:f>Plan_Raw!AH324</x:f>
        <x:v>1233|SFMTA|2025-07-01</x:v>
      </x:c>
      <x:c r="I324" t="n">
        <x:f>COUNTIF(Rates_Raw!$AF$5:$AF$464,H324)</x:f>
        <x:v>1</x:v>
      </x:c>
      <x:c r="J324" t="str">
        <x:f>IF(I324=1,_xlfn.XLOOKUP(H324,Rates_Raw!$AF$5:$AF$464,Rates_Raw!$E$5:$E$464,""),"")</x:f>
        <x:v>EEO Programs Specialist</x:v>
      </x:c>
      <x:c r="K324" t="n">
        <x:f>IF(I324=1,_xlfn.XLOOKUP(H324,Rates_Raw!$AF$5:$AF$464,Rates_Raw!$F$5:$F$464,""),"")</x:f>
        <x:v>22</x:v>
      </x:c>
      <x:c r="L324" s="50" t="n">
        <x:f>IF(I324=1,IFERROR(VALUE(SUBSTITUTE(_xlfn.XLOOKUP(H324,Rates_Raw!$AF$5:$AF$464,Rates_Raw!$L$5:$L$464,""),"$","")),""),"")</x:f>
        <x:v>55.5875</x:v>
      </x:c>
      <x:c r="M324" s="50" t="n">
        <x:f>IF(OR(G324="",L324=""),"",ROUND(G324-L324,4))</x:f>
        <x:v>0</x:v>
      </x:c>
      <x:c r="N324" t="str">
        <x:f>IF(I324=0,"NO MATCH",IF(I324&gt;1,"AMBIGUOUS",IF(EXACT(TRIM(E324),TRIM(J324)),"EXACT","TITLE VARIANT")))</x:f>
        <x:v>EXACT</x:v>
      </x:c>
      <x:c r="O324" t="str">
        <x:f>IF(I324&lt;&gt;1,"NOT TESTED",IF(OR(G324="",L324=""),"MISSING",IF(ABS(M324)&lt;=Guide!$B$16,"PASS","REVIEW")))</x:f>
        <x:v>PASS</x:v>
      </x:c>
      <x:c r="P324" s="52" t="n">
        <x:f>IF(I324=1,IFERROR(VALUE(SUBSTITUTE(SUBSTITUTE(_xlfn.XLOOKUP(H324,Rates_Raw!$AF$5:$AF$464,Rates_Raw!$I$5:$I$464,""),"$",""),",","")),""),"")</x:f>
        <x:v>4447</x:v>
      </x:c>
      <x:c r="Q324" s="52" t="n">
        <x:f>IF(P324="","",P324*Guide!$B$15)</x:f>
        <x:v>115622</x:v>
      </x:c>
      <x:c r="R324" t="str">
        <x:f>IF(I324=0,"UNMATCHED",IF(I324&gt;1,"DUPLICATE KEY",IF(OR(N324="TITLE VARIANT",O324="REVIEW",O324="MISSING"),"REVIEW","VERIFIED")))</x:f>
        <x:v>VERIFIED</x:v>
      </x:c>
      <x:c r="S324" s="46" t="str">
        <x:v>Not Reviewed</x:v>
      </x:c>
      <x:c r="T324" s="48"/>
    </x:row>
    <x:row r="325">
      <x:c r="A325" t="n">
        <x:f>Plan_Raw!A325</x:f>
        <x:v>1548</x:v>
      </x:c>
      <x:c r="B325" t="str">
        <x:f>Plan_Raw!D325</x:f>
        <x:v>1233</x:v>
      </x:c>
      <x:c r="C325" t="str">
        <x:f>LEFT(Plan_Raw!B325,10)</x:f>
        <x:v>2026-01-03</x:v>
      </x:c>
      <x:c r="D325" t="str">
        <x:f>Plan_Raw!F325</x:f>
        <x:v>COMMN</x:v>
      </x:c>
      <x:c r="E325" t="str">
        <x:f>Plan_Raw!E325</x:f>
        <x:v>EEO Programs Specialist</x:v>
      </x:c>
      <x:c r="F325" t="str">
        <x:f>Plan_Raw!C325</x:f>
        <x:v>1233C</x:v>
      </x:c>
      <x:c r="G325" s="50" t="n">
        <x:f>IF(Plan_Raw!G325="","",IFERROR(VALUE(Plan_Raw!G325),""))</x:f>
        <x:v>56.425</x:v>
      </x:c>
      <x:c r="H325" t="str">
        <x:f>Plan_Raw!AH325</x:f>
        <x:v>1233|COMMN|2026-01-03</x:v>
      </x:c>
      <x:c r="I325" t="n">
        <x:f>COUNTIF(Rates_Raw!$AF$5:$AF$464,H325)</x:f>
        <x:v>1</x:v>
      </x:c>
      <x:c r="J325" t="str">
        <x:f>IF(I325=1,_xlfn.XLOOKUP(H325,Rates_Raw!$AF$5:$AF$464,Rates_Raw!$E$5:$E$464,""),"")</x:f>
        <x:v>EEO Programs Specialist</x:v>
      </x:c>
      <x:c r="K325" t="n">
        <x:f>IF(I325=1,_xlfn.XLOOKUP(H325,Rates_Raw!$AF$5:$AF$464,Rates_Raw!$F$5:$F$464,""),"")</x:f>
        <x:v>22</x:v>
      </x:c>
      <x:c r="L325" s="50" t="n">
        <x:f>IF(I325=1,IFERROR(VALUE(SUBSTITUTE(_xlfn.XLOOKUP(H325,Rates_Raw!$AF$5:$AF$464,Rates_Raw!$L$5:$L$464,""),"$","")),""),"")</x:f>
        <x:v>56.425</x:v>
      </x:c>
      <x:c r="M325" s="50" t="n">
        <x:f>IF(OR(G325="",L325=""),"",ROUND(G325-L325,4))</x:f>
        <x:v>0</x:v>
      </x:c>
      <x:c r="N325" t="str">
        <x:f>IF(I325=0,"NO MATCH",IF(I325&gt;1,"AMBIGUOUS",IF(EXACT(TRIM(E325),TRIM(J325)),"EXACT","TITLE VARIANT")))</x:f>
        <x:v>EXACT</x:v>
      </x:c>
      <x:c r="O325" t="str">
        <x:f>IF(I325&lt;&gt;1,"NOT TESTED",IF(OR(G325="",L325=""),"MISSING",IF(ABS(M325)&lt;=Guide!$B$16,"PASS","REVIEW")))</x:f>
        <x:v>PASS</x:v>
      </x:c>
      <x:c r="P325" s="52" t="n">
        <x:f>IF(I325=1,IFERROR(VALUE(SUBSTITUTE(SUBSTITUTE(_xlfn.XLOOKUP(H325,Rates_Raw!$AF$5:$AF$464,Rates_Raw!$I$5:$I$464,""),"$",""),",","")),""),"")</x:f>
        <x:v>4514</x:v>
      </x:c>
      <x:c r="Q325" s="52" t="n">
        <x:f>IF(P325="","",P325*Guide!$B$15)</x:f>
        <x:v>117364</x:v>
      </x:c>
      <x:c r="R325" t="str">
        <x:f>IF(I325=0,"UNMATCHED",IF(I325&gt;1,"DUPLICATE KEY",IF(OR(N325="TITLE VARIANT",O325="REVIEW",O325="MISSING"),"REVIEW","VERIFIED")))</x:f>
        <x:v>VERIFIED</x:v>
      </x:c>
      <x:c r="S325" s="46" t="str">
        <x:v>Not Reviewed</x:v>
      </x:c>
      <x:c r="T325" s="48"/>
    </x:row>
    <x:row r="326">
      <x:c r="A326" t="n">
        <x:f>Plan_Raw!A326</x:f>
        <x:v>1560</x:v>
      </x:c>
      <x:c r="B326" t="str">
        <x:f>Plan_Raw!D326</x:f>
        <x:v>1233</x:v>
      </x:c>
      <x:c r="C326" t="str">
        <x:f>LEFT(Plan_Raw!B326,10)</x:f>
        <x:v>2026-01-03</x:v>
      </x:c>
      <x:c r="D326" t="str">
        <x:f>Plan_Raw!F326</x:f>
        <x:v>SFMTA</x:v>
      </x:c>
      <x:c r="E326" t="str">
        <x:f>Plan_Raw!E326</x:f>
        <x:v>EEO Programs Specialist</x:v>
      </x:c>
      <x:c r="F326" t="str">
        <x:f>Plan_Raw!C326</x:f>
        <x:v>1233C</x:v>
      </x:c>
      <x:c r="G326" s="50" t="n">
        <x:f>IF(Plan_Raw!G326="","",IFERROR(VALUE(Plan_Raw!G326),""))</x:f>
        <x:v>56.425</x:v>
      </x:c>
      <x:c r="H326" t="str">
        <x:f>Plan_Raw!AH326</x:f>
        <x:v>1233|SFMTA|2026-01-03</x:v>
      </x:c>
      <x:c r="I326" t="n">
        <x:f>COUNTIF(Rates_Raw!$AF$5:$AF$464,H326)</x:f>
        <x:v>1</x:v>
      </x:c>
      <x:c r="J326" t="str">
        <x:f>IF(I326=1,_xlfn.XLOOKUP(H326,Rates_Raw!$AF$5:$AF$464,Rates_Raw!$E$5:$E$464,""),"")</x:f>
        <x:v>EEO Programs Specialist</x:v>
      </x:c>
      <x:c r="K326" t="n">
        <x:f>IF(I326=1,_xlfn.XLOOKUP(H326,Rates_Raw!$AF$5:$AF$464,Rates_Raw!$F$5:$F$464,""),"")</x:f>
        <x:v>22</x:v>
      </x:c>
      <x:c r="L326" s="50" t="n">
        <x:f>IF(I326=1,IFERROR(VALUE(SUBSTITUTE(_xlfn.XLOOKUP(H326,Rates_Raw!$AF$5:$AF$464,Rates_Raw!$L$5:$L$464,""),"$","")),""),"")</x:f>
        <x:v>56.425</x:v>
      </x:c>
      <x:c r="M326" s="50" t="n">
        <x:f>IF(OR(G326="",L326=""),"",ROUND(G326-L326,4))</x:f>
        <x:v>0</x:v>
      </x:c>
      <x:c r="N326" t="str">
        <x:f>IF(I326=0,"NO MATCH",IF(I326&gt;1,"AMBIGUOUS",IF(EXACT(TRIM(E326),TRIM(J326)),"EXACT","TITLE VARIANT")))</x:f>
        <x:v>EXACT</x:v>
      </x:c>
      <x:c r="O326" t="str">
        <x:f>IF(I326&lt;&gt;1,"NOT TESTED",IF(OR(G326="",L326=""),"MISSING",IF(ABS(M326)&lt;=Guide!$B$16,"PASS","REVIEW")))</x:f>
        <x:v>PASS</x:v>
      </x:c>
      <x:c r="P326" s="52" t="n">
        <x:f>IF(I326=1,IFERROR(VALUE(SUBSTITUTE(SUBSTITUTE(_xlfn.XLOOKUP(H326,Rates_Raw!$AF$5:$AF$464,Rates_Raw!$I$5:$I$464,""),"$",""),",","")),""),"")</x:f>
        <x:v>4514</x:v>
      </x:c>
      <x:c r="Q326" s="52" t="n">
        <x:f>IF(P326="","",P326*Guide!$B$15)</x:f>
        <x:v>117364</x:v>
      </x:c>
      <x:c r="R326" t="str">
        <x:f>IF(I326=0,"UNMATCHED",IF(I326&gt;1,"DUPLICATE KEY",IF(OR(N326="TITLE VARIANT",O326="REVIEW",O326="MISSING"),"REVIEW","VERIFIED")))</x:f>
        <x:v>VERIFIED</x:v>
      </x:c>
      <x:c r="S326" s="46" t="str">
        <x:v>Not Reviewed</x:v>
      </x:c>
      <x:c r="T326" s="48"/>
    </x:row>
    <x:row r="327">
      <x:c r="A327" t="n">
        <x:f>Plan_Raw!A327</x:f>
        <x:v>1549</x:v>
      </x:c>
      <x:c r="B327" t="str">
        <x:f>Plan_Raw!D327</x:f>
        <x:v>1233</x:v>
      </x:c>
      <x:c r="C327" t="str">
        <x:f>LEFT(Plan_Raw!B327,10)</x:f>
        <x:v>2026-07-01</x:v>
      </x:c>
      <x:c r="D327" t="str">
        <x:f>Plan_Raw!F327</x:f>
        <x:v>COMMN</x:v>
      </x:c>
      <x:c r="E327" t="str">
        <x:f>Plan_Raw!E327</x:f>
        <x:v>EEO Programs Specialist</x:v>
      </x:c>
      <x:c r="F327" t="str">
        <x:f>Plan_Raw!C327</x:f>
        <x:v>1233D</x:v>
      </x:c>
      <x:c r="G327" s="50" t="n">
        <x:f>IF(Plan_Raw!G327="","",IFERROR(VALUE(Plan_Raw!G327),""))</x:f>
        <x:v>57.55</x:v>
      </x:c>
      <x:c r="H327" t="str">
        <x:f>Plan_Raw!AH327</x:f>
        <x:v>1233|COMMN|2026-07-01</x:v>
      </x:c>
      <x:c r="I327" t="n">
        <x:f>COUNTIF(Rates_Raw!$AF$5:$AF$464,H327)</x:f>
        <x:v>0</x:v>
      </x:c>
      <x:c r="J327" t="str">
        <x:f>IF(I327=1,_xlfn.XLOOKUP(H327,Rates_Raw!$AF$5:$AF$464,Rates_Raw!$E$5:$E$464,""),"")</x:f>
      </x:c>
      <x:c r="K327" t="str">
        <x:f>IF(I327=1,_xlfn.XLOOKUP(H327,Rates_Raw!$AF$5:$AF$464,Rates_Raw!$F$5:$F$464,""),"")</x:f>
      </x:c>
      <x:c r="L327" s="50" t="str">
        <x:f>IF(I327=1,IFERROR(VALUE(SUBSTITUTE(_xlfn.XLOOKUP(H327,Rates_Raw!$AF$5:$AF$464,Rates_Raw!$L$5:$L$464,""),"$","")),""),"")</x:f>
      </x:c>
      <x:c r="M327" s="50" t="str">
        <x:f>IF(OR(G327="",L327=""),"",ROUND(G327-L327,4))</x:f>
      </x:c>
      <x:c r="N327" t="str">
        <x:f>IF(I327=0,"NO MATCH",IF(I327&gt;1,"AMBIGUOUS",IF(EXACT(TRIM(E327),TRIM(J327)),"EXACT","TITLE VARIANT")))</x:f>
        <x:v>NO MATCH</x:v>
      </x:c>
      <x:c r="O327" t="str">
        <x:f>IF(I327&lt;&gt;1,"NOT TESTED",IF(OR(G327="",L327=""),"MISSING",IF(ABS(M327)&lt;=Guide!$B$16,"PASS","REVIEW")))</x:f>
        <x:v>NOT TESTED</x:v>
      </x:c>
      <x:c r="P327" s="52" t="str">
        <x:f>IF(I327=1,IFERROR(VALUE(SUBSTITUTE(SUBSTITUTE(_xlfn.XLOOKUP(H327,Rates_Raw!$AF$5:$AF$464,Rates_Raw!$I$5:$I$464,""),"$",""),",","")),""),"")</x:f>
      </x:c>
      <x:c r="Q327" s="52" t="str">
        <x:f>IF(P327="","",P327*Guide!$B$15)</x:f>
      </x:c>
      <x:c r="R327" t="str">
        <x:f>IF(I327=0,"UNMATCHED",IF(I327&gt;1,"DUPLICATE KEY",IF(OR(N327="TITLE VARIANT",O327="REVIEW",O327="MISSING"),"REVIEW","VERIFIED")))</x:f>
        <x:v>UNMATCHED</x:v>
      </x:c>
      <x:c r="S327" s="46" t="str">
        <x:v>Not Reviewed</x:v>
      </x:c>
      <x:c r="T327" s="48"/>
    </x:row>
    <x:row r="328">
      <x:c r="A328" t="n">
        <x:f>Plan_Raw!A328</x:f>
        <x:v>1561</x:v>
      </x:c>
      <x:c r="B328" t="str">
        <x:f>Plan_Raw!D328</x:f>
        <x:v>1233</x:v>
      </x:c>
      <x:c r="C328" t="str">
        <x:f>LEFT(Plan_Raw!B328,10)</x:f>
        <x:v>2026-07-01</x:v>
      </x:c>
      <x:c r="D328" t="str">
        <x:f>Plan_Raw!F328</x:f>
        <x:v>SFMTA</x:v>
      </x:c>
      <x:c r="E328" t="str">
        <x:f>Plan_Raw!E328</x:f>
        <x:v>EEO Programs Specialist</x:v>
      </x:c>
      <x:c r="F328" t="str">
        <x:f>Plan_Raw!C328</x:f>
        <x:v>1233D</x:v>
      </x:c>
      <x:c r="G328" s="50" t="n">
        <x:f>IF(Plan_Raw!G328="","",IFERROR(VALUE(Plan_Raw!G328),""))</x:f>
        <x:v>57.55</x:v>
      </x:c>
      <x:c r="H328" t="str">
        <x:f>Plan_Raw!AH328</x:f>
        <x:v>1233|SFMTA|2026-07-01</x:v>
      </x:c>
      <x:c r="I328" t="n">
        <x:f>COUNTIF(Rates_Raw!$AF$5:$AF$464,H328)</x:f>
        <x:v>0</x:v>
      </x:c>
      <x:c r="J328" t="str">
        <x:f>IF(I328=1,_xlfn.XLOOKUP(H328,Rates_Raw!$AF$5:$AF$464,Rates_Raw!$E$5:$E$464,""),"")</x:f>
      </x:c>
      <x:c r="K328" t="str">
        <x:f>IF(I328=1,_xlfn.XLOOKUP(H328,Rates_Raw!$AF$5:$AF$464,Rates_Raw!$F$5:$F$464,""),"")</x:f>
      </x:c>
      <x:c r="L328" s="50" t="str">
        <x:f>IF(I328=1,IFERROR(VALUE(SUBSTITUTE(_xlfn.XLOOKUP(H328,Rates_Raw!$AF$5:$AF$464,Rates_Raw!$L$5:$L$464,""),"$","")),""),"")</x:f>
      </x:c>
      <x:c r="M328" s="50" t="str">
        <x:f>IF(OR(G328="",L328=""),"",ROUND(G328-L328,4))</x:f>
      </x:c>
      <x:c r="N328" t="str">
        <x:f>IF(I328=0,"NO MATCH",IF(I328&gt;1,"AMBIGUOUS",IF(EXACT(TRIM(E328),TRIM(J328)),"EXACT","TITLE VARIANT")))</x:f>
        <x:v>NO MATCH</x:v>
      </x:c>
      <x:c r="O328" t="str">
        <x:f>IF(I328&lt;&gt;1,"NOT TESTED",IF(OR(G328="",L328=""),"MISSING",IF(ABS(M328)&lt;=Guide!$B$16,"PASS","REVIEW")))</x:f>
        <x:v>NOT TESTED</x:v>
      </x:c>
      <x:c r="P328" s="52" t="str">
        <x:f>IF(I328=1,IFERROR(VALUE(SUBSTITUTE(SUBSTITUTE(_xlfn.XLOOKUP(H328,Rates_Raw!$AF$5:$AF$464,Rates_Raw!$I$5:$I$464,""),"$",""),",","")),""),"")</x:f>
      </x:c>
      <x:c r="Q328" s="52" t="str">
        <x:f>IF(P328="","",P328*Guide!$B$15)</x:f>
      </x:c>
      <x:c r="R328" t="str">
        <x:f>IF(I328=0,"UNMATCHED",IF(I328&gt;1,"DUPLICATE KEY",IF(OR(N328="TITLE VARIANT",O328="REVIEW",O328="MISSING"),"REVIEW","VERIFIED")))</x:f>
        <x:v>UNMATCHED</x:v>
      </x:c>
      <x:c r="S328" s="46" t="str">
        <x:v>Not Reviewed</x:v>
      </x:c>
      <x:c r="T328" s="48"/>
    </x:row>
    <x:row r="329">
      <x:c r="A329" t="n">
        <x:f>Plan_Raw!A329</x:f>
        <x:v>1616</x:v>
      </x:c>
      <x:c r="B329" t="str">
        <x:f>Plan_Raw!D329</x:f>
        <x:v>1246</x:v>
      </x:c>
      <x:c r="C329" t="str">
        <x:f>LEFT(Plan_Raw!B329,10)</x:f>
        <x:v>2024-01-06</x:v>
      </x:c>
      <x:c r="D329" t="str">
        <x:f>Plan_Raw!F329</x:f>
        <x:v>COMMN</x:v>
      </x:c>
      <x:c r="E329" t="str">
        <x:f>Plan_Raw!E329</x:f>
        <x:v>Principal Human Resources Analyst</x:v>
      </x:c>
      <x:c r="F329" t="str">
        <x:f>Plan_Raw!C329</x:f>
        <x:v>1246Y</x:v>
      </x:c>
      <x:c r="G329" s="50" t="n">
        <x:f>IF(Plan_Raw!G329="","",IFERROR(VALUE(Plan_Raw!G329),""))</x:f>
        <x:v>69.775</x:v>
      </x:c>
      <x:c r="H329" t="str">
        <x:f>Plan_Raw!AH329</x:f>
        <x:v>1246|COMMN|2024-01-06</x:v>
      </x:c>
      <x:c r="I329" t="n">
        <x:f>COUNTIF(Rates_Raw!$AF$5:$AF$464,H329)</x:f>
        <x:v>1</x:v>
      </x:c>
      <x:c r="J329" t="str">
        <x:f>IF(I329=1,_xlfn.XLOOKUP(H329,Rates_Raw!$AF$5:$AF$464,Rates_Raw!$E$5:$E$464,""),"")</x:f>
        <x:v>Principal Human Resources Analyst</x:v>
      </x:c>
      <x:c r="K329" t="n">
        <x:f>IF(I329=1,_xlfn.XLOOKUP(H329,Rates_Raw!$AF$5:$AF$464,Rates_Raw!$F$5:$F$464,""),"")</x:f>
        <x:v>22</x:v>
      </x:c>
      <x:c r="L329" s="50" t="n">
        <x:f>IF(I329=1,IFERROR(VALUE(SUBSTITUTE(_xlfn.XLOOKUP(H329,Rates_Raw!$AF$5:$AF$464,Rates_Raw!$L$5:$L$464,""),"$","")),""),"")</x:f>
        <x:v>69.775</x:v>
      </x:c>
      <x:c r="M329" s="50" t="n">
        <x:f>IF(OR(G329="",L329=""),"",ROUND(G329-L329,4))</x:f>
        <x:v>0</x:v>
      </x:c>
      <x:c r="N329" t="str">
        <x:f>IF(I329=0,"NO MATCH",IF(I329&gt;1,"AMBIGUOUS",IF(EXACT(TRIM(E329),TRIM(J329)),"EXACT","TITLE VARIANT")))</x:f>
        <x:v>EXACT</x:v>
      </x:c>
      <x:c r="O329" t="str">
        <x:f>IF(I329&lt;&gt;1,"NOT TESTED",IF(OR(G329="",L329=""),"MISSING",IF(ABS(M329)&lt;=Guide!$B$16,"PASS","REVIEW")))</x:f>
        <x:v>PASS</x:v>
      </x:c>
      <x:c r="P329" s="52" t="n">
        <x:f>IF(I329=1,IFERROR(VALUE(SUBSTITUTE(SUBSTITUTE(_xlfn.XLOOKUP(H329,Rates_Raw!$AF$5:$AF$464,Rates_Raw!$I$5:$I$464,""),"$",""),",","")),""),"")</x:f>
        <x:v>5582</x:v>
      </x:c>
      <x:c r="Q329" s="52" t="n">
        <x:f>IF(P329="","",P329*Guide!$B$15)</x:f>
        <x:v>145132</x:v>
      </x:c>
      <x:c r="R329" t="str">
        <x:f>IF(I329=0,"UNMATCHED",IF(I329&gt;1,"DUPLICATE KEY",IF(OR(N329="TITLE VARIANT",O329="REVIEW",O329="MISSING"),"REVIEW","VERIFIED")))</x:f>
        <x:v>VERIFIED</x:v>
      </x:c>
      <x:c r="S329" s="46" t="str">
        <x:v>Not Reviewed</x:v>
      </x:c>
      <x:c r="T329" s="48"/>
    </x:row>
    <x:row r="330">
      <x:c r="A330" t="n">
        <x:f>Plan_Raw!A330</x:f>
        <x:v>1628</x:v>
      </x:c>
      <x:c r="B330" t="str">
        <x:f>Plan_Raw!D330</x:f>
        <x:v>1246</x:v>
      </x:c>
      <x:c r="C330" t="str">
        <x:f>LEFT(Plan_Raw!B330,10)</x:f>
        <x:v>2024-01-06</x:v>
      </x:c>
      <x:c r="D330" t="str">
        <x:f>Plan_Raw!F330</x:f>
        <x:v>SFMTA</x:v>
      </x:c>
      <x:c r="E330" t="str">
        <x:f>Plan_Raw!E330</x:f>
        <x:v>Principal Human Resources Analyst</x:v>
      </x:c>
      <x:c r="F330" t="str">
        <x:f>Plan_Raw!C330</x:f>
        <x:v>1246Y</x:v>
      </x:c>
      <x:c r="G330" s="50" t="n">
        <x:f>IF(Plan_Raw!G330="","",IFERROR(VALUE(Plan_Raw!G330),""))</x:f>
        <x:v>69.775</x:v>
      </x:c>
      <x:c r="H330" t="str">
        <x:f>Plan_Raw!AH330</x:f>
        <x:v>1246|SFMTA|2024-01-06</x:v>
      </x:c>
      <x:c r="I330" t="n">
        <x:f>COUNTIF(Rates_Raw!$AF$5:$AF$464,H330)</x:f>
        <x:v>1</x:v>
      </x:c>
      <x:c r="J330" t="str">
        <x:f>IF(I330=1,_xlfn.XLOOKUP(H330,Rates_Raw!$AF$5:$AF$464,Rates_Raw!$E$5:$E$464,""),"")</x:f>
        <x:v>Principal Human Resources Analyst</x:v>
      </x:c>
      <x:c r="K330" t="n">
        <x:f>IF(I330=1,_xlfn.XLOOKUP(H330,Rates_Raw!$AF$5:$AF$464,Rates_Raw!$F$5:$F$464,""),"")</x:f>
        <x:v>22</x:v>
      </x:c>
      <x:c r="L330" s="50" t="n">
        <x:f>IF(I330=1,IFERROR(VALUE(SUBSTITUTE(_xlfn.XLOOKUP(H330,Rates_Raw!$AF$5:$AF$464,Rates_Raw!$L$5:$L$464,""),"$","")),""),"")</x:f>
        <x:v>69.775</x:v>
      </x:c>
      <x:c r="M330" s="50" t="n">
        <x:f>IF(OR(G330="",L330=""),"",ROUND(G330-L330,4))</x:f>
        <x:v>0</x:v>
      </x:c>
      <x:c r="N330" t="str">
        <x:f>IF(I330=0,"NO MATCH",IF(I330&gt;1,"AMBIGUOUS",IF(EXACT(TRIM(E330),TRIM(J330)),"EXACT","TITLE VARIANT")))</x:f>
        <x:v>EXACT</x:v>
      </x:c>
      <x:c r="O330" t="str">
        <x:f>IF(I330&lt;&gt;1,"NOT TESTED",IF(OR(G330="",L330=""),"MISSING",IF(ABS(M330)&lt;=Guide!$B$16,"PASS","REVIEW")))</x:f>
        <x:v>PASS</x:v>
      </x:c>
      <x:c r="P330" s="52" t="n">
        <x:f>IF(I330=1,IFERROR(VALUE(SUBSTITUTE(SUBSTITUTE(_xlfn.XLOOKUP(H330,Rates_Raw!$AF$5:$AF$464,Rates_Raw!$I$5:$I$464,""),"$",""),",","")),""),"")</x:f>
        <x:v>5582</x:v>
      </x:c>
      <x:c r="Q330" s="52" t="n">
        <x:f>IF(P330="","",P330*Guide!$B$15)</x:f>
        <x:v>145132</x:v>
      </x:c>
      <x:c r="R330" t="str">
        <x:f>IF(I330=0,"UNMATCHED",IF(I330&gt;1,"DUPLICATE KEY",IF(OR(N330="TITLE VARIANT",O330="REVIEW",O330="MISSING"),"REVIEW","VERIFIED")))</x:f>
        <x:v>VERIFIED</x:v>
      </x:c>
      <x:c r="S330" s="46" t="str">
        <x:v>Not Reviewed</x:v>
      </x:c>
      <x:c r="T330" s="48"/>
    </x:row>
    <x:row r="331">
      <x:c r="A331" t="n">
        <x:f>Plan_Raw!A331</x:f>
        <x:v>1617</x:v>
      </x:c>
      <x:c r="B331" t="str">
        <x:f>Plan_Raw!D331</x:f>
        <x:v>1246</x:v>
      </x:c>
      <x:c r="C331" t="str">
        <x:f>LEFT(Plan_Raw!B331,10)</x:f>
        <x:v>2024-07-01</x:v>
      </x:c>
      <x:c r="D331" t="str">
        <x:f>Plan_Raw!F331</x:f>
        <x:v>COMMN</x:v>
      </x:c>
      <x:c r="E331" t="str">
        <x:f>Plan_Raw!E331</x:f>
        <x:v>Principal Human Resources Analyst</x:v>
      </x:c>
      <x:c r="F331" t="str">
        <x:f>Plan_Raw!C331</x:f>
        <x:v>1246Z</x:v>
      </x:c>
      <x:c r="G331" s="50" t="n">
        <x:f>IF(Plan_Raw!G331="","",IFERROR(VALUE(Plan_Raw!G331),""))</x:f>
        <x:v>70.825</x:v>
      </x:c>
      <x:c r="H331" t="str">
        <x:f>Plan_Raw!AH331</x:f>
        <x:v>1246|COMMN|2024-07-01</x:v>
      </x:c>
      <x:c r="I331" t="n">
        <x:f>COUNTIF(Rates_Raw!$AF$5:$AF$464,H331)</x:f>
        <x:v>1</x:v>
      </x:c>
      <x:c r="J331" t="str">
        <x:f>IF(I331=1,_xlfn.XLOOKUP(H331,Rates_Raw!$AF$5:$AF$464,Rates_Raw!$E$5:$E$464,""),"")</x:f>
        <x:v>Principal Human Resources Analyst</x:v>
      </x:c>
      <x:c r="K331" t="n">
        <x:f>IF(I331=1,_xlfn.XLOOKUP(H331,Rates_Raw!$AF$5:$AF$464,Rates_Raw!$F$5:$F$464,""),"")</x:f>
        <x:v>22</x:v>
      </x:c>
      <x:c r="L331" s="50" t="n">
        <x:f>IF(I331=1,IFERROR(VALUE(SUBSTITUTE(_xlfn.XLOOKUP(H331,Rates_Raw!$AF$5:$AF$464,Rates_Raw!$L$5:$L$464,""),"$","")),""),"")</x:f>
        <x:v>70.825</x:v>
      </x:c>
      <x:c r="M331" s="50" t="n">
        <x:f>IF(OR(G331="",L331=""),"",ROUND(G331-L331,4))</x:f>
        <x:v>0</x:v>
      </x:c>
      <x:c r="N331" t="str">
        <x:f>IF(I331=0,"NO MATCH",IF(I331&gt;1,"AMBIGUOUS",IF(EXACT(TRIM(E331),TRIM(J331)),"EXACT","TITLE VARIANT")))</x:f>
        <x:v>EXACT</x:v>
      </x:c>
      <x:c r="O331" t="str">
        <x:f>IF(I331&lt;&gt;1,"NOT TESTED",IF(OR(G331="",L331=""),"MISSING",IF(ABS(M331)&lt;=Guide!$B$16,"PASS","REVIEW")))</x:f>
        <x:v>PASS</x:v>
      </x:c>
      <x:c r="P331" s="52" t="n">
        <x:f>IF(I331=1,IFERROR(VALUE(SUBSTITUTE(SUBSTITUTE(_xlfn.XLOOKUP(H331,Rates_Raw!$AF$5:$AF$464,Rates_Raw!$I$5:$I$464,""),"$",""),",","")),""),"")</x:f>
        <x:v>5666</x:v>
      </x:c>
      <x:c r="Q331" s="52" t="n">
        <x:f>IF(P331="","",P331*Guide!$B$15)</x:f>
        <x:v>147316</x:v>
      </x:c>
      <x:c r="R331" t="str">
        <x:f>IF(I331=0,"UNMATCHED",IF(I331&gt;1,"DUPLICATE KEY",IF(OR(N331="TITLE VARIANT",O331="REVIEW",O331="MISSING"),"REVIEW","VERIFIED")))</x:f>
        <x:v>VERIFIED</x:v>
      </x:c>
      <x:c r="S331" s="46" t="str">
        <x:v>Not Reviewed</x:v>
      </x:c>
      <x:c r="T331" s="48"/>
    </x:row>
    <x:row r="332">
      <x:c r="A332" t="n">
        <x:f>Plan_Raw!A332</x:f>
        <x:v>1629</x:v>
      </x:c>
      <x:c r="B332" t="str">
        <x:f>Plan_Raw!D332</x:f>
        <x:v>1246</x:v>
      </x:c>
      <x:c r="C332" t="str">
        <x:f>LEFT(Plan_Raw!B332,10)</x:f>
        <x:v>2024-07-01</x:v>
      </x:c>
      <x:c r="D332" t="str">
        <x:f>Plan_Raw!F332</x:f>
        <x:v>SFMTA</x:v>
      </x:c>
      <x:c r="E332" t="str">
        <x:f>Plan_Raw!E332</x:f>
        <x:v>Principal Human Resources Analyst</x:v>
      </x:c>
      <x:c r="F332" t="str">
        <x:f>Plan_Raw!C332</x:f>
        <x:v>1246Z</x:v>
      </x:c>
      <x:c r="G332" s="50" t="n">
        <x:f>IF(Plan_Raw!G332="","",IFERROR(VALUE(Plan_Raw!G332),""))</x:f>
        <x:v>70.825</x:v>
      </x:c>
      <x:c r="H332" t="str">
        <x:f>Plan_Raw!AH332</x:f>
        <x:v>1246|SFMTA|2024-07-01</x:v>
      </x:c>
      <x:c r="I332" t="n">
        <x:f>COUNTIF(Rates_Raw!$AF$5:$AF$464,H332)</x:f>
        <x:v>1</x:v>
      </x:c>
      <x:c r="J332" t="str">
        <x:f>IF(I332=1,_xlfn.XLOOKUP(H332,Rates_Raw!$AF$5:$AF$464,Rates_Raw!$E$5:$E$464,""),"")</x:f>
        <x:v>Principal Human Resources Analyst</x:v>
      </x:c>
      <x:c r="K332" t="n">
        <x:f>IF(I332=1,_xlfn.XLOOKUP(H332,Rates_Raw!$AF$5:$AF$464,Rates_Raw!$F$5:$F$464,""),"")</x:f>
        <x:v>22</x:v>
      </x:c>
      <x:c r="L332" s="50" t="n">
        <x:f>IF(I332=1,IFERROR(VALUE(SUBSTITUTE(_xlfn.XLOOKUP(H332,Rates_Raw!$AF$5:$AF$464,Rates_Raw!$L$5:$L$464,""),"$","")),""),"")</x:f>
        <x:v>70.825</x:v>
      </x:c>
      <x:c r="M332" s="50" t="n">
        <x:f>IF(OR(G332="",L332=""),"",ROUND(G332-L332,4))</x:f>
        <x:v>0</x:v>
      </x:c>
      <x:c r="N332" t="str">
        <x:f>IF(I332=0,"NO MATCH",IF(I332&gt;1,"AMBIGUOUS",IF(EXACT(TRIM(E332),TRIM(J332)),"EXACT","TITLE VARIANT")))</x:f>
        <x:v>EXACT</x:v>
      </x:c>
      <x:c r="O332" t="str">
        <x:f>IF(I332&lt;&gt;1,"NOT TESTED",IF(OR(G332="",L332=""),"MISSING",IF(ABS(M332)&lt;=Guide!$B$16,"PASS","REVIEW")))</x:f>
        <x:v>PASS</x:v>
      </x:c>
      <x:c r="P332" s="52" t="n">
        <x:f>IF(I332=1,IFERROR(VALUE(SUBSTITUTE(SUBSTITUTE(_xlfn.XLOOKUP(H332,Rates_Raw!$AF$5:$AF$464,Rates_Raw!$I$5:$I$464,""),"$",""),",","")),""),"")</x:f>
        <x:v>5666</x:v>
      </x:c>
      <x:c r="Q332" s="52" t="n">
        <x:f>IF(P332="","",P332*Guide!$B$15)</x:f>
        <x:v>147316</x:v>
      </x:c>
      <x:c r="R332" t="str">
        <x:f>IF(I332=0,"UNMATCHED",IF(I332&gt;1,"DUPLICATE KEY",IF(OR(N332="TITLE VARIANT",O332="REVIEW",O332="MISSING"),"REVIEW","VERIFIED")))</x:f>
        <x:v>VERIFIED</x:v>
      </x:c>
      <x:c r="S332" s="46" t="str">
        <x:v>Not Reviewed</x:v>
      </x:c>
      <x:c r="T332" s="48"/>
    </x:row>
    <x:row r="333">
      <x:c r="A333" t="n">
        <x:f>Plan_Raw!A333</x:f>
        <x:v>1618</x:v>
      </x:c>
      <x:c r="B333" t="str">
        <x:f>Plan_Raw!D333</x:f>
        <x:v>1246</x:v>
      </x:c>
      <x:c r="C333" t="str">
        <x:f>LEFT(Plan_Raw!B333,10)</x:f>
        <x:v>2025-01-04</x:v>
      </x:c>
      <x:c r="D333" t="str">
        <x:f>Plan_Raw!F333</x:f>
        <x:v>COMMN</x:v>
      </x:c>
      <x:c r="E333" t="str">
        <x:f>Plan_Raw!E333</x:f>
        <x:v>Principal Human Resources Analyst</x:v>
      </x:c>
      <x:c r="F333" t="str">
        <x:f>Plan_Raw!C333</x:f>
        <x:v>1246A</x:v>
      </x:c>
      <x:c r="G333" s="50" t="n">
        <x:f>IF(Plan_Raw!G333="","",IFERROR(VALUE(Plan_Raw!G333),""))</x:f>
        <x:v>71.8875</x:v>
      </x:c>
      <x:c r="H333" t="str">
        <x:f>Plan_Raw!AH333</x:f>
        <x:v>1246|COMMN|2025-01-04</x:v>
      </x:c>
      <x:c r="I333" t="n">
        <x:f>COUNTIF(Rates_Raw!$AF$5:$AF$464,H333)</x:f>
        <x:v>1</x:v>
      </x:c>
      <x:c r="J333" t="str">
        <x:f>IF(I333=1,_xlfn.XLOOKUP(H333,Rates_Raw!$AF$5:$AF$464,Rates_Raw!$E$5:$E$464,""),"")</x:f>
        <x:v>Principal Human Resources Analyst</x:v>
      </x:c>
      <x:c r="K333" t="n">
        <x:f>IF(I333=1,_xlfn.XLOOKUP(H333,Rates_Raw!$AF$5:$AF$464,Rates_Raw!$F$5:$F$464,""),"")</x:f>
        <x:v>22</x:v>
      </x:c>
      <x:c r="L333" s="50" t="n">
        <x:f>IF(I333=1,IFERROR(VALUE(SUBSTITUTE(_xlfn.XLOOKUP(H333,Rates_Raw!$AF$5:$AF$464,Rates_Raw!$L$5:$L$464,""),"$","")),""),"")</x:f>
        <x:v>71.8875</x:v>
      </x:c>
      <x:c r="M333" s="50" t="n">
        <x:f>IF(OR(G333="",L333=""),"",ROUND(G333-L333,4))</x:f>
        <x:v>0</x:v>
      </x:c>
      <x:c r="N333" t="str">
        <x:f>IF(I333=0,"NO MATCH",IF(I333&gt;1,"AMBIGUOUS",IF(EXACT(TRIM(E333),TRIM(J333)),"EXACT","TITLE VARIANT")))</x:f>
        <x:v>EXACT</x:v>
      </x:c>
      <x:c r="O333" t="str">
        <x:f>IF(I333&lt;&gt;1,"NOT TESTED",IF(OR(G333="",L333=""),"MISSING",IF(ABS(M333)&lt;=Guide!$B$16,"PASS","REVIEW")))</x:f>
        <x:v>PASS</x:v>
      </x:c>
      <x:c r="P333" s="52" t="n">
        <x:f>IF(I333=1,IFERROR(VALUE(SUBSTITUTE(SUBSTITUTE(_xlfn.XLOOKUP(H333,Rates_Raw!$AF$5:$AF$464,Rates_Raw!$I$5:$I$464,""),"$",""),",","")),""),"")</x:f>
        <x:v>5751</x:v>
      </x:c>
      <x:c r="Q333" s="52" t="n">
        <x:f>IF(P333="","",P333*Guide!$B$15)</x:f>
        <x:v>149526</x:v>
      </x:c>
      <x:c r="R333" t="str">
        <x:f>IF(I333=0,"UNMATCHED",IF(I333&gt;1,"DUPLICATE KEY",IF(OR(N333="TITLE VARIANT",O333="REVIEW",O333="MISSING"),"REVIEW","VERIFIED")))</x:f>
        <x:v>VERIFIED</x:v>
      </x:c>
      <x:c r="S333" s="46" t="str">
        <x:v>Not Reviewed</x:v>
      </x:c>
      <x:c r="T333" s="48"/>
    </x:row>
    <x:row r="334">
      <x:c r="A334" t="n">
        <x:f>Plan_Raw!A334</x:f>
        <x:v>1630</x:v>
      </x:c>
      <x:c r="B334" t="str">
        <x:f>Plan_Raw!D334</x:f>
        <x:v>1246</x:v>
      </x:c>
      <x:c r="C334" t="str">
        <x:f>LEFT(Plan_Raw!B334,10)</x:f>
        <x:v>2025-01-04</x:v>
      </x:c>
      <x:c r="D334" t="str">
        <x:f>Plan_Raw!F334</x:f>
        <x:v>SFMTA</x:v>
      </x:c>
      <x:c r="E334" t="str">
        <x:f>Plan_Raw!E334</x:f>
        <x:v>Principal Human Resources Analyst</x:v>
      </x:c>
      <x:c r="F334" t="str">
        <x:f>Plan_Raw!C334</x:f>
        <x:v>1246A</x:v>
      </x:c>
      <x:c r="G334" s="50" t="n">
        <x:f>IF(Plan_Raw!G334="","",IFERROR(VALUE(Plan_Raw!G334),""))</x:f>
        <x:v>71.8875</x:v>
      </x:c>
      <x:c r="H334" t="str">
        <x:f>Plan_Raw!AH334</x:f>
        <x:v>1246|SFMTA|2025-01-04</x:v>
      </x:c>
      <x:c r="I334" t="n">
        <x:f>COUNTIF(Rates_Raw!$AF$5:$AF$464,H334)</x:f>
        <x:v>1</x:v>
      </x:c>
      <x:c r="J334" t="str">
        <x:f>IF(I334=1,_xlfn.XLOOKUP(H334,Rates_Raw!$AF$5:$AF$464,Rates_Raw!$E$5:$E$464,""),"")</x:f>
        <x:v>Principal Human Resources Analyst</x:v>
      </x:c>
      <x:c r="K334" t="n">
        <x:f>IF(I334=1,_xlfn.XLOOKUP(H334,Rates_Raw!$AF$5:$AF$464,Rates_Raw!$F$5:$F$464,""),"")</x:f>
        <x:v>22</x:v>
      </x:c>
      <x:c r="L334" s="50" t="n">
        <x:f>IF(I334=1,IFERROR(VALUE(SUBSTITUTE(_xlfn.XLOOKUP(H334,Rates_Raw!$AF$5:$AF$464,Rates_Raw!$L$5:$L$464,""),"$","")),""),"")</x:f>
        <x:v>71.8875</x:v>
      </x:c>
      <x:c r="M334" s="50" t="n">
        <x:f>IF(OR(G334="",L334=""),"",ROUND(G334-L334,4))</x:f>
        <x:v>0</x:v>
      </x:c>
      <x:c r="N334" t="str">
        <x:f>IF(I334=0,"NO MATCH",IF(I334&gt;1,"AMBIGUOUS",IF(EXACT(TRIM(E334),TRIM(J334)),"EXACT","TITLE VARIANT")))</x:f>
        <x:v>EXACT</x:v>
      </x:c>
      <x:c r="O334" t="str">
        <x:f>IF(I334&lt;&gt;1,"NOT TESTED",IF(OR(G334="",L334=""),"MISSING",IF(ABS(M334)&lt;=Guide!$B$16,"PASS","REVIEW")))</x:f>
        <x:v>PASS</x:v>
      </x:c>
      <x:c r="P334" s="52" t="n">
        <x:f>IF(I334=1,IFERROR(VALUE(SUBSTITUTE(SUBSTITUTE(_xlfn.XLOOKUP(H334,Rates_Raw!$AF$5:$AF$464,Rates_Raw!$I$5:$I$464,""),"$",""),",","")),""),"")</x:f>
        <x:v>5751</x:v>
      </x:c>
      <x:c r="Q334" s="52" t="n">
        <x:f>IF(P334="","",P334*Guide!$B$15)</x:f>
        <x:v>149526</x:v>
      </x:c>
      <x:c r="R334" t="str">
        <x:f>IF(I334=0,"UNMATCHED",IF(I334&gt;1,"DUPLICATE KEY",IF(OR(N334="TITLE VARIANT",O334="REVIEW",O334="MISSING"),"REVIEW","VERIFIED")))</x:f>
        <x:v>VERIFIED</x:v>
      </x:c>
      <x:c r="S334" s="46" t="str">
        <x:v>Not Reviewed</x:v>
      </x:c>
      <x:c r="T334" s="48"/>
    </x:row>
    <x:row r="335">
      <x:c r="A335" t="n">
        <x:f>Plan_Raw!A335</x:f>
        <x:v>1619</x:v>
      </x:c>
      <x:c r="B335" t="str">
        <x:f>Plan_Raw!D335</x:f>
        <x:v>1246</x:v>
      </x:c>
      <x:c r="C335" t="str">
        <x:f>LEFT(Plan_Raw!B335,10)</x:f>
        <x:v>2025-07-01</x:v>
      </x:c>
      <x:c r="D335" t="str">
        <x:f>Plan_Raw!F335</x:f>
        <x:v>COMMN</x:v>
      </x:c>
      <x:c r="E335" t="str">
        <x:f>Plan_Raw!E335</x:f>
        <x:v>Prin Human Resources Analyst</x:v>
      </x:c>
      <x:c r="F335" t="str">
        <x:f>Plan_Raw!C335</x:f>
        <x:v>1246B</x:v>
      </x:c>
      <x:c r="G335" s="50" t="n">
        <x:f>IF(Plan_Raw!G335="","",IFERROR(VALUE(Plan_Raw!G335),""))</x:f>
        <x:v>73.3375</x:v>
      </x:c>
      <x:c r="H335" t="str">
        <x:f>Plan_Raw!AH335</x:f>
        <x:v>1246|COMMN|2025-07-01</x:v>
      </x:c>
      <x:c r="I335" t="n">
        <x:f>COUNTIF(Rates_Raw!$AF$5:$AF$464,H335)</x:f>
        <x:v>1</x:v>
      </x:c>
      <x:c r="J335" t="str">
        <x:f>IF(I335=1,_xlfn.XLOOKUP(H335,Rates_Raw!$AF$5:$AF$464,Rates_Raw!$E$5:$E$464,""),"")</x:f>
        <x:v>Prin Human Resources Analyst</x:v>
      </x:c>
      <x:c r="K335" t="n">
        <x:f>IF(I335=1,_xlfn.XLOOKUP(H335,Rates_Raw!$AF$5:$AF$464,Rates_Raw!$F$5:$F$464,""),"")</x:f>
        <x:v>22</x:v>
      </x:c>
      <x:c r="L335" s="50" t="n">
        <x:f>IF(I335=1,IFERROR(VALUE(SUBSTITUTE(_xlfn.XLOOKUP(H335,Rates_Raw!$AF$5:$AF$464,Rates_Raw!$L$5:$L$464,""),"$","")),""),"")</x:f>
        <x:v>73.3375</x:v>
      </x:c>
      <x:c r="M335" s="50" t="n">
        <x:f>IF(OR(G335="",L335=""),"",ROUND(G335-L335,4))</x:f>
        <x:v>0</x:v>
      </x:c>
      <x:c r="N335" t="str">
        <x:f>IF(I335=0,"NO MATCH",IF(I335&gt;1,"AMBIGUOUS",IF(EXACT(TRIM(E335),TRIM(J335)),"EXACT","TITLE VARIANT")))</x:f>
        <x:v>EXACT</x:v>
      </x:c>
      <x:c r="O335" t="str">
        <x:f>IF(I335&lt;&gt;1,"NOT TESTED",IF(OR(G335="",L335=""),"MISSING",IF(ABS(M335)&lt;=Guide!$B$16,"PASS","REVIEW")))</x:f>
        <x:v>PASS</x:v>
      </x:c>
      <x:c r="P335" s="52" t="n">
        <x:f>IF(I335=1,IFERROR(VALUE(SUBSTITUTE(SUBSTITUTE(_xlfn.XLOOKUP(H335,Rates_Raw!$AF$5:$AF$464,Rates_Raw!$I$5:$I$464,""),"$",""),",","")),""),"")</x:f>
        <x:v>5867</x:v>
      </x:c>
      <x:c r="Q335" s="52" t="n">
        <x:f>IF(P335="","",P335*Guide!$B$15)</x:f>
        <x:v>152542</x:v>
      </x:c>
      <x:c r="R335" t="str">
        <x:f>IF(I335=0,"UNMATCHED",IF(I335&gt;1,"DUPLICATE KEY",IF(OR(N335="TITLE VARIANT",O335="REVIEW",O335="MISSING"),"REVIEW","VERIFIED")))</x:f>
        <x:v>VERIFIED</x:v>
      </x:c>
      <x:c r="S335" s="46" t="str">
        <x:v>Not Reviewed</x:v>
      </x:c>
      <x:c r="T335" s="48"/>
    </x:row>
    <x:row r="336">
      <x:c r="A336" t="n">
        <x:f>Plan_Raw!A336</x:f>
        <x:v>1631</x:v>
      </x:c>
      <x:c r="B336" t="str">
        <x:f>Plan_Raw!D336</x:f>
        <x:v>1246</x:v>
      </x:c>
      <x:c r="C336" t="str">
        <x:f>LEFT(Plan_Raw!B336,10)</x:f>
        <x:v>2025-07-01</x:v>
      </x:c>
      <x:c r="D336" t="str">
        <x:f>Plan_Raw!F336</x:f>
        <x:v>SFMTA</x:v>
      </x:c>
      <x:c r="E336" t="str">
        <x:f>Plan_Raw!E336</x:f>
        <x:v>Prin Human Resources Analyst</x:v>
      </x:c>
      <x:c r="F336" t="str">
        <x:f>Plan_Raw!C336</x:f>
        <x:v>1246B</x:v>
      </x:c>
      <x:c r="G336" s="50" t="n">
        <x:f>IF(Plan_Raw!G336="","",IFERROR(VALUE(Plan_Raw!G336),""))</x:f>
        <x:v>73.3375</x:v>
      </x:c>
      <x:c r="H336" t="str">
        <x:f>Plan_Raw!AH336</x:f>
        <x:v>1246|SFMTA|2025-07-01</x:v>
      </x:c>
      <x:c r="I336" t="n">
        <x:f>COUNTIF(Rates_Raw!$AF$5:$AF$464,H336)</x:f>
        <x:v>1</x:v>
      </x:c>
      <x:c r="J336" t="str">
        <x:f>IF(I336=1,_xlfn.XLOOKUP(H336,Rates_Raw!$AF$5:$AF$464,Rates_Raw!$E$5:$E$464,""),"")</x:f>
        <x:v>Prin Human Resources Analyst</x:v>
      </x:c>
      <x:c r="K336" t="n">
        <x:f>IF(I336=1,_xlfn.XLOOKUP(H336,Rates_Raw!$AF$5:$AF$464,Rates_Raw!$F$5:$F$464,""),"")</x:f>
        <x:v>22</x:v>
      </x:c>
      <x:c r="L336" s="50" t="n">
        <x:f>IF(I336=1,IFERROR(VALUE(SUBSTITUTE(_xlfn.XLOOKUP(H336,Rates_Raw!$AF$5:$AF$464,Rates_Raw!$L$5:$L$464,""),"$","")),""),"")</x:f>
        <x:v>73.3375</x:v>
      </x:c>
      <x:c r="M336" s="50" t="n">
        <x:f>IF(OR(G336="",L336=""),"",ROUND(G336-L336,4))</x:f>
        <x:v>0</x:v>
      </x:c>
      <x:c r="N336" t="str">
        <x:f>IF(I336=0,"NO MATCH",IF(I336&gt;1,"AMBIGUOUS",IF(EXACT(TRIM(E336),TRIM(J336)),"EXACT","TITLE VARIANT")))</x:f>
        <x:v>EXACT</x:v>
      </x:c>
      <x:c r="O336" t="str">
        <x:f>IF(I336&lt;&gt;1,"NOT TESTED",IF(OR(G336="",L336=""),"MISSING",IF(ABS(M336)&lt;=Guide!$B$16,"PASS","REVIEW")))</x:f>
        <x:v>PASS</x:v>
      </x:c>
      <x:c r="P336" s="52" t="n">
        <x:f>IF(I336=1,IFERROR(VALUE(SUBSTITUTE(SUBSTITUTE(_xlfn.XLOOKUP(H336,Rates_Raw!$AF$5:$AF$464,Rates_Raw!$I$5:$I$464,""),"$",""),",","")),""),"")</x:f>
        <x:v>5867</x:v>
      </x:c>
      <x:c r="Q336" s="52" t="n">
        <x:f>IF(P336="","",P336*Guide!$B$15)</x:f>
        <x:v>152542</x:v>
      </x:c>
      <x:c r="R336" t="str">
        <x:f>IF(I336=0,"UNMATCHED",IF(I336&gt;1,"DUPLICATE KEY",IF(OR(N336="TITLE VARIANT",O336="REVIEW",O336="MISSING"),"REVIEW","VERIFIED")))</x:f>
        <x:v>VERIFIED</x:v>
      </x:c>
      <x:c r="S336" s="46" t="str">
        <x:v>Not Reviewed</x:v>
      </x:c>
      <x:c r="T336" s="48"/>
    </x:row>
    <x:row r="337">
      <x:c r="A337" t="n">
        <x:f>Plan_Raw!A337</x:f>
        <x:v>1620</x:v>
      </x:c>
      <x:c r="B337" t="str">
        <x:f>Plan_Raw!D337</x:f>
        <x:v>1246</x:v>
      </x:c>
      <x:c r="C337" t="str">
        <x:f>LEFT(Plan_Raw!B337,10)</x:f>
        <x:v>2026-01-03</x:v>
      </x:c>
      <x:c r="D337" t="str">
        <x:f>Plan_Raw!F337</x:f>
        <x:v>COMMN</x:v>
      </x:c>
      <x:c r="E337" t="str">
        <x:f>Plan_Raw!E337</x:f>
        <x:v>Prin Human Resources Analyst</x:v>
      </x:c>
      <x:c r="F337" t="str">
        <x:f>Plan_Raw!C337</x:f>
        <x:v>1246C</x:v>
      </x:c>
      <x:c r="G337" s="50" t="n">
        <x:f>IF(Plan_Raw!G337="","",IFERROR(VALUE(Plan_Raw!G337),""))</x:f>
        <x:v>74.4375</x:v>
      </x:c>
      <x:c r="H337" t="str">
        <x:f>Plan_Raw!AH337</x:f>
        <x:v>1246|COMMN|2026-01-03</x:v>
      </x:c>
      <x:c r="I337" t="n">
        <x:f>COUNTIF(Rates_Raw!$AF$5:$AF$464,H337)</x:f>
        <x:v>1</x:v>
      </x:c>
      <x:c r="J337" t="str">
        <x:f>IF(I337=1,_xlfn.XLOOKUP(H337,Rates_Raw!$AF$5:$AF$464,Rates_Raw!$E$5:$E$464,""),"")</x:f>
        <x:v>Prin Human Resources Analyst</x:v>
      </x:c>
      <x:c r="K337" t="n">
        <x:f>IF(I337=1,_xlfn.XLOOKUP(H337,Rates_Raw!$AF$5:$AF$464,Rates_Raw!$F$5:$F$464,""),"")</x:f>
        <x:v>22</x:v>
      </x:c>
      <x:c r="L337" s="50" t="n">
        <x:f>IF(I337=1,IFERROR(VALUE(SUBSTITUTE(_xlfn.XLOOKUP(H337,Rates_Raw!$AF$5:$AF$464,Rates_Raw!$L$5:$L$464,""),"$","")),""),"")</x:f>
        <x:v>74.4375</x:v>
      </x:c>
      <x:c r="M337" s="50" t="n">
        <x:f>IF(OR(G337="",L337=""),"",ROUND(G337-L337,4))</x:f>
        <x:v>0</x:v>
      </x:c>
      <x:c r="N337" t="str">
        <x:f>IF(I337=0,"NO MATCH",IF(I337&gt;1,"AMBIGUOUS",IF(EXACT(TRIM(E337),TRIM(J337)),"EXACT","TITLE VARIANT")))</x:f>
        <x:v>EXACT</x:v>
      </x:c>
      <x:c r="O337" t="str">
        <x:f>IF(I337&lt;&gt;1,"NOT TESTED",IF(OR(G337="",L337=""),"MISSING",IF(ABS(M337)&lt;=Guide!$B$16,"PASS","REVIEW")))</x:f>
        <x:v>PASS</x:v>
      </x:c>
      <x:c r="P337" s="52" t="n">
        <x:f>IF(I337=1,IFERROR(VALUE(SUBSTITUTE(SUBSTITUTE(_xlfn.XLOOKUP(H337,Rates_Raw!$AF$5:$AF$464,Rates_Raw!$I$5:$I$464,""),"$",""),",","")),""),"")</x:f>
        <x:v>5955</x:v>
      </x:c>
      <x:c r="Q337" s="52" t="n">
        <x:f>IF(P337="","",P337*Guide!$B$15)</x:f>
        <x:v>154830</x:v>
      </x:c>
      <x:c r="R337" t="str">
        <x:f>IF(I337=0,"UNMATCHED",IF(I337&gt;1,"DUPLICATE KEY",IF(OR(N337="TITLE VARIANT",O337="REVIEW",O337="MISSING"),"REVIEW","VERIFIED")))</x:f>
        <x:v>VERIFIED</x:v>
      </x:c>
      <x:c r="S337" s="46" t="str">
        <x:v>Not Reviewed</x:v>
      </x:c>
      <x:c r="T337" s="48"/>
    </x:row>
    <x:row r="338">
      <x:c r="A338" t="n">
        <x:f>Plan_Raw!A338</x:f>
        <x:v>1632</x:v>
      </x:c>
      <x:c r="B338" t="str">
        <x:f>Plan_Raw!D338</x:f>
        <x:v>1246</x:v>
      </x:c>
      <x:c r="C338" t="str">
        <x:f>LEFT(Plan_Raw!B338,10)</x:f>
        <x:v>2026-01-03</x:v>
      </x:c>
      <x:c r="D338" t="str">
        <x:f>Plan_Raw!F338</x:f>
        <x:v>SFMTA</x:v>
      </x:c>
      <x:c r="E338" t="str">
        <x:f>Plan_Raw!E338</x:f>
        <x:v>Prin Human Resources Analyst</x:v>
      </x:c>
      <x:c r="F338" t="str">
        <x:f>Plan_Raw!C338</x:f>
        <x:v>1246C</x:v>
      </x:c>
      <x:c r="G338" s="50" t="n">
        <x:f>IF(Plan_Raw!G338="","",IFERROR(VALUE(Plan_Raw!G338),""))</x:f>
        <x:v>74.4375</x:v>
      </x:c>
      <x:c r="H338" t="str">
        <x:f>Plan_Raw!AH338</x:f>
        <x:v>1246|SFMTA|2026-01-03</x:v>
      </x:c>
      <x:c r="I338" t="n">
        <x:f>COUNTIF(Rates_Raw!$AF$5:$AF$464,H338)</x:f>
        <x:v>1</x:v>
      </x:c>
      <x:c r="J338" t="str">
        <x:f>IF(I338=1,_xlfn.XLOOKUP(H338,Rates_Raw!$AF$5:$AF$464,Rates_Raw!$E$5:$E$464,""),"")</x:f>
        <x:v>Prin Human Resources Analyst</x:v>
      </x:c>
      <x:c r="K338" t="n">
        <x:f>IF(I338=1,_xlfn.XLOOKUP(H338,Rates_Raw!$AF$5:$AF$464,Rates_Raw!$F$5:$F$464,""),"")</x:f>
        <x:v>22</x:v>
      </x:c>
      <x:c r="L338" s="50" t="n">
        <x:f>IF(I338=1,IFERROR(VALUE(SUBSTITUTE(_xlfn.XLOOKUP(H338,Rates_Raw!$AF$5:$AF$464,Rates_Raw!$L$5:$L$464,""),"$","")),""),"")</x:f>
        <x:v>74.4375</x:v>
      </x:c>
      <x:c r="M338" s="50" t="n">
        <x:f>IF(OR(G338="",L338=""),"",ROUND(G338-L338,4))</x:f>
        <x:v>0</x:v>
      </x:c>
      <x:c r="N338" t="str">
        <x:f>IF(I338=0,"NO MATCH",IF(I338&gt;1,"AMBIGUOUS",IF(EXACT(TRIM(E338),TRIM(J338)),"EXACT","TITLE VARIANT")))</x:f>
        <x:v>EXACT</x:v>
      </x:c>
      <x:c r="O338" t="str">
        <x:f>IF(I338&lt;&gt;1,"NOT TESTED",IF(OR(G338="",L338=""),"MISSING",IF(ABS(M338)&lt;=Guide!$B$16,"PASS","REVIEW")))</x:f>
        <x:v>PASS</x:v>
      </x:c>
      <x:c r="P338" s="52" t="n">
        <x:f>IF(I338=1,IFERROR(VALUE(SUBSTITUTE(SUBSTITUTE(_xlfn.XLOOKUP(H338,Rates_Raw!$AF$5:$AF$464,Rates_Raw!$I$5:$I$464,""),"$",""),",","")),""),"")</x:f>
        <x:v>5955</x:v>
      </x:c>
      <x:c r="Q338" s="52" t="n">
        <x:f>IF(P338="","",P338*Guide!$B$15)</x:f>
        <x:v>154830</x:v>
      </x:c>
      <x:c r="R338" t="str">
        <x:f>IF(I338=0,"UNMATCHED",IF(I338&gt;1,"DUPLICATE KEY",IF(OR(N338="TITLE VARIANT",O338="REVIEW",O338="MISSING"),"REVIEW","VERIFIED")))</x:f>
        <x:v>VERIFIED</x:v>
      </x:c>
      <x:c r="S338" s="46" t="str">
        <x:v>Not Reviewed</x:v>
      </x:c>
      <x:c r="T338" s="48"/>
    </x:row>
    <x:row r="339">
      <x:c r="A339" t="n">
        <x:f>Plan_Raw!A339</x:f>
        <x:v>1621</x:v>
      </x:c>
      <x:c r="B339" t="str">
        <x:f>Plan_Raw!D339</x:f>
        <x:v>1246</x:v>
      </x:c>
      <x:c r="C339" t="str">
        <x:f>LEFT(Plan_Raw!B339,10)</x:f>
        <x:v>2026-07-01</x:v>
      </x:c>
      <x:c r="D339" t="str">
        <x:f>Plan_Raw!F339</x:f>
        <x:v>COMMN</x:v>
      </x:c>
      <x:c r="E339" t="str">
        <x:f>Plan_Raw!E339</x:f>
        <x:v>Prin Human Resources Analyst</x:v>
      </x:c>
      <x:c r="F339" t="str">
        <x:f>Plan_Raw!C339</x:f>
        <x:v>1246D</x:v>
      </x:c>
      <x:c r="G339" s="50" t="n">
        <x:f>IF(Plan_Raw!G339="","",IFERROR(VALUE(Plan_Raw!G339),""))</x:f>
        <x:v>75.925</x:v>
      </x:c>
      <x:c r="H339" t="str">
        <x:f>Plan_Raw!AH339</x:f>
        <x:v>1246|COMMN|2026-07-01</x:v>
      </x:c>
      <x:c r="I339" t="n">
        <x:f>COUNTIF(Rates_Raw!$AF$5:$AF$464,H339)</x:f>
        <x:v>0</x:v>
      </x:c>
      <x:c r="J339" t="str">
        <x:f>IF(I339=1,_xlfn.XLOOKUP(H339,Rates_Raw!$AF$5:$AF$464,Rates_Raw!$E$5:$E$464,""),"")</x:f>
      </x:c>
      <x:c r="K339" t="str">
        <x:f>IF(I339=1,_xlfn.XLOOKUP(H339,Rates_Raw!$AF$5:$AF$464,Rates_Raw!$F$5:$F$464,""),"")</x:f>
      </x:c>
      <x:c r="L339" s="50" t="str">
        <x:f>IF(I339=1,IFERROR(VALUE(SUBSTITUTE(_xlfn.XLOOKUP(H339,Rates_Raw!$AF$5:$AF$464,Rates_Raw!$L$5:$L$464,""),"$","")),""),"")</x:f>
      </x:c>
      <x:c r="M339" s="50" t="str">
        <x:f>IF(OR(G339="",L339=""),"",ROUND(G339-L339,4))</x:f>
      </x:c>
      <x:c r="N339" t="str">
        <x:f>IF(I339=0,"NO MATCH",IF(I339&gt;1,"AMBIGUOUS",IF(EXACT(TRIM(E339),TRIM(J339)),"EXACT","TITLE VARIANT")))</x:f>
        <x:v>NO MATCH</x:v>
      </x:c>
      <x:c r="O339" t="str">
        <x:f>IF(I339&lt;&gt;1,"NOT TESTED",IF(OR(G339="",L339=""),"MISSING",IF(ABS(M339)&lt;=Guide!$B$16,"PASS","REVIEW")))</x:f>
        <x:v>NOT TESTED</x:v>
      </x:c>
      <x:c r="P339" s="52" t="str">
        <x:f>IF(I339=1,IFERROR(VALUE(SUBSTITUTE(SUBSTITUTE(_xlfn.XLOOKUP(H339,Rates_Raw!$AF$5:$AF$464,Rates_Raw!$I$5:$I$464,""),"$",""),",","")),""),"")</x:f>
      </x:c>
      <x:c r="Q339" s="52" t="str">
        <x:f>IF(P339="","",P339*Guide!$B$15)</x:f>
      </x:c>
      <x:c r="R339" t="str">
        <x:f>IF(I339=0,"UNMATCHED",IF(I339&gt;1,"DUPLICATE KEY",IF(OR(N339="TITLE VARIANT",O339="REVIEW",O339="MISSING"),"REVIEW","VERIFIED")))</x:f>
        <x:v>UNMATCHED</x:v>
      </x:c>
      <x:c r="S339" s="46" t="str">
        <x:v>Not Reviewed</x:v>
      </x:c>
      <x:c r="T339" s="48"/>
    </x:row>
    <x:row r="340">
      <x:c r="A340" t="n">
        <x:f>Plan_Raw!A340</x:f>
        <x:v>1633</x:v>
      </x:c>
      <x:c r="B340" t="str">
        <x:f>Plan_Raw!D340</x:f>
        <x:v>1246</x:v>
      </x:c>
      <x:c r="C340" t="str">
        <x:f>LEFT(Plan_Raw!B340,10)</x:f>
        <x:v>2026-07-01</x:v>
      </x:c>
      <x:c r="D340" t="str">
        <x:f>Plan_Raw!F340</x:f>
        <x:v>SFMTA</x:v>
      </x:c>
      <x:c r="E340" t="str">
        <x:f>Plan_Raw!E340</x:f>
        <x:v>Prin Human Resources Analyst</x:v>
      </x:c>
      <x:c r="F340" t="str">
        <x:f>Plan_Raw!C340</x:f>
        <x:v>1246D</x:v>
      </x:c>
      <x:c r="G340" s="50" t="n">
        <x:f>IF(Plan_Raw!G340="","",IFERROR(VALUE(Plan_Raw!G340),""))</x:f>
        <x:v>75.925</x:v>
      </x:c>
      <x:c r="H340" t="str">
        <x:f>Plan_Raw!AH340</x:f>
        <x:v>1246|SFMTA|2026-07-01</x:v>
      </x:c>
      <x:c r="I340" t="n">
        <x:f>COUNTIF(Rates_Raw!$AF$5:$AF$464,H340)</x:f>
        <x:v>0</x:v>
      </x:c>
      <x:c r="J340" t="str">
        <x:f>IF(I340=1,_xlfn.XLOOKUP(H340,Rates_Raw!$AF$5:$AF$464,Rates_Raw!$E$5:$E$464,""),"")</x:f>
      </x:c>
      <x:c r="K340" t="str">
        <x:f>IF(I340=1,_xlfn.XLOOKUP(H340,Rates_Raw!$AF$5:$AF$464,Rates_Raw!$F$5:$F$464,""),"")</x:f>
      </x:c>
      <x:c r="L340" s="50" t="str">
        <x:f>IF(I340=1,IFERROR(VALUE(SUBSTITUTE(_xlfn.XLOOKUP(H340,Rates_Raw!$AF$5:$AF$464,Rates_Raw!$L$5:$L$464,""),"$","")),""),"")</x:f>
      </x:c>
      <x:c r="M340" s="50" t="str">
        <x:f>IF(OR(G340="",L340=""),"",ROUND(G340-L340,4))</x:f>
      </x:c>
      <x:c r="N340" t="str">
        <x:f>IF(I340=0,"NO MATCH",IF(I340&gt;1,"AMBIGUOUS",IF(EXACT(TRIM(E340),TRIM(J340)),"EXACT","TITLE VARIANT")))</x:f>
        <x:v>NO MATCH</x:v>
      </x:c>
      <x:c r="O340" t="str">
        <x:f>IF(I340&lt;&gt;1,"NOT TESTED",IF(OR(G340="",L340=""),"MISSING",IF(ABS(M340)&lt;=Guide!$B$16,"PASS","REVIEW")))</x:f>
        <x:v>NOT TESTED</x:v>
      </x:c>
      <x:c r="P340" s="52" t="str">
        <x:f>IF(I340=1,IFERROR(VALUE(SUBSTITUTE(SUBSTITUTE(_xlfn.XLOOKUP(H340,Rates_Raw!$AF$5:$AF$464,Rates_Raw!$I$5:$I$464,""),"$",""),",","")),""),"")</x:f>
      </x:c>
      <x:c r="Q340" s="52" t="str">
        <x:f>IF(P340="","",P340*Guide!$B$15)</x:f>
      </x:c>
      <x:c r="R340" t="str">
        <x:f>IF(I340=0,"UNMATCHED",IF(I340&gt;1,"DUPLICATE KEY",IF(OR(N340="TITLE VARIANT",O340="REVIEW",O340="MISSING"),"REVIEW","VERIFIED")))</x:f>
        <x:v>UNMATCHED</x:v>
      </x:c>
      <x:c r="S340" s="46" t="str">
        <x:v>Not Reviewed</x:v>
      </x:c>
      <x:c r="T340" s="48"/>
    </x:row>
    <x:row r="341">
      <x:c r="A341" t="n">
        <x:f>Plan_Raw!A341</x:f>
        <x:v>1700</x:v>
      </x:c>
      <x:c r="B341" t="str">
        <x:f>Plan_Raw!D341</x:f>
        <x:v>1280</x:v>
      </x:c>
      <x:c r="C341" t="str">
        <x:f>LEFT(Plan_Raw!B341,10)</x:f>
        <x:v>2024-01-06</x:v>
      </x:c>
      <x:c r="D341" t="str">
        <x:f>Plan_Raw!F341</x:f>
        <x:v>COMMN</x:v>
      </x:c>
      <x:c r="E341" t="str">
        <x:f>Plan_Raw!E341</x:f>
        <x:v>Employee Relations Representative</x:v>
      </x:c>
      <x:c r="F341" t="str">
        <x:f>Plan_Raw!C341</x:f>
        <x:v>1280Y</x:v>
      </x:c>
      <x:c r="G341" s="50" t="n">
        <x:f>IF(Plan_Raw!G341="","",IFERROR(VALUE(Plan_Raw!G341),""))</x:f>
        <x:v>53.3875</x:v>
      </x:c>
      <x:c r="H341" t="str">
        <x:f>Plan_Raw!AH341</x:f>
        <x:v>1280|COMMN|2024-01-06</x:v>
      </x:c>
      <x:c r="I341" t="n">
        <x:f>COUNTIF(Rates_Raw!$AF$5:$AF$464,H341)</x:f>
        <x:v>1</x:v>
      </x:c>
      <x:c r="J341" t="str">
        <x:f>IF(I341=1,_xlfn.XLOOKUP(H341,Rates_Raw!$AF$5:$AF$464,Rates_Raw!$E$5:$E$464,""),"")</x:f>
        <x:v>Employee Relations Representative</x:v>
      </x:c>
      <x:c r="K341" t="n">
        <x:f>IF(I341=1,_xlfn.XLOOKUP(H341,Rates_Raw!$AF$5:$AF$464,Rates_Raw!$F$5:$F$464,""),"")</x:f>
        <x:v>1</x:v>
      </x:c>
      <x:c r="L341" s="50" t="n">
        <x:f>IF(I341=1,IFERROR(VALUE(SUBSTITUTE(_xlfn.XLOOKUP(H341,Rates_Raw!$AF$5:$AF$464,Rates_Raw!$L$5:$L$464,""),"$","")),""),"")</x:f>
        <x:v>53.3875</x:v>
      </x:c>
      <x:c r="M341" s="50" t="n">
        <x:f>IF(OR(G341="",L341=""),"",ROUND(G341-L341,4))</x:f>
        <x:v>0</x:v>
      </x:c>
      <x:c r="N341" t="str">
        <x:f>IF(I341=0,"NO MATCH",IF(I341&gt;1,"AMBIGUOUS",IF(EXACT(TRIM(E341),TRIM(J341)),"EXACT","TITLE VARIANT")))</x:f>
        <x:v>EXACT</x:v>
      </x:c>
      <x:c r="O341" t="str">
        <x:f>IF(I341&lt;&gt;1,"NOT TESTED",IF(OR(G341="",L341=""),"MISSING",IF(ABS(M341)&lt;=Guide!$B$16,"PASS","REVIEW")))</x:f>
        <x:v>PASS</x:v>
      </x:c>
      <x:c r="P341" s="52" t="n">
        <x:f>IF(I341=1,IFERROR(VALUE(SUBSTITUTE(SUBSTITUTE(_xlfn.XLOOKUP(H341,Rates_Raw!$AF$5:$AF$464,Rates_Raw!$I$5:$I$464,""),"$",""),",","")),""),"")</x:f>
        <x:v>4271</x:v>
      </x:c>
      <x:c r="Q341" s="52" t="n">
        <x:f>IF(P341="","",P341*Guide!$B$15)</x:f>
        <x:v>111046</x:v>
      </x:c>
      <x:c r="R341" t="str">
        <x:f>IF(I341=0,"UNMATCHED",IF(I341&gt;1,"DUPLICATE KEY",IF(OR(N341="TITLE VARIANT",O341="REVIEW",O341="MISSING"),"REVIEW","VERIFIED")))</x:f>
        <x:v>VERIFIED</x:v>
      </x:c>
      <x:c r="S341" s="46" t="str">
        <x:v>Not Reviewed</x:v>
      </x:c>
      <x:c r="T341" s="48"/>
    </x:row>
    <x:row r="342">
      <x:c r="A342" t="n">
        <x:f>Plan_Raw!A342</x:f>
        <x:v>1701</x:v>
      </x:c>
      <x:c r="B342" t="str">
        <x:f>Plan_Raw!D342</x:f>
        <x:v>1280</x:v>
      </x:c>
      <x:c r="C342" t="str">
        <x:f>LEFT(Plan_Raw!B342,10)</x:f>
        <x:v>2024-07-01</x:v>
      </x:c>
      <x:c r="D342" t="str">
        <x:f>Plan_Raw!F342</x:f>
        <x:v>COMMN</x:v>
      </x:c>
      <x:c r="E342" t="str">
        <x:f>Plan_Raw!E342</x:f>
        <x:v>Employee Relations Representative</x:v>
      </x:c>
      <x:c r="F342" t="str">
        <x:f>Plan_Raw!C342</x:f>
        <x:v>1280Z</x:v>
      </x:c>
      <x:c r="G342" s="50" t="n">
        <x:f>IF(Plan_Raw!G342="","",IFERROR(VALUE(Plan_Raw!G342),""))</x:f>
        <x:v>54.1875</x:v>
      </x:c>
      <x:c r="H342" t="str">
        <x:f>Plan_Raw!AH342</x:f>
        <x:v>1280|COMMN|2024-07-01</x:v>
      </x:c>
      <x:c r="I342" t="n">
        <x:f>COUNTIF(Rates_Raw!$AF$5:$AF$464,H342)</x:f>
        <x:v>1</x:v>
      </x:c>
      <x:c r="J342" t="str">
        <x:f>IF(I342=1,_xlfn.XLOOKUP(H342,Rates_Raw!$AF$5:$AF$464,Rates_Raw!$E$5:$E$464,""),"")</x:f>
        <x:v>Employee Relations Representative</x:v>
      </x:c>
      <x:c r="K342" t="n">
        <x:f>IF(I342=1,_xlfn.XLOOKUP(H342,Rates_Raw!$AF$5:$AF$464,Rates_Raw!$F$5:$F$464,""),"")</x:f>
        <x:v>1</x:v>
      </x:c>
      <x:c r="L342" s="50" t="n">
        <x:f>IF(I342=1,IFERROR(VALUE(SUBSTITUTE(_xlfn.XLOOKUP(H342,Rates_Raw!$AF$5:$AF$464,Rates_Raw!$L$5:$L$464,""),"$","")),""),"")</x:f>
        <x:v>54.1875</x:v>
      </x:c>
      <x:c r="M342" s="50" t="n">
        <x:f>IF(OR(G342="",L342=""),"",ROUND(G342-L342,4))</x:f>
        <x:v>0</x:v>
      </x:c>
      <x:c r="N342" t="str">
        <x:f>IF(I342=0,"NO MATCH",IF(I342&gt;1,"AMBIGUOUS",IF(EXACT(TRIM(E342),TRIM(J342)),"EXACT","TITLE VARIANT")))</x:f>
        <x:v>EXACT</x:v>
      </x:c>
      <x:c r="O342" t="str">
        <x:f>IF(I342&lt;&gt;1,"NOT TESTED",IF(OR(G342="",L342=""),"MISSING",IF(ABS(M342)&lt;=Guide!$B$16,"PASS","REVIEW")))</x:f>
        <x:v>PASS</x:v>
      </x:c>
      <x:c r="P342" s="52" t="n">
        <x:f>IF(I342=1,IFERROR(VALUE(SUBSTITUTE(SUBSTITUTE(_xlfn.XLOOKUP(H342,Rates_Raw!$AF$5:$AF$464,Rates_Raw!$I$5:$I$464,""),"$",""),",","")),""),"")</x:f>
        <x:v>4335</x:v>
      </x:c>
      <x:c r="Q342" s="52" t="n">
        <x:f>IF(P342="","",P342*Guide!$B$15)</x:f>
        <x:v>112710</x:v>
      </x:c>
      <x:c r="R342" t="str">
        <x:f>IF(I342=0,"UNMATCHED",IF(I342&gt;1,"DUPLICATE KEY",IF(OR(N342="TITLE VARIANT",O342="REVIEW",O342="MISSING"),"REVIEW","VERIFIED")))</x:f>
        <x:v>VERIFIED</x:v>
      </x:c>
      <x:c r="S342" s="46" t="str">
        <x:v>Not Reviewed</x:v>
      </x:c>
      <x:c r="T342" s="48"/>
    </x:row>
    <x:row r="343">
      <x:c r="A343" t="n">
        <x:f>Plan_Raw!A343</x:f>
        <x:v>1702</x:v>
      </x:c>
      <x:c r="B343" t="str">
        <x:f>Plan_Raw!D343</x:f>
        <x:v>1280</x:v>
      </x:c>
      <x:c r="C343" t="str">
        <x:f>LEFT(Plan_Raw!B343,10)</x:f>
        <x:v>2025-01-04</x:v>
      </x:c>
      <x:c r="D343" t="str">
        <x:f>Plan_Raw!F343</x:f>
        <x:v>COMMN</x:v>
      </x:c>
      <x:c r="E343" t="str">
        <x:f>Plan_Raw!E343</x:f>
        <x:v>Employee Relations Representative</x:v>
      </x:c>
      <x:c r="F343" t="str">
        <x:f>Plan_Raw!C343</x:f>
        <x:v>1280A</x:v>
      </x:c>
      <x:c r="G343" s="50" t="n">
        <x:f>IF(Plan_Raw!G343="","",IFERROR(VALUE(Plan_Raw!G343),""))</x:f>
        <x:v>55</x:v>
      </x:c>
      <x:c r="H343" t="str">
        <x:f>Plan_Raw!AH343</x:f>
        <x:v>1280|COMMN|2025-01-04</x:v>
      </x:c>
      <x:c r="I343" t="n">
        <x:f>COUNTIF(Rates_Raw!$AF$5:$AF$464,H343)</x:f>
        <x:v>1</x:v>
      </x:c>
      <x:c r="J343" t="str">
        <x:f>IF(I343=1,_xlfn.XLOOKUP(H343,Rates_Raw!$AF$5:$AF$464,Rates_Raw!$E$5:$E$464,""),"")</x:f>
        <x:v>Employee Relations Representative</x:v>
      </x:c>
      <x:c r="K343" t="n">
        <x:f>IF(I343=1,_xlfn.XLOOKUP(H343,Rates_Raw!$AF$5:$AF$464,Rates_Raw!$F$5:$F$464,""),"")</x:f>
        <x:v>1</x:v>
      </x:c>
      <x:c r="L343" s="50" t="n">
        <x:f>IF(I343=1,IFERROR(VALUE(SUBSTITUTE(_xlfn.XLOOKUP(H343,Rates_Raw!$AF$5:$AF$464,Rates_Raw!$L$5:$L$464,""),"$","")),""),"")</x:f>
        <x:v>55</x:v>
      </x:c>
      <x:c r="M343" s="50" t="n">
        <x:f>IF(OR(G343="",L343=""),"",ROUND(G343-L343,4))</x:f>
        <x:v>0</x:v>
      </x:c>
      <x:c r="N343" t="str">
        <x:f>IF(I343=0,"NO MATCH",IF(I343&gt;1,"AMBIGUOUS",IF(EXACT(TRIM(E343),TRIM(J343)),"EXACT","TITLE VARIANT")))</x:f>
        <x:v>EXACT</x:v>
      </x:c>
      <x:c r="O343" t="str">
        <x:f>IF(I343&lt;&gt;1,"NOT TESTED",IF(OR(G343="",L343=""),"MISSING",IF(ABS(M343)&lt;=Guide!$B$16,"PASS","REVIEW")))</x:f>
        <x:v>PASS</x:v>
      </x:c>
      <x:c r="P343" s="52" t="n">
        <x:f>IF(I343=1,IFERROR(VALUE(SUBSTITUTE(SUBSTITUTE(_xlfn.XLOOKUP(H343,Rates_Raw!$AF$5:$AF$464,Rates_Raw!$I$5:$I$464,""),"$",""),",","")),""),"")</x:f>
        <x:v>4400</x:v>
      </x:c>
      <x:c r="Q343" s="52" t="n">
        <x:f>IF(P343="","",P343*Guide!$B$15)</x:f>
        <x:v>114400</x:v>
      </x:c>
      <x:c r="R343" t="str">
        <x:f>IF(I343=0,"UNMATCHED",IF(I343&gt;1,"DUPLICATE KEY",IF(OR(N343="TITLE VARIANT",O343="REVIEW",O343="MISSING"),"REVIEW","VERIFIED")))</x:f>
        <x:v>VERIFIED</x:v>
      </x:c>
      <x:c r="S343" s="46" t="str">
        <x:v>Not Reviewed</x:v>
      </x:c>
      <x:c r="T343" s="48"/>
    </x:row>
    <x:row r="344">
      <x:c r="A344" t="n">
        <x:f>Plan_Raw!A344</x:f>
        <x:v>1703</x:v>
      </x:c>
      <x:c r="B344" t="str">
        <x:f>Plan_Raw!D344</x:f>
        <x:v>1280</x:v>
      </x:c>
      <x:c r="C344" t="str">
        <x:f>LEFT(Plan_Raw!B344,10)</x:f>
        <x:v>2025-07-01</x:v>
      </x:c>
      <x:c r="D344" t="str">
        <x:f>Plan_Raw!F344</x:f>
        <x:v>COMMN</x:v>
      </x:c>
      <x:c r="E344" t="str">
        <x:f>Plan_Raw!E344</x:f>
        <x:v>Employee Relations Representat</x:v>
      </x:c>
      <x:c r="F344" t="str">
        <x:f>Plan_Raw!C344</x:f>
        <x:v>1280B</x:v>
      </x:c>
      <x:c r="G344" s="50" t="n">
        <x:f>IF(Plan_Raw!G344="","",IFERROR(VALUE(Plan_Raw!G344),""))</x:f>
        <x:v>56.1</x:v>
      </x:c>
      <x:c r="H344" t="str">
        <x:f>Plan_Raw!AH344</x:f>
        <x:v>1280|COMMN|2025-07-01</x:v>
      </x:c>
      <x:c r="I344" t="n">
        <x:f>COUNTIF(Rates_Raw!$AF$5:$AF$464,H344)</x:f>
        <x:v>1</x:v>
      </x:c>
      <x:c r="J344" t="str">
        <x:f>IF(I344=1,_xlfn.XLOOKUP(H344,Rates_Raw!$AF$5:$AF$464,Rates_Raw!$E$5:$E$464,""),"")</x:f>
        <x:v>Employee Relations Representat</x:v>
      </x:c>
      <x:c r="K344" t="n">
        <x:f>IF(I344=1,_xlfn.XLOOKUP(H344,Rates_Raw!$AF$5:$AF$464,Rates_Raw!$F$5:$F$464,""),"")</x:f>
        <x:v>1</x:v>
      </x:c>
      <x:c r="L344" s="50" t="n">
        <x:f>IF(I344=1,IFERROR(VALUE(SUBSTITUTE(_xlfn.XLOOKUP(H344,Rates_Raw!$AF$5:$AF$464,Rates_Raw!$L$5:$L$464,""),"$","")),""),"")</x:f>
        <x:v>56.1</x:v>
      </x:c>
      <x:c r="M344" s="50" t="n">
        <x:f>IF(OR(G344="",L344=""),"",ROUND(G344-L344,4))</x:f>
        <x:v>0</x:v>
      </x:c>
      <x:c r="N344" t="str">
        <x:f>IF(I344=0,"NO MATCH",IF(I344&gt;1,"AMBIGUOUS",IF(EXACT(TRIM(E344),TRIM(J344)),"EXACT","TITLE VARIANT")))</x:f>
        <x:v>EXACT</x:v>
      </x:c>
      <x:c r="O344" t="str">
        <x:f>IF(I344&lt;&gt;1,"NOT TESTED",IF(OR(G344="",L344=""),"MISSING",IF(ABS(M344)&lt;=Guide!$B$16,"PASS","REVIEW")))</x:f>
        <x:v>PASS</x:v>
      </x:c>
      <x:c r="P344" s="52" t="n">
        <x:f>IF(I344=1,IFERROR(VALUE(SUBSTITUTE(SUBSTITUTE(_xlfn.XLOOKUP(H344,Rates_Raw!$AF$5:$AF$464,Rates_Raw!$I$5:$I$464,""),"$",""),",","")),""),"")</x:f>
        <x:v>4488</x:v>
      </x:c>
      <x:c r="Q344" s="52" t="n">
        <x:f>IF(P344="","",P344*Guide!$B$15)</x:f>
        <x:v>116688</x:v>
      </x:c>
      <x:c r="R344" t="str">
        <x:f>IF(I344=0,"UNMATCHED",IF(I344&gt;1,"DUPLICATE KEY",IF(OR(N344="TITLE VARIANT",O344="REVIEW",O344="MISSING"),"REVIEW","VERIFIED")))</x:f>
        <x:v>VERIFIED</x:v>
      </x:c>
      <x:c r="S344" s="46" t="str">
        <x:v>Not Reviewed</x:v>
      </x:c>
      <x:c r="T344" s="48"/>
    </x:row>
    <x:row r="345">
      <x:c r="A345" t="n">
        <x:f>Plan_Raw!A345</x:f>
        <x:v>1704</x:v>
      </x:c>
      <x:c r="B345" t="str">
        <x:f>Plan_Raw!D345</x:f>
        <x:v>1280</x:v>
      </x:c>
      <x:c r="C345" t="str">
        <x:f>LEFT(Plan_Raw!B345,10)</x:f>
        <x:v>2026-01-03</x:v>
      </x:c>
      <x:c r="D345" t="str">
        <x:f>Plan_Raw!F345</x:f>
        <x:v>COMMN</x:v>
      </x:c>
      <x:c r="E345" t="str">
        <x:f>Plan_Raw!E345</x:f>
        <x:v>Employee Relations Representat</x:v>
      </x:c>
      <x:c r="F345" t="str">
        <x:f>Plan_Raw!C345</x:f>
        <x:v>1280C</x:v>
      </x:c>
      <x:c r="G345" s="50" t="n">
        <x:f>IF(Plan_Raw!G345="","",IFERROR(VALUE(Plan_Raw!G345),""))</x:f>
        <x:v>56.9375</x:v>
      </x:c>
      <x:c r="H345" t="str">
        <x:f>Plan_Raw!AH345</x:f>
        <x:v>1280|COMMN|2026-01-03</x:v>
      </x:c>
      <x:c r="I345" t="n">
        <x:f>COUNTIF(Rates_Raw!$AF$5:$AF$464,H345)</x:f>
        <x:v>1</x:v>
      </x:c>
      <x:c r="J345" t="str">
        <x:f>IF(I345=1,_xlfn.XLOOKUP(H345,Rates_Raw!$AF$5:$AF$464,Rates_Raw!$E$5:$E$464,""),"")</x:f>
        <x:v>Employee Relations Representat</x:v>
      </x:c>
      <x:c r="K345" t="n">
        <x:f>IF(I345=1,_xlfn.XLOOKUP(H345,Rates_Raw!$AF$5:$AF$464,Rates_Raw!$F$5:$F$464,""),"")</x:f>
        <x:v>1</x:v>
      </x:c>
      <x:c r="L345" s="50" t="n">
        <x:f>IF(I345=1,IFERROR(VALUE(SUBSTITUTE(_xlfn.XLOOKUP(H345,Rates_Raw!$AF$5:$AF$464,Rates_Raw!$L$5:$L$464,""),"$","")),""),"")</x:f>
        <x:v>56.9375</x:v>
      </x:c>
      <x:c r="M345" s="50" t="n">
        <x:f>IF(OR(G345="",L345=""),"",ROUND(G345-L345,4))</x:f>
        <x:v>0</x:v>
      </x:c>
      <x:c r="N345" t="str">
        <x:f>IF(I345=0,"NO MATCH",IF(I345&gt;1,"AMBIGUOUS",IF(EXACT(TRIM(E345),TRIM(J345)),"EXACT","TITLE VARIANT")))</x:f>
        <x:v>EXACT</x:v>
      </x:c>
      <x:c r="O345" t="str">
        <x:f>IF(I345&lt;&gt;1,"NOT TESTED",IF(OR(G345="",L345=""),"MISSING",IF(ABS(M345)&lt;=Guide!$B$16,"PASS","REVIEW")))</x:f>
        <x:v>PASS</x:v>
      </x:c>
      <x:c r="P345" s="52" t="n">
        <x:f>IF(I345=1,IFERROR(VALUE(SUBSTITUTE(SUBSTITUTE(_xlfn.XLOOKUP(H345,Rates_Raw!$AF$5:$AF$464,Rates_Raw!$I$5:$I$464,""),"$",""),",","")),""),"")</x:f>
        <x:v>4555</x:v>
      </x:c>
      <x:c r="Q345" s="52" t="n">
        <x:f>IF(P345="","",P345*Guide!$B$15)</x:f>
        <x:v>118430</x:v>
      </x:c>
      <x:c r="R345" t="str">
        <x:f>IF(I345=0,"UNMATCHED",IF(I345&gt;1,"DUPLICATE KEY",IF(OR(N345="TITLE VARIANT",O345="REVIEW",O345="MISSING"),"REVIEW","VERIFIED")))</x:f>
        <x:v>VERIFIED</x:v>
      </x:c>
      <x:c r="S345" s="46" t="str">
        <x:v>Not Reviewed</x:v>
      </x:c>
      <x:c r="T345" s="48"/>
    </x:row>
    <x:row r="346">
      <x:c r="A346" t="n">
        <x:f>Plan_Raw!A346</x:f>
        <x:v>1705</x:v>
      </x:c>
      <x:c r="B346" t="str">
        <x:f>Plan_Raw!D346</x:f>
        <x:v>1280</x:v>
      </x:c>
      <x:c r="C346" t="str">
        <x:f>LEFT(Plan_Raw!B346,10)</x:f>
        <x:v>2026-07-01</x:v>
      </x:c>
      <x:c r="D346" t="str">
        <x:f>Plan_Raw!F346</x:f>
        <x:v>COMMN</x:v>
      </x:c>
      <x:c r="E346" t="str">
        <x:f>Plan_Raw!E346</x:f>
        <x:v>Employee Relations Representat</x:v>
      </x:c>
      <x:c r="F346" t="str">
        <x:f>Plan_Raw!C346</x:f>
        <x:v>1280D</x:v>
      </x:c>
      <x:c r="G346" s="50" t="n">
        <x:f>IF(Plan_Raw!G346="","",IFERROR(VALUE(Plan_Raw!G346),""))</x:f>
        <x:v>58.075</x:v>
      </x:c>
      <x:c r="H346" t="str">
        <x:f>Plan_Raw!AH346</x:f>
        <x:v>1280|COMMN|2026-07-01</x:v>
      </x:c>
      <x:c r="I346" t="n">
        <x:f>COUNTIF(Rates_Raw!$AF$5:$AF$464,H346)</x:f>
        <x:v>0</x:v>
      </x:c>
      <x:c r="J346" t="str">
        <x:f>IF(I346=1,_xlfn.XLOOKUP(H346,Rates_Raw!$AF$5:$AF$464,Rates_Raw!$E$5:$E$464,""),"")</x:f>
      </x:c>
      <x:c r="K346" t="str">
        <x:f>IF(I346=1,_xlfn.XLOOKUP(H346,Rates_Raw!$AF$5:$AF$464,Rates_Raw!$F$5:$F$464,""),"")</x:f>
      </x:c>
      <x:c r="L346" s="50" t="str">
        <x:f>IF(I346=1,IFERROR(VALUE(SUBSTITUTE(_xlfn.XLOOKUP(H346,Rates_Raw!$AF$5:$AF$464,Rates_Raw!$L$5:$L$464,""),"$","")),""),"")</x:f>
      </x:c>
      <x:c r="M346" s="50" t="str">
        <x:f>IF(OR(G346="",L346=""),"",ROUND(G346-L346,4))</x:f>
      </x:c>
      <x:c r="N346" t="str">
        <x:f>IF(I346=0,"NO MATCH",IF(I346&gt;1,"AMBIGUOUS",IF(EXACT(TRIM(E346),TRIM(J346)),"EXACT","TITLE VARIANT")))</x:f>
        <x:v>NO MATCH</x:v>
      </x:c>
      <x:c r="O346" t="str">
        <x:f>IF(I346&lt;&gt;1,"NOT TESTED",IF(OR(G346="",L346=""),"MISSING",IF(ABS(M346)&lt;=Guide!$B$16,"PASS","REVIEW")))</x:f>
        <x:v>NOT TESTED</x:v>
      </x:c>
      <x:c r="P346" s="52" t="str">
        <x:f>IF(I346=1,IFERROR(VALUE(SUBSTITUTE(SUBSTITUTE(_xlfn.XLOOKUP(H346,Rates_Raw!$AF$5:$AF$464,Rates_Raw!$I$5:$I$464,""),"$",""),",","")),""),"")</x:f>
      </x:c>
      <x:c r="Q346" s="52" t="str">
        <x:f>IF(P346="","",P346*Guide!$B$15)</x:f>
      </x:c>
      <x:c r="R346" t="str">
        <x:f>IF(I346=0,"UNMATCHED",IF(I346&gt;1,"DUPLICATE KEY",IF(OR(N346="TITLE VARIANT",O346="REVIEW",O346="MISSING"),"REVIEW","VERIFIED")))</x:f>
        <x:v>UNMATCHED</x:v>
      </x:c>
      <x:c r="S346" s="46" t="str">
        <x:v>Not Reviewed</x:v>
      </x:c>
      <x:c r="T346" s="48"/>
    </x:row>
    <x:row r="347">
      <x:c r="A347" t="n">
        <x:f>Plan_Raw!A347</x:f>
        <x:v>1712</x:v>
      </x:c>
      <x:c r="B347" t="str">
        <x:f>Plan_Raw!D347</x:f>
        <x:v>1281</x:v>
      </x:c>
      <x:c r="C347" t="str">
        <x:f>LEFT(Plan_Raw!B347,10)</x:f>
        <x:v>2024-01-06</x:v>
      </x:c>
      <x:c r="D347" t="str">
        <x:f>Plan_Raw!F347</x:f>
        <x:v>COMMN</x:v>
      </x:c>
      <x:c r="E347" t="str">
        <x:f>Plan_Raw!E347</x:f>
        <x:v>Senior Employee Relations Representative</x:v>
      </x:c>
      <x:c r="F347" t="str">
        <x:f>Plan_Raw!C347</x:f>
        <x:v>1281Y</x:v>
      </x:c>
      <x:c r="G347" s="50" t="n">
        <x:f>IF(Plan_Raw!G347="","",IFERROR(VALUE(Plan_Raw!G347),""))</x:f>
        <x:v>64.525</x:v>
      </x:c>
      <x:c r="H347" t="str">
        <x:f>Plan_Raw!AH347</x:f>
        <x:v>1281|COMMN|2024-01-06</x:v>
      </x:c>
      <x:c r="I347" t="n">
        <x:f>COUNTIF(Rates_Raw!$AF$5:$AF$464,H347)</x:f>
        <x:v>1</x:v>
      </x:c>
      <x:c r="J347" t="str">
        <x:f>IF(I347=1,_xlfn.XLOOKUP(H347,Rates_Raw!$AF$5:$AF$464,Rates_Raw!$E$5:$E$464,""),"")</x:f>
        <x:v>Senior Employee Relations Representative</x:v>
      </x:c>
      <x:c r="K347" t="n">
        <x:f>IF(I347=1,_xlfn.XLOOKUP(H347,Rates_Raw!$AF$5:$AF$464,Rates_Raw!$F$5:$F$464,""),"")</x:f>
        <x:v>1</x:v>
      </x:c>
      <x:c r="L347" s="50" t="n">
        <x:f>IF(I347=1,IFERROR(VALUE(SUBSTITUTE(_xlfn.XLOOKUP(H347,Rates_Raw!$AF$5:$AF$464,Rates_Raw!$L$5:$L$464,""),"$","")),""),"")</x:f>
        <x:v>64.525</x:v>
      </x:c>
      <x:c r="M347" s="50" t="n">
        <x:f>IF(OR(G347="",L347=""),"",ROUND(G347-L347,4))</x:f>
        <x:v>0</x:v>
      </x:c>
      <x:c r="N347" t="str">
        <x:f>IF(I347=0,"NO MATCH",IF(I347&gt;1,"AMBIGUOUS",IF(EXACT(TRIM(E347),TRIM(J347)),"EXACT","TITLE VARIANT")))</x:f>
        <x:v>EXACT</x:v>
      </x:c>
      <x:c r="O347" t="str">
        <x:f>IF(I347&lt;&gt;1,"NOT TESTED",IF(OR(G347="",L347=""),"MISSING",IF(ABS(M347)&lt;=Guide!$B$16,"PASS","REVIEW")))</x:f>
        <x:v>PASS</x:v>
      </x:c>
      <x:c r="P347" s="52" t="n">
        <x:f>IF(I347=1,IFERROR(VALUE(SUBSTITUTE(SUBSTITUTE(_xlfn.XLOOKUP(H347,Rates_Raw!$AF$5:$AF$464,Rates_Raw!$I$5:$I$464,""),"$",""),",","")),""),"")</x:f>
        <x:v>5162</x:v>
      </x:c>
      <x:c r="Q347" s="52" t="n">
        <x:f>IF(P347="","",P347*Guide!$B$15)</x:f>
        <x:v>134212</x:v>
      </x:c>
      <x:c r="R347" t="str">
        <x:f>IF(I347=0,"UNMATCHED",IF(I347&gt;1,"DUPLICATE KEY",IF(OR(N347="TITLE VARIANT",O347="REVIEW",O347="MISSING"),"REVIEW","VERIFIED")))</x:f>
        <x:v>VERIFIED</x:v>
      </x:c>
      <x:c r="S347" s="46" t="str">
        <x:v>Not Reviewed</x:v>
      </x:c>
      <x:c r="T347" s="48"/>
    </x:row>
    <x:row r="348">
      <x:c r="A348" t="n">
        <x:f>Plan_Raw!A348</x:f>
        <x:v>1713</x:v>
      </x:c>
      <x:c r="B348" t="str">
        <x:f>Plan_Raw!D348</x:f>
        <x:v>1281</x:v>
      </x:c>
      <x:c r="C348" t="str">
        <x:f>LEFT(Plan_Raw!B348,10)</x:f>
        <x:v>2024-07-01</x:v>
      </x:c>
      <x:c r="D348" t="str">
        <x:f>Plan_Raw!F348</x:f>
        <x:v>COMMN</x:v>
      </x:c>
      <x:c r="E348" t="str">
        <x:f>Plan_Raw!E348</x:f>
        <x:v>Senior Employee Relations Representative</x:v>
      </x:c>
      <x:c r="F348" t="str">
        <x:f>Plan_Raw!C348</x:f>
        <x:v>1281Z</x:v>
      </x:c>
      <x:c r="G348" s="50" t="n">
        <x:f>IF(Plan_Raw!G348="","",IFERROR(VALUE(Plan_Raw!G348),""))</x:f>
        <x:v>65.4875</x:v>
      </x:c>
      <x:c r="H348" t="str">
        <x:f>Plan_Raw!AH348</x:f>
        <x:v>1281|COMMN|2024-07-01</x:v>
      </x:c>
      <x:c r="I348" t="n">
        <x:f>COUNTIF(Rates_Raw!$AF$5:$AF$464,H348)</x:f>
        <x:v>1</x:v>
      </x:c>
      <x:c r="J348" t="str">
        <x:f>IF(I348=1,_xlfn.XLOOKUP(H348,Rates_Raw!$AF$5:$AF$464,Rates_Raw!$E$5:$E$464,""),"")</x:f>
        <x:v>Senior Employee Relations Representative</x:v>
      </x:c>
      <x:c r="K348" t="n">
        <x:f>IF(I348=1,_xlfn.XLOOKUP(H348,Rates_Raw!$AF$5:$AF$464,Rates_Raw!$F$5:$F$464,""),"")</x:f>
        <x:v>1</x:v>
      </x:c>
      <x:c r="L348" s="50" t="n">
        <x:f>IF(I348=1,IFERROR(VALUE(SUBSTITUTE(_xlfn.XLOOKUP(H348,Rates_Raw!$AF$5:$AF$464,Rates_Raw!$L$5:$L$464,""),"$","")),""),"")</x:f>
        <x:v>65.4875</x:v>
      </x:c>
      <x:c r="M348" s="50" t="n">
        <x:f>IF(OR(G348="",L348=""),"",ROUND(G348-L348,4))</x:f>
        <x:v>0</x:v>
      </x:c>
      <x:c r="N348" t="str">
        <x:f>IF(I348=0,"NO MATCH",IF(I348&gt;1,"AMBIGUOUS",IF(EXACT(TRIM(E348),TRIM(J348)),"EXACT","TITLE VARIANT")))</x:f>
        <x:v>EXACT</x:v>
      </x:c>
      <x:c r="O348" t="str">
        <x:f>IF(I348&lt;&gt;1,"NOT TESTED",IF(OR(G348="",L348=""),"MISSING",IF(ABS(M348)&lt;=Guide!$B$16,"PASS","REVIEW")))</x:f>
        <x:v>PASS</x:v>
      </x:c>
      <x:c r="P348" s="52" t="n">
        <x:f>IF(I348=1,IFERROR(VALUE(SUBSTITUTE(SUBSTITUTE(_xlfn.XLOOKUP(H348,Rates_Raw!$AF$5:$AF$464,Rates_Raw!$I$5:$I$464,""),"$",""),",","")),""),"")</x:f>
        <x:v>5239</x:v>
      </x:c>
      <x:c r="Q348" s="52" t="n">
        <x:f>IF(P348="","",P348*Guide!$B$15)</x:f>
        <x:v>136214</x:v>
      </x:c>
      <x:c r="R348" t="str">
        <x:f>IF(I348=0,"UNMATCHED",IF(I348&gt;1,"DUPLICATE KEY",IF(OR(N348="TITLE VARIANT",O348="REVIEW",O348="MISSING"),"REVIEW","VERIFIED")))</x:f>
        <x:v>VERIFIED</x:v>
      </x:c>
      <x:c r="S348" s="46" t="str">
        <x:v>Not Reviewed</x:v>
      </x:c>
      <x:c r="T348" s="48"/>
    </x:row>
    <x:row r="349">
      <x:c r="A349" t="n">
        <x:f>Plan_Raw!A349</x:f>
        <x:v>1714</x:v>
      </x:c>
      <x:c r="B349" t="str">
        <x:f>Plan_Raw!D349</x:f>
        <x:v>1281</x:v>
      </x:c>
      <x:c r="C349" t="str">
        <x:f>LEFT(Plan_Raw!B349,10)</x:f>
        <x:v>2025-01-04</x:v>
      </x:c>
      <x:c r="D349" t="str">
        <x:f>Plan_Raw!F349</x:f>
        <x:v>COMMN</x:v>
      </x:c>
      <x:c r="E349" t="str">
        <x:f>Plan_Raw!E349</x:f>
        <x:v>Senior Employee Relations Representative</x:v>
      </x:c>
      <x:c r="F349" t="str">
        <x:f>Plan_Raw!C349</x:f>
        <x:v>1281A</x:v>
      </x:c>
      <x:c r="G349" s="50" t="n">
        <x:f>IF(Plan_Raw!G349="","",IFERROR(VALUE(Plan_Raw!G349),""))</x:f>
        <x:v>66.475</x:v>
      </x:c>
      <x:c r="H349" t="str">
        <x:f>Plan_Raw!AH349</x:f>
        <x:v>1281|COMMN|2025-01-04</x:v>
      </x:c>
      <x:c r="I349" t="n">
        <x:f>COUNTIF(Rates_Raw!$AF$5:$AF$464,H349)</x:f>
        <x:v>1</x:v>
      </x:c>
      <x:c r="J349" t="str">
        <x:f>IF(I349=1,_xlfn.XLOOKUP(H349,Rates_Raw!$AF$5:$AF$464,Rates_Raw!$E$5:$E$464,""),"")</x:f>
        <x:v>Senior Employee Relations Representative</x:v>
      </x:c>
      <x:c r="K349" t="n">
        <x:f>IF(I349=1,_xlfn.XLOOKUP(H349,Rates_Raw!$AF$5:$AF$464,Rates_Raw!$F$5:$F$464,""),"")</x:f>
        <x:v>1</x:v>
      </x:c>
      <x:c r="L349" s="50" t="n">
        <x:f>IF(I349=1,IFERROR(VALUE(SUBSTITUTE(_xlfn.XLOOKUP(H349,Rates_Raw!$AF$5:$AF$464,Rates_Raw!$L$5:$L$464,""),"$","")),""),"")</x:f>
        <x:v>66.475</x:v>
      </x:c>
      <x:c r="M349" s="50" t="n">
        <x:f>IF(OR(G349="",L349=""),"",ROUND(G349-L349,4))</x:f>
        <x:v>0</x:v>
      </x:c>
      <x:c r="N349" t="str">
        <x:f>IF(I349=0,"NO MATCH",IF(I349&gt;1,"AMBIGUOUS",IF(EXACT(TRIM(E349),TRIM(J349)),"EXACT","TITLE VARIANT")))</x:f>
        <x:v>EXACT</x:v>
      </x:c>
      <x:c r="O349" t="str">
        <x:f>IF(I349&lt;&gt;1,"NOT TESTED",IF(OR(G349="",L349=""),"MISSING",IF(ABS(M349)&lt;=Guide!$B$16,"PASS","REVIEW")))</x:f>
        <x:v>PASS</x:v>
      </x:c>
      <x:c r="P349" s="52" t="n">
        <x:f>IF(I349=1,IFERROR(VALUE(SUBSTITUTE(SUBSTITUTE(_xlfn.XLOOKUP(H349,Rates_Raw!$AF$5:$AF$464,Rates_Raw!$I$5:$I$464,""),"$",""),",","")),""),"")</x:f>
        <x:v>5318</x:v>
      </x:c>
      <x:c r="Q349" s="52" t="n">
        <x:f>IF(P349="","",P349*Guide!$B$15)</x:f>
        <x:v>138268</x:v>
      </x:c>
      <x:c r="R349" t="str">
        <x:f>IF(I349=0,"UNMATCHED",IF(I349&gt;1,"DUPLICATE KEY",IF(OR(N349="TITLE VARIANT",O349="REVIEW",O349="MISSING"),"REVIEW","VERIFIED")))</x:f>
        <x:v>VERIFIED</x:v>
      </x:c>
      <x:c r="S349" s="46" t="str">
        <x:v>Not Reviewed</x:v>
      </x:c>
      <x:c r="T349" s="48"/>
    </x:row>
    <x:row r="350">
      <x:c r="A350" t="n">
        <x:f>Plan_Raw!A350</x:f>
        <x:v>1715</x:v>
      </x:c>
      <x:c r="B350" t="str">
        <x:f>Plan_Raw!D350</x:f>
        <x:v>1281</x:v>
      </x:c>
      <x:c r="C350" t="str">
        <x:f>LEFT(Plan_Raw!B350,10)</x:f>
        <x:v>2025-07-01</x:v>
      </x:c>
      <x:c r="D350" t="str">
        <x:f>Plan_Raw!F350</x:f>
        <x:v>COMMN</x:v>
      </x:c>
      <x:c r="E350" t="str">
        <x:f>Plan_Raw!E350</x:f>
        <x:v>Senior Emp Relations Repres</x:v>
      </x:c>
      <x:c r="F350" t="str">
        <x:f>Plan_Raw!C350</x:f>
        <x:v>1281B</x:v>
      </x:c>
      <x:c r="G350" s="50" t="n">
        <x:f>IF(Plan_Raw!G350="","",IFERROR(VALUE(Plan_Raw!G350),""))</x:f>
        <x:v>67.8125</x:v>
      </x:c>
      <x:c r="H350" t="str">
        <x:f>Plan_Raw!AH350</x:f>
        <x:v>1281|COMMN|2025-07-01</x:v>
      </x:c>
      <x:c r="I350" t="n">
        <x:f>COUNTIF(Rates_Raw!$AF$5:$AF$464,H350)</x:f>
        <x:v>1</x:v>
      </x:c>
      <x:c r="J350" t="str">
        <x:f>IF(I350=1,_xlfn.XLOOKUP(H350,Rates_Raw!$AF$5:$AF$464,Rates_Raw!$E$5:$E$464,""),"")</x:f>
        <x:v>Senior Emp Relations Repres</x:v>
      </x:c>
      <x:c r="K350" t="n">
        <x:f>IF(I350=1,_xlfn.XLOOKUP(H350,Rates_Raw!$AF$5:$AF$464,Rates_Raw!$F$5:$F$464,""),"")</x:f>
        <x:v>1</x:v>
      </x:c>
      <x:c r="L350" s="50" t="n">
        <x:f>IF(I350=1,IFERROR(VALUE(SUBSTITUTE(_xlfn.XLOOKUP(H350,Rates_Raw!$AF$5:$AF$464,Rates_Raw!$L$5:$L$464,""),"$","")),""),"")</x:f>
        <x:v>67.8125</x:v>
      </x:c>
      <x:c r="M350" s="50" t="n">
        <x:f>IF(OR(G350="",L350=""),"",ROUND(G350-L350,4))</x:f>
        <x:v>0</x:v>
      </x:c>
      <x:c r="N350" t="str">
        <x:f>IF(I350=0,"NO MATCH",IF(I350&gt;1,"AMBIGUOUS",IF(EXACT(TRIM(E350),TRIM(J350)),"EXACT","TITLE VARIANT")))</x:f>
        <x:v>EXACT</x:v>
      </x:c>
      <x:c r="O350" t="str">
        <x:f>IF(I350&lt;&gt;1,"NOT TESTED",IF(OR(G350="",L350=""),"MISSING",IF(ABS(M350)&lt;=Guide!$B$16,"PASS","REVIEW")))</x:f>
        <x:v>PASS</x:v>
      </x:c>
      <x:c r="P350" s="52" t="n">
        <x:f>IF(I350=1,IFERROR(VALUE(SUBSTITUTE(SUBSTITUTE(_xlfn.XLOOKUP(H350,Rates_Raw!$AF$5:$AF$464,Rates_Raw!$I$5:$I$464,""),"$",""),",","")),""),"")</x:f>
        <x:v>5425</x:v>
      </x:c>
      <x:c r="Q350" s="52" t="n">
        <x:f>IF(P350="","",P350*Guide!$B$15)</x:f>
        <x:v>141050</x:v>
      </x:c>
      <x:c r="R350" t="str">
        <x:f>IF(I350=0,"UNMATCHED",IF(I350&gt;1,"DUPLICATE KEY",IF(OR(N350="TITLE VARIANT",O350="REVIEW",O350="MISSING"),"REVIEW","VERIFIED")))</x:f>
        <x:v>VERIFIED</x:v>
      </x:c>
      <x:c r="S350" s="46" t="str">
        <x:v>Not Reviewed</x:v>
      </x:c>
      <x:c r="T350" s="48"/>
    </x:row>
    <x:row r="351">
      <x:c r="A351" t="n">
        <x:f>Plan_Raw!A351</x:f>
        <x:v>1716</x:v>
      </x:c>
      <x:c r="B351" t="str">
        <x:f>Plan_Raw!D351</x:f>
        <x:v>1281</x:v>
      </x:c>
      <x:c r="C351" t="str">
        <x:f>LEFT(Plan_Raw!B351,10)</x:f>
        <x:v>2026-01-03</x:v>
      </x:c>
      <x:c r="D351" t="str">
        <x:f>Plan_Raw!F351</x:f>
        <x:v>COMMN</x:v>
      </x:c>
      <x:c r="E351" t="str">
        <x:f>Plan_Raw!E351</x:f>
        <x:v>Senior Emp Relations Repres</x:v>
      </x:c>
      <x:c r="F351" t="str">
        <x:f>Plan_Raw!C351</x:f>
        <x:v>1281C</x:v>
      </x:c>
      <x:c r="G351" s="50" t="n">
        <x:f>IF(Plan_Raw!G351="","",IFERROR(VALUE(Plan_Raw!G351),""))</x:f>
        <x:v>68.825</x:v>
      </x:c>
      <x:c r="H351" t="str">
        <x:f>Plan_Raw!AH351</x:f>
        <x:v>1281|COMMN|2026-01-03</x:v>
      </x:c>
      <x:c r="I351" t="n">
        <x:f>COUNTIF(Rates_Raw!$AF$5:$AF$464,H351)</x:f>
        <x:v>1</x:v>
      </x:c>
      <x:c r="J351" t="str">
        <x:f>IF(I351=1,_xlfn.XLOOKUP(H351,Rates_Raw!$AF$5:$AF$464,Rates_Raw!$E$5:$E$464,""),"")</x:f>
        <x:v>Senior Emp Relations Repres</x:v>
      </x:c>
      <x:c r="K351" t="n">
        <x:f>IF(I351=1,_xlfn.XLOOKUP(H351,Rates_Raw!$AF$5:$AF$464,Rates_Raw!$F$5:$F$464,""),"")</x:f>
        <x:v>1</x:v>
      </x:c>
      <x:c r="L351" s="50" t="n">
        <x:f>IF(I351=1,IFERROR(VALUE(SUBSTITUTE(_xlfn.XLOOKUP(H351,Rates_Raw!$AF$5:$AF$464,Rates_Raw!$L$5:$L$464,""),"$","")),""),"")</x:f>
        <x:v>68.825</x:v>
      </x:c>
      <x:c r="M351" s="50" t="n">
        <x:f>IF(OR(G351="",L351=""),"",ROUND(G351-L351,4))</x:f>
        <x:v>0</x:v>
      </x:c>
      <x:c r="N351" t="str">
        <x:f>IF(I351=0,"NO MATCH",IF(I351&gt;1,"AMBIGUOUS",IF(EXACT(TRIM(E351),TRIM(J351)),"EXACT","TITLE VARIANT")))</x:f>
        <x:v>EXACT</x:v>
      </x:c>
      <x:c r="O351" t="str">
        <x:f>IF(I351&lt;&gt;1,"NOT TESTED",IF(OR(G351="",L351=""),"MISSING",IF(ABS(M351)&lt;=Guide!$B$16,"PASS","REVIEW")))</x:f>
        <x:v>PASS</x:v>
      </x:c>
      <x:c r="P351" s="52" t="n">
        <x:f>IF(I351=1,IFERROR(VALUE(SUBSTITUTE(SUBSTITUTE(_xlfn.XLOOKUP(H351,Rates_Raw!$AF$5:$AF$464,Rates_Raw!$I$5:$I$464,""),"$",""),",","")),""),"")</x:f>
        <x:v>5506</x:v>
      </x:c>
      <x:c r="Q351" s="52" t="n">
        <x:f>IF(P351="","",P351*Guide!$B$15)</x:f>
        <x:v>143156</x:v>
      </x:c>
      <x:c r="R351" t="str">
        <x:f>IF(I351=0,"UNMATCHED",IF(I351&gt;1,"DUPLICATE KEY",IF(OR(N351="TITLE VARIANT",O351="REVIEW",O351="MISSING"),"REVIEW","VERIFIED")))</x:f>
        <x:v>VERIFIED</x:v>
      </x:c>
      <x:c r="S351" s="46" t="str">
        <x:v>Not Reviewed</x:v>
      </x:c>
      <x:c r="T351" s="48"/>
    </x:row>
    <x:row r="352">
      <x:c r="A352" t="n">
        <x:f>Plan_Raw!A352</x:f>
        <x:v>1717</x:v>
      </x:c>
      <x:c r="B352" t="str">
        <x:f>Plan_Raw!D352</x:f>
        <x:v>1281</x:v>
      </x:c>
      <x:c r="C352" t="str">
        <x:f>LEFT(Plan_Raw!B352,10)</x:f>
        <x:v>2026-07-01</x:v>
      </x:c>
      <x:c r="D352" t="str">
        <x:f>Plan_Raw!F352</x:f>
        <x:v>COMMN</x:v>
      </x:c>
      <x:c r="E352" t="str">
        <x:f>Plan_Raw!E352</x:f>
        <x:v>Senior Emp Relations Repres</x:v>
      </x:c>
      <x:c r="F352" t="str">
        <x:f>Plan_Raw!C352</x:f>
        <x:v>1281D</x:v>
      </x:c>
      <x:c r="G352" s="50" t="n">
        <x:f>IF(Plan_Raw!G352="","",IFERROR(VALUE(Plan_Raw!G352),""))</x:f>
        <x:v>75.925</x:v>
      </x:c>
      <x:c r="H352" t="str">
        <x:f>Plan_Raw!AH352</x:f>
        <x:v>1281|COMMN|2026-07-01</x:v>
      </x:c>
      <x:c r="I352" t="n">
        <x:f>COUNTIF(Rates_Raw!$AF$5:$AF$464,H352)</x:f>
        <x:v>0</x:v>
      </x:c>
      <x:c r="J352" t="str">
        <x:f>IF(I352=1,_xlfn.XLOOKUP(H352,Rates_Raw!$AF$5:$AF$464,Rates_Raw!$E$5:$E$464,""),"")</x:f>
      </x:c>
      <x:c r="K352" t="str">
        <x:f>IF(I352=1,_xlfn.XLOOKUP(H352,Rates_Raw!$AF$5:$AF$464,Rates_Raw!$F$5:$F$464,""),"")</x:f>
      </x:c>
      <x:c r="L352" s="50" t="str">
        <x:f>IF(I352=1,IFERROR(VALUE(SUBSTITUTE(_xlfn.XLOOKUP(H352,Rates_Raw!$AF$5:$AF$464,Rates_Raw!$L$5:$L$464,""),"$","")),""),"")</x:f>
      </x:c>
      <x:c r="M352" s="50" t="str">
        <x:f>IF(OR(G352="",L352=""),"",ROUND(G352-L352,4))</x:f>
      </x:c>
      <x:c r="N352" t="str">
        <x:f>IF(I352=0,"NO MATCH",IF(I352&gt;1,"AMBIGUOUS",IF(EXACT(TRIM(E352),TRIM(J352)),"EXACT","TITLE VARIANT")))</x:f>
        <x:v>NO MATCH</x:v>
      </x:c>
      <x:c r="O352" t="str">
        <x:f>IF(I352&lt;&gt;1,"NOT TESTED",IF(OR(G352="",L352=""),"MISSING",IF(ABS(M352)&lt;=Guide!$B$16,"PASS","REVIEW")))</x:f>
        <x:v>NOT TESTED</x:v>
      </x:c>
      <x:c r="P352" s="52" t="str">
        <x:f>IF(I352=1,IFERROR(VALUE(SUBSTITUTE(SUBSTITUTE(_xlfn.XLOOKUP(H352,Rates_Raw!$AF$5:$AF$464,Rates_Raw!$I$5:$I$464,""),"$",""),",","")),""),"")</x:f>
      </x:c>
      <x:c r="Q352" s="52" t="str">
        <x:f>IF(P352="","",P352*Guide!$B$15)</x:f>
      </x:c>
      <x:c r="R352" t="str">
        <x:f>IF(I352=0,"UNMATCHED",IF(I352&gt;1,"DUPLICATE KEY",IF(OR(N352="TITLE VARIANT",O352="REVIEW",O352="MISSING"),"REVIEW","VERIFIED")))</x:f>
        <x:v>UNMATCHED</x:v>
      </x:c>
      <x:c r="S352" s="46" t="str">
        <x:v>Not Reviewed</x:v>
      </x:c>
      <x:c r="T352" s="48"/>
    </x:row>
    <x:row r="353">
      <x:c r="A353" t="n">
        <x:f>Plan_Raw!A353</x:f>
        <x:v>1759</x:v>
      </x:c>
      <x:c r="B353" t="str">
        <x:f>Plan_Raw!D353</x:f>
        <x:v>1302</x:v>
      </x:c>
      <x:c r="C353" t="str">
        <x:f>LEFT(Plan_Raw!B353,10)</x:f>
        <x:v>2024-01-06</x:v>
      </x:c>
      <x:c r="D353" t="str">
        <x:f>Plan_Raw!F353</x:f>
        <x:v>COMMN</x:v>
      </x:c>
      <x:c r="E353" t="str">
        <x:f>Plan_Raw!E353</x:f>
        <x:v>Customer Service Representative Trainee</x:v>
      </x:c>
      <x:c r="F353" t="str">
        <x:f>Plan_Raw!C353</x:f>
        <x:v>1302Y</x:v>
      </x:c>
      <x:c r="G353" s="50" t="n">
        <x:f>IF(Plan_Raw!G353="","",IFERROR(VALUE(Plan_Raw!G353),""))</x:f>
        <x:v>39.1375</x:v>
      </x:c>
      <x:c r="H353" t="str">
        <x:f>Plan_Raw!AH353</x:f>
        <x:v>1302|COMMN|2024-01-06</x:v>
      </x:c>
      <x:c r="I353" t="n">
        <x:f>COUNTIF(Rates_Raw!$AF$5:$AF$464,H353)</x:f>
        <x:v>1</x:v>
      </x:c>
      <x:c r="J353" t="str">
        <x:f>IF(I353=1,_xlfn.XLOOKUP(H353,Rates_Raw!$AF$5:$AF$464,Rates_Raw!$E$5:$E$464,""),"")</x:f>
        <x:v>Customer Service Representative Trainee</x:v>
      </x:c>
      <x:c r="K353" t="n">
        <x:f>IF(I353=1,_xlfn.XLOOKUP(H353,Rates_Raw!$AF$5:$AF$464,Rates_Raw!$F$5:$F$464,""),"")</x:f>
        <x:v>790</x:v>
      </x:c>
      <x:c r="L353" s="50" t="n">
        <x:f>IF(I353=1,IFERROR(VALUE(SUBSTITUTE(_xlfn.XLOOKUP(H353,Rates_Raw!$AF$5:$AF$464,Rates_Raw!$L$5:$L$464,""),"$","")),""),"")</x:f>
        <x:v>39.1375</x:v>
      </x:c>
      <x:c r="M353" s="50" t="n">
        <x:f>IF(OR(G353="",L353=""),"",ROUND(G353-L353,4))</x:f>
        <x:v>0</x:v>
      </x:c>
      <x:c r="N353" t="str">
        <x:f>IF(I353=0,"NO MATCH",IF(I353&gt;1,"AMBIGUOUS",IF(EXACT(TRIM(E353),TRIM(J353)),"EXACT","TITLE VARIANT")))</x:f>
        <x:v>EXACT</x:v>
      </x:c>
      <x:c r="O353" t="str">
        <x:f>IF(I353&lt;&gt;1,"NOT TESTED",IF(OR(G353="",L353=""),"MISSING",IF(ABS(M353)&lt;=Guide!$B$16,"PASS","REVIEW")))</x:f>
        <x:v>PASS</x:v>
      </x:c>
      <x:c r="P353" s="52" t="n">
        <x:f>IF(I353=1,IFERROR(VALUE(SUBSTITUTE(SUBSTITUTE(_xlfn.XLOOKUP(H353,Rates_Raw!$AF$5:$AF$464,Rates_Raw!$I$5:$I$464,""),"$",""),",","")),""),"")</x:f>
        <x:v>3131</x:v>
      </x:c>
      <x:c r="Q353" s="52" t="n">
        <x:f>IF(P353="","",P353*Guide!$B$15)</x:f>
        <x:v>81406</x:v>
      </x:c>
      <x:c r="R353" t="str">
        <x:f>IF(I353=0,"UNMATCHED",IF(I353&gt;1,"DUPLICATE KEY",IF(OR(N353="TITLE VARIANT",O353="REVIEW",O353="MISSING"),"REVIEW","VERIFIED")))</x:f>
        <x:v>VERIFIED</x:v>
      </x:c>
      <x:c r="S353" s="46" t="str">
        <x:v>Not Reviewed</x:v>
      </x:c>
      <x:c r="T353" s="48"/>
    </x:row>
    <x:row r="354">
      <x:c r="A354" t="n">
        <x:f>Plan_Raw!A354</x:f>
        <x:v>1760</x:v>
      </x:c>
      <x:c r="B354" t="str">
        <x:f>Plan_Raw!D354</x:f>
        <x:v>1302</x:v>
      </x:c>
      <x:c r="C354" t="str">
        <x:f>LEFT(Plan_Raw!B354,10)</x:f>
        <x:v>2024-07-01</x:v>
      </x:c>
      <x:c r="D354" t="str">
        <x:f>Plan_Raw!F354</x:f>
        <x:v>COMMN</x:v>
      </x:c>
      <x:c r="E354" t="str">
        <x:f>Plan_Raw!E354</x:f>
        <x:v>Customer Service Representative Trainee</x:v>
      </x:c>
      <x:c r="F354" t="str">
        <x:f>Plan_Raw!C354</x:f>
        <x:v>1302Z</x:v>
      </x:c>
      <x:c r="G354" s="50" t="n">
        <x:f>IF(Plan_Raw!G354="","",IFERROR(VALUE(Plan_Raw!G354),""))</x:f>
        <x:v>39.725</x:v>
      </x:c>
      <x:c r="H354" t="str">
        <x:f>Plan_Raw!AH354</x:f>
        <x:v>1302|COMMN|2024-07-01</x:v>
      </x:c>
      <x:c r="I354" t="n">
        <x:f>COUNTIF(Rates_Raw!$AF$5:$AF$464,H354)</x:f>
        <x:v>1</x:v>
      </x:c>
      <x:c r="J354" t="str">
        <x:f>IF(I354=1,_xlfn.XLOOKUP(H354,Rates_Raw!$AF$5:$AF$464,Rates_Raw!$E$5:$E$464,""),"")</x:f>
        <x:v>Customer Service Representative Trainee</x:v>
      </x:c>
      <x:c r="K354" t="n">
        <x:f>IF(I354=1,_xlfn.XLOOKUP(H354,Rates_Raw!$AF$5:$AF$464,Rates_Raw!$F$5:$F$464,""),"")</x:f>
        <x:v>790</x:v>
      </x:c>
      <x:c r="L354" s="50" t="n">
        <x:f>IF(I354=1,IFERROR(VALUE(SUBSTITUTE(_xlfn.XLOOKUP(H354,Rates_Raw!$AF$5:$AF$464,Rates_Raw!$L$5:$L$464,""),"$","")),""),"")</x:f>
        <x:v>39.725</x:v>
      </x:c>
      <x:c r="M354" s="50" t="n">
        <x:f>IF(OR(G354="",L354=""),"",ROUND(G354-L354,4))</x:f>
        <x:v>0</x:v>
      </x:c>
      <x:c r="N354" t="str">
        <x:f>IF(I354=0,"NO MATCH",IF(I354&gt;1,"AMBIGUOUS",IF(EXACT(TRIM(E354),TRIM(J354)),"EXACT","TITLE VARIANT")))</x:f>
        <x:v>EXACT</x:v>
      </x:c>
      <x:c r="O354" t="str">
        <x:f>IF(I354&lt;&gt;1,"NOT TESTED",IF(OR(G354="",L354=""),"MISSING",IF(ABS(M354)&lt;=Guide!$B$16,"PASS","REVIEW")))</x:f>
        <x:v>PASS</x:v>
      </x:c>
      <x:c r="P354" s="52" t="n">
        <x:f>IF(I354=1,IFERROR(VALUE(SUBSTITUTE(SUBSTITUTE(_xlfn.XLOOKUP(H354,Rates_Raw!$AF$5:$AF$464,Rates_Raw!$I$5:$I$464,""),"$",""),",","")),""),"")</x:f>
        <x:v>3178</x:v>
      </x:c>
      <x:c r="Q354" s="52" t="n">
        <x:f>IF(P354="","",P354*Guide!$B$15)</x:f>
        <x:v>82628</x:v>
      </x:c>
      <x:c r="R354" t="str">
        <x:f>IF(I354=0,"UNMATCHED",IF(I354&gt;1,"DUPLICATE KEY",IF(OR(N354="TITLE VARIANT",O354="REVIEW",O354="MISSING"),"REVIEW","VERIFIED")))</x:f>
        <x:v>VERIFIED</x:v>
      </x:c>
      <x:c r="S354" s="46" t="str">
        <x:v>Not Reviewed</x:v>
      </x:c>
      <x:c r="T354" s="48"/>
    </x:row>
    <x:row r="355">
      <x:c r="A355" t="n">
        <x:f>Plan_Raw!A355</x:f>
        <x:v>1761</x:v>
      </x:c>
      <x:c r="B355" t="str">
        <x:f>Plan_Raw!D355</x:f>
        <x:v>1302</x:v>
      </x:c>
      <x:c r="C355" t="str">
        <x:f>LEFT(Plan_Raw!B355,10)</x:f>
        <x:v>2025-01-04</x:v>
      </x:c>
      <x:c r="D355" t="str">
        <x:f>Plan_Raw!F355</x:f>
        <x:v>COMMN</x:v>
      </x:c>
      <x:c r="E355" t="str">
        <x:f>Plan_Raw!E355</x:f>
        <x:v>Customer Service Representative Trainee</x:v>
      </x:c>
      <x:c r="F355" t="str">
        <x:f>Plan_Raw!C355</x:f>
        <x:v>1302A</x:v>
      </x:c>
      <x:c r="G355" s="50" t="n">
        <x:f>IF(Plan_Raw!G355="","",IFERROR(VALUE(Plan_Raw!G355),""))</x:f>
        <x:v>40.325</x:v>
      </x:c>
      <x:c r="H355" t="str">
        <x:f>Plan_Raw!AH355</x:f>
        <x:v>1302|COMMN|2025-01-04</x:v>
      </x:c>
      <x:c r="I355" t="n">
        <x:f>COUNTIF(Rates_Raw!$AF$5:$AF$464,H355)</x:f>
        <x:v>1</x:v>
      </x:c>
      <x:c r="J355" t="str">
        <x:f>IF(I355=1,_xlfn.XLOOKUP(H355,Rates_Raw!$AF$5:$AF$464,Rates_Raw!$E$5:$E$464,""),"")</x:f>
        <x:v>Customer Service Representative Trainee</x:v>
      </x:c>
      <x:c r="K355" t="n">
        <x:f>IF(I355=1,_xlfn.XLOOKUP(H355,Rates_Raw!$AF$5:$AF$464,Rates_Raw!$F$5:$F$464,""),"")</x:f>
        <x:v>790</x:v>
      </x:c>
      <x:c r="L355" s="50" t="n">
        <x:f>IF(I355=1,IFERROR(VALUE(SUBSTITUTE(_xlfn.XLOOKUP(H355,Rates_Raw!$AF$5:$AF$464,Rates_Raw!$L$5:$L$464,""),"$","")),""),"")</x:f>
        <x:v>40.325</x:v>
      </x:c>
      <x:c r="M355" s="50" t="n">
        <x:f>IF(OR(G355="",L355=""),"",ROUND(G355-L355,4))</x:f>
        <x:v>0</x:v>
      </x:c>
      <x:c r="N355" t="str">
        <x:f>IF(I355=0,"NO MATCH",IF(I355&gt;1,"AMBIGUOUS",IF(EXACT(TRIM(E355),TRIM(J355)),"EXACT","TITLE VARIANT")))</x:f>
        <x:v>EXACT</x:v>
      </x:c>
      <x:c r="O355" t="str">
        <x:f>IF(I355&lt;&gt;1,"NOT TESTED",IF(OR(G355="",L355=""),"MISSING",IF(ABS(M355)&lt;=Guide!$B$16,"PASS","REVIEW")))</x:f>
        <x:v>PASS</x:v>
      </x:c>
      <x:c r="P355" s="52" t="n">
        <x:f>IF(I355=1,IFERROR(VALUE(SUBSTITUTE(SUBSTITUTE(_xlfn.XLOOKUP(H355,Rates_Raw!$AF$5:$AF$464,Rates_Raw!$I$5:$I$464,""),"$",""),",","")),""),"")</x:f>
        <x:v>3226</x:v>
      </x:c>
      <x:c r="Q355" s="52" t="n">
        <x:f>IF(P355="","",P355*Guide!$B$15)</x:f>
        <x:v>83876</x:v>
      </x:c>
      <x:c r="R355" t="str">
        <x:f>IF(I355=0,"UNMATCHED",IF(I355&gt;1,"DUPLICATE KEY",IF(OR(N355="TITLE VARIANT",O355="REVIEW",O355="MISSING"),"REVIEW","VERIFIED")))</x:f>
        <x:v>VERIFIED</x:v>
      </x:c>
      <x:c r="S355" s="46" t="str">
        <x:v>Not Reviewed</x:v>
      </x:c>
      <x:c r="T355" s="48"/>
    </x:row>
    <x:row r="356">
      <x:c r="A356" t="n">
        <x:f>Plan_Raw!A356</x:f>
        <x:v>1762</x:v>
      </x:c>
      <x:c r="B356" t="str">
        <x:f>Plan_Raw!D356</x:f>
        <x:v>1302</x:v>
      </x:c>
      <x:c r="C356" t="str">
        <x:f>LEFT(Plan_Raw!B356,10)</x:f>
        <x:v>2025-07-01</x:v>
      </x:c>
      <x:c r="D356" t="str">
        <x:f>Plan_Raw!F356</x:f>
        <x:v>COMMN</x:v>
      </x:c>
      <x:c r="E356" t="str">
        <x:f>Plan_Raw!E356</x:f>
        <x:v>Customer Service Rep Trainee</x:v>
      </x:c>
      <x:c r="F356" t="str">
        <x:f>Plan_Raw!C356</x:f>
        <x:v>1302B</x:v>
      </x:c>
      <x:c r="G356" s="50" t="n">
        <x:f>IF(Plan_Raw!G356="","",IFERROR(VALUE(Plan_Raw!G356),""))</x:f>
        <x:v>41.1375</x:v>
      </x:c>
      <x:c r="H356" t="str">
        <x:f>Plan_Raw!AH356</x:f>
        <x:v>1302|COMMN|2025-07-01</x:v>
      </x:c>
      <x:c r="I356" t="n">
        <x:f>COUNTIF(Rates_Raw!$AF$5:$AF$464,H356)</x:f>
        <x:v>1</x:v>
      </x:c>
      <x:c r="J356" t="str">
        <x:f>IF(I356=1,_xlfn.XLOOKUP(H356,Rates_Raw!$AF$5:$AF$464,Rates_Raw!$E$5:$E$464,""),"")</x:f>
        <x:v>Customer Service Rep Trainee</x:v>
      </x:c>
      <x:c r="K356" t="n">
        <x:f>IF(I356=1,_xlfn.XLOOKUP(H356,Rates_Raw!$AF$5:$AF$464,Rates_Raw!$F$5:$F$464,""),"")</x:f>
        <x:v>790</x:v>
      </x:c>
      <x:c r="L356" s="50" t="n">
        <x:f>IF(I356=1,IFERROR(VALUE(SUBSTITUTE(_xlfn.XLOOKUP(H356,Rates_Raw!$AF$5:$AF$464,Rates_Raw!$L$5:$L$464,""),"$","")),""),"")</x:f>
        <x:v>41.1375</x:v>
      </x:c>
      <x:c r="M356" s="50" t="n">
        <x:f>IF(OR(G356="",L356=""),"",ROUND(G356-L356,4))</x:f>
        <x:v>0</x:v>
      </x:c>
      <x:c r="N356" t="str">
        <x:f>IF(I356=0,"NO MATCH",IF(I356&gt;1,"AMBIGUOUS",IF(EXACT(TRIM(E356),TRIM(J356)),"EXACT","TITLE VARIANT")))</x:f>
        <x:v>EXACT</x:v>
      </x:c>
      <x:c r="O356" t="str">
        <x:f>IF(I356&lt;&gt;1,"NOT TESTED",IF(OR(G356="",L356=""),"MISSING",IF(ABS(M356)&lt;=Guide!$B$16,"PASS","REVIEW")))</x:f>
        <x:v>PASS</x:v>
      </x:c>
      <x:c r="P356" s="52" t="n">
        <x:f>IF(I356=1,IFERROR(VALUE(SUBSTITUTE(SUBSTITUTE(_xlfn.XLOOKUP(H356,Rates_Raw!$AF$5:$AF$464,Rates_Raw!$I$5:$I$464,""),"$",""),",","")),""),"")</x:f>
        <x:v>3291</x:v>
      </x:c>
      <x:c r="Q356" s="52" t="n">
        <x:f>IF(P356="","",P356*Guide!$B$15)</x:f>
        <x:v>85566</x:v>
      </x:c>
      <x:c r="R356" t="str">
        <x:f>IF(I356=0,"UNMATCHED",IF(I356&gt;1,"DUPLICATE KEY",IF(OR(N356="TITLE VARIANT",O356="REVIEW",O356="MISSING"),"REVIEW","VERIFIED")))</x:f>
        <x:v>VERIFIED</x:v>
      </x:c>
      <x:c r="S356" s="46" t="str">
        <x:v>Not Reviewed</x:v>
      </x:c>
      <x:c r="T356" s="48"/>
    </x:row>
    <x:row r="357">
      <x:c r="A357" t="n">
        <x:f>Plan_Raw!A357</x:f>
        <x:v>1763</x:v>
      </x:c>
      <x:c r="B357" t="str">
        <x:f>Plan_Raw!D357</x:f>
        <x:v>1302</x:v>
      </x:c>
      <x:c r="C357" t="str">
        <x:f>LEFT(Plan_Raw!B357,10)</x:f>
        <x:v>2026-01-03</x:v>
      </x:c>
      <x:c r="D357" t="str">
        <x:f>Plan_Raw!F357</x:f>
        <x:v>COMMN</x:v>
      </x:c>
      <x:c r="E357" t="str">
        <x:f>Plan_Raw!E357</x:f>
        <x:v>Customer Service Rep Trainee</x:v>
      </x:c>
      <x:c r="F357" t="str">
        <x:f>Plan_Raw!C357</x:f>
        <x:v>1302C</x:v>
      </x:c>
      <x:c r="G357" s="50" t="n">
        <x:f>IF(Plan_Raw!G357="","",IFERROR(VALUE(Plan_Raw!G357),""))</x:f>
        <x:v>41.75</x:v>
      </x:c>
      <x:c r="H357" t="str">
        <x:f>Plan_Raw!AH357</x:f>
        <x:v>1302|COMMN|2026-01-03</x:v>
      </x:c>
      <x:c r="I357" t="n">
        <x:f>COUNTIF(Rates_Raw!$AF$5:$AF$464,H357)</x:f>
        <x:v>1</x:v>
      </x:c>
      <x:c r="J357" t="str">
        <x:f>IF(I357=1,_xlfn.XLOOKUP(H357,Rates_Raw!$AF$5:$AF$464,Rates_Raw!$E$5:$E$464,""),"")</x:f>
        <x:v>Customer Service Rep Trainee</x:v>
      </x:c>
      <x:c r="K357" t="n">
        <x:f>IF(I357=1,_xlfn.XLOOKUP(H357,Rates_Raw!$AF$5:$AF$464,Rates_Raw!$F$5:$F$464,""),"")</x:f>
        <x:v>790</x:v>
      </x:c>
      <x:c r="L357" s="50" t="n">
        <x:f>IF(I357=1,IFERROR(VALUE(SUBSTITUTE(_xlfn.XLOOKUP(H357,Rates_Raw!$AF$5:$AF$464,Rates_Raw!$L$5:$L$464,""),"$","")),""),"")</x:f>
        <x:v>41.75</x:v>
      </x:c>
      <x:c r="M357" s="50" t="n">
        <x:f>IF(OR(G357="",L357=""),"",ROUND(G357-L357,4))</x:f>
        <x:v>0</x:v>
      </x:c>
      <x:c r="N357" t="str">
        <x:f>IF(I357=0,"NO MATCH",IF(I357&gt;1,"AMBIGUOUS",IF(EXACT(TRIM(E357),TRIM(J357)),"EXACT","TITLE VARIANT")))</x:f>
        <x:v>EXACT</x:v>
      </x:c>
      <x:c r="O357" t="str">
        <x:f>IF(I357&lt;&gt;1,"NOT TESTED",IF(OR(G357="",L357=""),"MISSING",IF(ABS(M357)&lt;=Guide!$B$16,"PASS","REVIEW")))</x:f>
        <x:v>PASS</x:v>
      </x:c>
      <x:c r="P357" s="52" t="n">
        <x:f>IF(I357=1,IFERROR(VALUE(SUBSTITUTE(SUBSTITUTE(_xlfn.XLOOKUP(H357,Rates_Raw!$AF$5:$AF$464,Rates_Raw!$I$5:$I$464,""),"$",""),",","")),""),"")</x:f>
        <x:v>3340</x:v>
      </x:c>
      <x:c r="Q357" s="52" t="n">
        <x:f>IF(P357="","",P357*Guide!$B$15)</x:f>
        <x:v>86840</x:v>
      </x:c>
      <x:c r="R357" t="str">
        <x:f>IF(I357=0,"UNMATCHED",IF(I357&gt;1,"DUPLICATE KEY",IF(OR(N357="TITLE VARIANT",O357="REVIEW",O357="MISSING"),"REVIEW","VERIFIED")))</x:f>
        <x:v>VERIFIED</x:v>
      </x:c>
      <x:c r="S357" s="46" t="str">
        <x:v>Not Reviewed</x:v>
      </x:c>
      <x:c r="T357" s="48"/>
    </x:row>
    <x:row r="358">
      <x:c r="A358" t="n">
        <x:f>Plan_Raw!A358</x:f>
        <x:v>1764</x:v>
      </x:c>
      <x:c r="B358" t="str">
        <x:f>Plan_Raw!D358</x:f>
        <x:v>1302</x:v>
      </x:c>
      <x:c r="C358" t="str">
        <x:f>LEFT(Plan_Raw!B358,10)</x:f>
        <x:v>2026-07-01</x:v>
      </x:c>
      <x:c r="D358" t="str">
        <x:f>Plan_Raw!F358</x:f>
        <x:v>COMMN</x:v>
      </x:c>
      <x:c r="E358" t="str">
        <x:f>Plan_Raw!E358</x:f>
        <x:v>Customer Service Rep Trainee</x:v>
      </x:c>
      <x:c r="F358" t="str">
        <x:f>Plan_Raw!C358</x:f>
        <x:v>1302D</x:v>
      </x:c>
      <x:c r="G358" s="50" t="n">
        <x:f>IF(Plan_Raw!G358="","",IFERROR(VALUE(Plan_Raw!G358),""))</x:f>
        <x:v>42.5875</x:v>
      </x:c>
      <x:c r="H358" t="str">
        <x:f>Plan_Raw!AH358</x:f>
        <x:v>1302|COMMN|2026-07-01</x:v>
      </x:c>
      <x:c r="I358" t="n">
        <x:f>COUNTIF(Rates_Raw!$AF$5:$AF$464,H358)</x:f>
        <x:v>0</x:v>
      </x:c>
      <x:c r="J358" t="str">
        <x:f>IF(I358=1,_xlfn.XLOOKUP(H358,Rates_Raw!$AF$5:$AF$464,Rates_Raw!$E$5:$E$464,""),"")</x:f>
      </x:c>
      <x:c r="K358" t="str">
        <x:f>IF(I358=1,_xlfn.XLOOKUP(H358,Rates_Raw!$AF$5:$AF$464,Rates_Raw!$F$5:$F$464,""),"")</x:f>
      </x:c>
      <x:c r="L358" s="50" t="str">
        <x:f>IF(I358=1,IFERROR(VALUE(SUBSTITUTE(_xlfn.XLOOKUP(H358,Rates_Raw!$AF$5:$AF$464,Rates_Raw!$L$5:$L$464,""),"$","")),""),"")</x:f>
      </x:c>
      <x:c r="M358" s="50" t="str">
        <x:f>IF(OR(G358="",L358=""),"",ROUND(G358-L358,4))</x:f>
      </x:c>
      <x:c r="N358" t="str">
        <x:f>IF(I358=0,"NO MATCH",IF(I358&gt;1,"AMBIGUOUS",IF(EXACT(TRIM(E358),TRIM(J358)),"EXACT","TITLE VARIANT")))</x:f>
        <x:v>NO MATCH</x:v>
      </x:c>
      <x:c r="O358" t="str">
        <x:f>IF(I358&lt;&gt;1,"NOT TESTED",IF(OR(G358="",L358=""),"MISSING",IF(ABS(M358)&lt;=Guide!$B$16,"PASS","REVIEW")))</x:f>
        <x:v>NOT TESTED</x:v>
      </x:c>
      <x:c r="P358" s="52" t="str">
        <x:f>IF(I358=1,IFERROR(VALUE(SUBSTITUTE(SUBSTITUTE(_xlfn.XLOOKUP(H358,Rates_Raw!$AF$5:$AF$464,Rates_Raw!$I$5:$I$464,""),"$",""),",","")),""),"")</x:f>
      </x:c>
      <x:c r="Q358" s="52" t="str">
        <x:f>IF(P358="","",P358*Guide!$B$15)</x:f>
      </x:c>
      <x:c r="R358" t="str">
        <x:f>IF(I358=0,"UNMATCHED",IF(I358&gt;1,"DUPLICATE KEY",IF(OR(N358="TITLE VARIANT",O358="REVIEW",O358="MISSING"),"REVIEW","VERIFIED")))</x:f>
        <x:v>UNMATCHED</x:v>
      </x:c>
      <x:c r="S358" s="46" t="str">
        <x:v>Not Reviewed</x:v>
      </x:c>
      <x:c r="T358" s="48"/>
    </x:row>
    <x:row r="359">
      <x:c r="A359" t="n">
        <x:f>Plan_Raw!A359</x:f>
        <x:v>1771</x:v>
      </x:c>
      <x:c r="B359" t="str">
        <x:f>Plan_Raw!D359</x:f>
        <x:v>1304</x:v>
      </x:c>
      <x:c r="C359" t="str">
        <x:f>LEFT(Plan_Raw!B359,10)</x:f>
        <x:v>2024-01-06</x:v>
      </x:c>
      <x:c r="D359" t="str">
        <x:f>Plan_Raw!F359</x:f>
        <x:v>COMMN</x:v>
      </x:c>
      <x:c r="E359" t="str">
        <x:f>Plan_Raw!E359</x:f>
        <x:v>Customer Service Representative</x:v>
      </x:c>
      <x:c r="F359" t="str">
        <x:f>Plan_Raw!C359</x:f>
        <x:v>1304Y</x:v>
      </x:c>
      <x:c r="G359" s="50" t="n">
        <x:f>IF(Plan_Raw!G359="","",IFERROR(VALUE(Plan_Raw!G359),""))</x:f>
        <x:v>40.325</x:v>
      </x:c>
      <x:c r="H359" t="str">
        <x:f>Plan_Raw!AH359</x:f>
        <x:v>1304|COMMN|2024-01-06</x:v>
      </x:c>
      <x:c r="I359" t="n">
        <x:f>COUNTIF(Rates_Raw!$AF$5:$AF$464,H359)</x:f>
        <x:v>1</x:v>
      </x:c>
      <x:c r="J359" t="str">
        <x:f>IF(I359=1,_xlfn.XLOOKUP(H359,Rates_Raw!$AF$5:$AF$464,Rates_Raw!$E$5:$E$464,""),"")</x:f>
        <x:v>Customer Service Representative</x:v>
      </x:c>
      <x:c r="K359" t="n">
        <x:f>IF(I359=1,_xlfn.XLOOKUP(H359,Rates_Raw!$AF$5:$AF$464,Rates_Raw!$F$5:$F$464,""),"")</x:f>
        <x:v>790</x:v>
      </x:c>
      <x:c r="L359" s="50" t="n">
        <x:f>IF(I359=1,IFERROR(VALUE(SUBSTITUTE(_xlfn.XLOOKUP(H359,Rates_Raw!$AF$5:$AF$464,Rates_Raw!$L$5:$L$464,""),"$","")),""),"")</x:f>
        <x:v>40.325</x:v>
      </x:c>
      <x:c r="M359" s="50" t="n">
        <x:f>IF(OR(G359="",L359=""),"",ROUND(G359-L359,4))</x:f>
        <x:v>0</x:v>
      </x:c>
      <x:c r="N359" t="str">
        <x:f>IF(I359=0,"NO MATCH",IF(I359&gt;1,"AMBIGUOUS",IF(EXACT(TRIM(E359),TRIM(J359)),"EXACT","TITLE VARIANT")))</x:f>
        <x:v>EXACT</x:v>
      </x:c>
      <x:c r="O359" t="str">
        <x:f>IF(I359&lt;&gt;1,"NOT TESTED",IF(OR(G359="",L359=""),"MISSING",IF(ABS(M359)&lt;=Guide!$B$16,"PASS","REVIEW")))</x:f>
        <x:v>PASS</x:v>
      </x:c>
      <x:c r="P359" s="52" t="n">
        <x:f>IF(I359=1,IFERROR(VALUE(SUBSTITUTE(SUBSTITUTE(_xlfn.XLOOKUP(H359,Rates_Raw!$AF$5:$AF$464,Rates_Raw!$I$5:$I$464,""),"$",""),",","")),""),"")</x:f>
        <x:v>3226</x:v>
      </x:c>
      <x:c r="Q359" s="52" t="n">
        <x:f>IF(P359="","",P359*Guide!$B$15)</x:f>
        <x:v>83876</x:v>
      </x:c>
      <x:c r="R359" t="str">
        <x:f>IF(I359=0,"UNMATCHED",IF(I359&gt;1,"DUPLICATE KEY",IF(OR(N359="TITLE VARIANT",O359="REVIEW",O359="MISSING"),"REVIEW","VERIFIED")))</x:f>
        <x:v>VERIFIED</x:v>
      </x:c>
      <x:c r="S359" s="46" t="str">
        <x:v>Not Reviewed</x:v>
      </x:c>
      <x:c r="T359" s="48"/>
    </x:row>
    <x:row r="360">
      <x:c r="A360" t="n">
        <x:f>Plan_Raw!A360</x:f>
        <x:v>1772</x:v>
      </x:c>
      <x:c r="B360" t="str">
        <x:f>Plan_Raw!D360</x:f>
        <x:v>1304</x:v>
      </x:c>
      <x:c r="C360" t="str">
        <x:f>LEFT(Plan_Raw!B360,10)</x:f>
        <x:v>2024-07-01</x:v>
      </x:c>
      <x:c r="D360" t="str">
        <x:f>Plan_Raw!F360</x:f>
        <x:v>COMMN</x:v>
      </x:c>
      <x:c r="E360" t="str">
        <x:f>Plan_Raw!E360</x:f>
        <x:v>Customer Service Representative</x:v>
      </x:c>
      <x:c r="F360" t="str">
        <x:f>Plan_Raw!C360</x:f>
        <x:v>1304Z</x:v>
      </x:c>
      <x:c r="G360" s="50" t="n">
        <x:f>IF(Plan_Raw!G360="","",IFERROR(VALUE(Plan_Raw!G360),""))</x:f>
        <x:v>40.925</x:v>
      </x:c>
      <x:c r="H360" t="str">
        <x:f>Plan_Raw!AH360</x:f>
        <x:v>1304|COMMN|2024-07-01</x:v>
      </x:c>
      <x:c r="I360" t="n">
        <x:f>COUNTIF(Rates_Raw!$AF$5:$AF$464,H360)</x:f>
        <x:v>1</x:v>
      </x:c>
      <x:c r="J360" t="str">
        <x:f>IF(I360=1,_xlfn.XLOOKUP(H360,Rates_Raw!$AF$5:$AF$464,Rates_Raw!$E$5:$E$464,""),"")</x:f>
        <x:v>Customer Service Representative</x:v>
      </x:c>
      <x:c r="K360" t="n">
        <x:f>IF(I360=1,_xlfn.XLOOKUP(H360,Rates_Raw!$AF$5:$AF$464,Rates_Raw!$F$5:$F$464,""),"")</x:f>
        <x:v>790</x:v>
      </x:c>
      <x:c r="L360" s="50" t="n">
        <x:f>IF(I360=1,IFERROR(VALUE(SUBSTITUTE(_xlfn.XLOOKUP(H360,Rates_Raw!$AF$5:$AF$464,Rates_Raw!$L$5:$L$464,""),"$","")),""),"")</x:f>
        <x:v>40.925</x:v>
      </x:c>
      <x:c r="M360" s="50" t="n">
        <x:f>IF(OR(G360="",L360=""),"",ROUND(G360-L360,4))</x:f>
        <x:v>0</x:v>
      </x:c>
      <x:c r="N360" t="str">
        <x:f>IF(I360=0,"NO MATCH",IF(I360&gt;1,"AMBIGUOUS",IF(EXACT(TRIM(E360),TRIM(J360)),"EXACT","TITLE VARIANT")))</x:f>
        <x:v>EXACT</x:v>
      </x:c>
      <x:c r="O360" t="str">
        <x:f>IF(I360&lt;&gt;1,"NOT TESTED",IF(OR(G360="",L360=""),"MISSING",IF(ABS(M360)&lt;=Guide!$B$16,"PASS","REVIEW")))</x:f>
        <x:v>PASS</x:v>
      </x:c>
      <x:c r="P360" s="52" t="n">
        <x:f>IF(I360=1,IFERROR(VALUE(SUBSTITUTE(SUBSTITUTE(_xlfn.XLOOKUP(H360,Rates_Raw!$AF$5:$AF$464,Rates_Raw!$I$5:$I$464,""),"$",""),",","")),""),"")</x:f>
        <x:v>3274</x:v>
      </x:c>
      <x:c r="Q360" s="52" t="n">
        <x:f>IF(P360="","",P360*Guide!$B$15)</x:f>
        <x:v>85124</x:v>
      </x:c>
      <x:c r="R360" t="str">
        <x:f>IF(I360=0,"UNMATCHED",IF(I360&gt;1,"DUPLICATE KEY",IF(OR(N360="TITLE VARIANT",O360="REVIEW",O360="MISSING"),"REVIEW","VERIFIED")))</x:f>
        <x:v>VERIFIED</x:v>
      </x:c>
      <x:c r="S360" s="46" t="str">
        <x:v>Not Reviewed</x:v>
      </x:c>
      <x:c r="T360" s="48"/>
    </x:row>
    <x:row r="361">
      <x:c r="A361" t="n">
        <x:f>Plan_Raw!A361</x:f>
        <x:v>1773</x:v>
      </x:c>
      <x:c r="B361" t="str">
        <x:f>Plan_Raw!D361</x:f>
        <x:v>1304</x:v>
      </x:c>
      <x:c r="C361" t="str">
        <x:f>LEFT(Plan_Raw!B361,10)</x:f>
        <x:v>2025-01-04</x:v>
      </x:c>
      <x:c r="D361" t="str">
        <x:f>Plan_Raw!F361</x:f>
        <x:v>COMMN</x:v>
      </x:c>
      <x:c r="E361" t="str">
        <x:f>Plan_Raw!E361</x:f>
        <x:v>Customer Service Representative</x:v>
      </x:c>
      <x:c r="F361" t="str">
        <x:f>Plan_Raw!C361</x:f>
        <x:v>1304A</x:v>
      </x:c>
      <x:c r="G361" s="50" t="n">
        <x:f>IF(Plan_Raw!G361="","",IFERROR(VALUE(Plan_Raw!G361),""))</x:f>
        <x:v>41.5375</x:v>
      </x:c>
      <x:c r="H361" t="str">
        <x:f>Plan_Raw!AH361</x:f>
        <x:v>1304|COMMN|2025-01-04</x:v>
      </x:c>
      <x:c r="I361" t="n">
        <x:f>COUNTIF(Rates_Raw!$AF$5:$AF$464,H361)</x:f>
        <x:v>1</x:v>
      </x:c>
      <x:c r="J361" t="str">
        <x:f>IF(I361=1,_xlfn.XLOOKUP(H361,Rates_Raw!$AF$5:$AF$464,Rates_Raw!$E$5:$E$464,""),"")</x:f>
        <x:v>Customer Service Representative</x:v>
      </x:c>
      <x:c r="K361" t="n">
        <x:f>IF(I361=1,_xlfn.XLOOKUP(H361,Rates_Raw!$AF$5:$AF$464,Rates_Raw!$F$5:$F$464,""),"")</x:f>
        <x:v>790</x:v>
      </x:c>
      <x:c r="L361" s="50" t="n">
        <x:f>IF(I361=1,IFERROR(VALUE(SUBSTITUTE(_xlfn.XLOOKUP(H361,Rates_Raw!$AF$5:$AF$464,Rates_Raw!$L$5:$L$464,""),"$","")),""),"")</x:f>
        <x:v>41.5375</x:v>
      </x:c>
      <x:c r="M361" s="50" t="n">
        <x:f>IF(OR(G361="",L361=""),"",ROUND(G361-L361,4))</x:f>
        <x:v>0</x:v>
      </x:c>
      <x:c r="N361" t="str">
        <x:f>IF(I361=0,"NO MATCH",IF(I361&gt;1,"AMBIGUOUS",IF(EXACT(TRIM(E361),TRIM(J361)),"EXACT","TITLE VARIANT")))</x:f>
        <x:v>EXACT</x:v>
      </x:c>
      <x:c r="O361" t="str">
        <x:f>IF(I361&lt;&gt;1,"NOT TESTED",IF(OR(G361="",L361=""),"MISSING",IF(ABS(M361)&lt;=Guide!$B$16,"PASS","REVIEW")))</x:f>
        <x:v>PASS</x:v>
      </x:c>
      <x:c r="P361" s="52" t="n">
        <x:f>IF(I361=1,IFERROR(VALUE(SUBSTITUTE(SUBSTITUTE(_xlfn.XLOOKUP(H361,Rates_Raw!$AF$5:$AF$464,Rates_Raw!$I$5:$I$464,""),"$",""),",","")),""),"")</x:f>
        <x:v>3323</x:v>
      </x:c>
      <x:c r="Q361" s="52" t="n">
        <x:f>IF(P361="","",P361*Guide!$B$15)</x:f>
        <x:v>86398</x:v>
      </x:c>
      <x:c r="R361" t="str">
        <x:f>IF(I361=0,"UNMATCHED",IF(I361&gt;1,"DUPLICATE KEY",IF(OR(N361="TITLE VARIANT",O361="REVIEW",O361="MISSING"),"REVIEW","VERIFIED")))</x:f>
        <x:v>VERIFIED</x:v>
      </x:c>
      <x:c r="S361" s="46" t="str">
        <x:v>Not Reviewed</x:v>
      </x:c>
      <x:c r="T361" s="48"/>
    </x:row>
    <x:row r="362">
      <x:c r="A362" t="n">
        <x:f>Plan_Raw!A362</x:f>
        <x:v>1774</x:v>
      </x:c>
      <x:c r="B362" t="str">
        <x:f>Plan_Raw!D362</x:f>
        <x:v>1304</x:v>
      </x:c>
      <x:c r="C362" t="str">
        <x:f>LEFT(Plan_Raw!B362,10)</x:f>
        <x:v>2025-07-01</x:v>
      </x:c>
      <x:c r="D362" t="str">
        <x:f>Plan_Raw!F362</x:f>
        <x:v>COMMN</x:v>
      </x:c>
      <x:c r="E362" t="str">
        <x:f>Plan_Raw!E362</x:f>
        <x:v>Customer Service Rep</x:v>
      </x:c>
      <x:c r="F362" t="str">
        <x:f>Plan_Raw!C362</x:f>
        <x:v>1304B</x:v>
      </x:c>
      <x:c r="G362" s="50" t="n">
        <x:f>IF(Plan_Raw!G362="","",IFERROR(VALUE(Plan_Raw!G362),""))</x:f>
        <x:v>42.375</x:v>
      </x:c>
      <x:c r="H362" t="str">
        <x:f>Plan_Raw!AH362</x:f>
        <x:v>1304|COMMN|2025-07-01</x:v>
      </x:c>
      <x:c r="I362" t="n">
        <x:f>COUNTIF(Rates_Raw!$AF$5:$AF$464,H362)</x:f>
        <x:v>1</x:v>
      </x:c>
      <x:c r="J362" t="str">
        <x:f>IF(I362=1,_xlfn.XLOOKUP(H362,Rates_Raw!$AF$5:$AF$464,Rates_Raw!$E$5:$E$464,""),"")</x:f>
        <x:v>Customer Service Rep</x:v>
      </x:c>
      <x:c r="K362" t="n">
        <x:f>IF(I362=1,_xlfn.XLOOKUP(H362,Rates_Raw!$AF$5:$AF$464,Rates_Raw!$F$5:$F$464,""),"")</x:f>
        <x:v>790</x:v>
      </x:c>
      <x:c r="L362" s="50" t="n">
        <x:f>IF(I362=1,IFERROR(VALUE(SUBSTITUTE(_xlfn.XLOOKUP(H362,Rates_Raw!$AF$5:$AF$464,Rates_Raw!$L$5:$L$464,""),"$","")),""),"")</x:f>
        <x:v>42.375</x:v>
      </x:c>
      <x:c r="M362" s="50" t="n">
        <x:f>IF(OR(G362="",L362=""),"",ROUND(G362-L362,4))</x:f>
        <x:v>0</x:v>
      </x:c>
      <x:c r="N362" t="str">
        <x:f>IF(I362=0,"NO MATCH",IF(I362&gt;1,"AMBIGUOUS",IF(EXACT(TRIM(E362),TRIM(J362)),"EXACT","TITLE VARIANT")))</x:f>
        <x:v>EXACT</x:v>
      </x:c>
      <x:c r="O362" t="str">
        <x:f>IF(I362&lt;&gt;1,"NOT TESTED",IF(OR(G362="",L362=""),"MISSING",IF(ABS(M362)&lt;=Guide!$B$16,"PASS","REVIEW")))</x:f>
        <x:v>PASS</x:v>
      </x:c>
      <x:c r="P362" s="52" t="n">
        <x:f>IF(I362=1,IFERROR(VALUE(SUBSTITUTE(SUBSTITUTE(_xlfn.XLOOKUP(H362,Rates_Raw!$AF$5:$AF$464,Rates_Raw!$I$5:$I$464,""),"$",""),",","")),""),"")</x:f>
        <x:v>3390</x:v>
      </x:c>
      <x:c r="Q362" s="52" t="n">
        <x:f>IF(P362="","",P362*Guide!$B$15)</x:f>
        <x:v>88140</x:v>
      </x:c>
      <x:c r="R362" t="str">
        <x:f>IF(I362=0,"UNMATCHED",IF(I362&gt;1,"DUPLICATE KEY",IF(OR(N362="TITLE VARIANT",O362="REVIEW",O362="MISSING"),"REVIEW","VERIFIED")))</x:f>
        <x:v>VERIFIED</x:v>
      </x:c>
      <x:c r="S362" s="46" t="str">
        <x:v>Not Reviewed</x:v>
      </x:c>
      <x:c r="T362" s="48"/>
    </x:row>
    <x:row r="363">
      <x:c r="A363" t="n">
        <x:f>Plan_Raw!A363</x:f>
        <x:v>1775</x:v>
      </x:c>
      <x:c r="B363" t="str">
        <x:f>Plan_Raw!D363</x:f>
        <x:v>1304</x:v>
      </x:c>
      <x:c r="C363" t="str">
        <x:f>LEFT(Plan_Raw!B363,10)</x:f>
        <x:v>2026-01-03</x:v>
      </x:c>
      <x:c r="D363" t="str">
        <x:f>Plan_Raw!F363</x:f>
        <x:v>COMMN</x:v>
      </x:c>
      <x:c r="E363" t="str">
        <x:f>Plan_Raw!E363</x:f>
        <x:v>Customer Service Rep</x:v>
      </x:c>
      <x:c r="F363" t="str">
        <x:f>Plan_Raw!C363</x:f>
        <x:v>1304C</x:v>
      </x:c>
      <x:c r="G363" s="50" t="n">
        <x:f>IF(Plan_Raw!G363="","",IFERROR(VALUE(Plan_Raw!G363),""))</x:f>
        <x:v>43.0125</x:v>
      </x:c>
      <x:c r="H363" t="str">
        <x:f>Plan_Raw!AH363</x:f>
        <x:v>1304|COMMN|2026-01-03</x:v>
      </x:c>
      <x:c r="I363" t="n">
        <x:f>COUNTIF(Rates_Raw!$AF$5:$AF$464,H363)</x:f>
        <x:v>1</x:v>
      </x:c>
      <x:c r="J363" t="str">
        <x:f>IF(I363=1,_xlfn.XLOOKUP(H363,Rates_Raw!$AF$5:$AF$464,Rates_Raw!$E$5:$E$464,""),"")</x:f>
        <x:v>Customer Service Rep</x:v>
      </x:c>
      <x:c r="K363" t="n">
        <x:f>IF(I363=1,_xlfn.XLOOKUP(H363,Rates_Raw!$AF$5:$AF$464,Rates_Raw!$F$5:$F$464,""),"")</x:f>
        <x:v>790</x:v>
      </x:c>
      <x:c r="L363" s="50" t="n">
        <x:f>IF(I363=1,IFERROR(VALUE(SUBSTITUTE(_xlfn.XLOOKUP(H363,Rates_Raw!$AF$5:$AF$464,Rates_Raw!$L$5:$L$464,""),"$","")),""),"")</x:f>
        <x:v>43.0125</x:v>
      </x:c>
      <x:c r="M363" s="50" t="n">
        <x:f>IF(OR(G363="",L363=""),"",ROUND(G363-L363,4))</x:f>
        <x:v>0</x:v>
      </x:c>
      <x:c r="N363" t="str">
        <x:f>IF(I363=0,"NO MATCH",IF(I363&gt;1,"AMBIGUOUS",IF(EXACT(TRIM(E363),TRIM(J363)),"EXACT","TITLE VARIANT")))</x:f>
        <x:v>EXACT</x:v>
      </x:c>
      <x:c r="O363" t="str">
        <x:f>IF(I363&lt;&gt;1,"NOT TESTED",IF(OR(G363="",L363=""),"MISSING",IF(ABS(M363)&lt;=Guide!$B$16,"PASS","REVIEW")))</x:f>
        <x:v>PASS</x:v>
      </x:c>
      <x:c r="P363" s="52" t="n">
        <x:f>IF(I363=1,IFERROR(VALUE(SUBSTITUTE(SUBSTITUTE(_xlfn.XLOOKUP(H363,Rates_Raw!$AF$5:$AF$464,Rates_Raw!$I$5:$I$464,""),"$",""),",","")),""),"")</x:f>
        <x:v>3441</x:v>
      </x:c>
      <x:c r="Q363" s="52" t="n">
        <x:f>IF(P363="","",P363*Guide!$B$15)</x:f>
        <x:v>89466</x:v>
      </x:c>
      <x:c r="R363" t="str">
        <x:f>IF(I363=0,"UNMATCHED",IF(I363&gt;1,"DUPLICATE KEY",IF(OR(N363="TITLE VARIANT",O363="REVIEW",O363="MISSING"),"REVIEW","VERIFIED")))</x:f>
        <x:v>VERIFIED</x:v>
      </x:c>
      <x:c r="S363" s="46" t="str">
        <x:v>Not Reviewed</x:v>
      </x:c>
      <x:c r="T363" s="48"/>
    </x:row>
    <x:row r="364">
      <x:c r="A364" t="n">
        <x:f>Plan_Raw!A364</x:f>
        <x:v>1776</x:v>
      </x:c>
      <x:c r="B364" t="str">
        <x:f>Plan_Raw!D364</x:f>
        <x:v>1304</x:v>
      </x:c>
      <x:c r="C364" t="str">
        <x:f>LEFT(Plan_Raw!B364,10)</x:f>
        <x:v>2026-07-01</x:v>
      </x:c>
      <x:c r="D364" t="str">
        <x:f>Plan_Raw!F364</x:f>
        <x:v>COMMN</x:v>
      </x:c>
      <x:c r="E364" t="str">
        <x:f>Plan_Raw!E364</x:f>
        <x:v>Customer Service Rep</x:v>
      </x:c>
      <x:c r="F364" t="str">
        <x:f>Plan_Raw!C364</x:f>
        <x:v>1304D</x:v>
      </x:c>
      <x:c r="G364" s="50" t="n">
        <x:f>IF(Plan_Raw!G364="","",IFERROR(VALUE(Plan_Raw!G364),""))</x:f>
        <x:v>43.875</x:v>
      </x:c>
      <x:c r="H364" t="str">
        <x:f>Plan_Raw!AH364</x:f>
        <x:v>1304|COMMN|2026-07-01</x:v>
      </x:c>
      <x:c r="I364" t="n">
        <x:f>COUNTIF(Rates_Raw!$AF$5:$AF$464,H364)</x:f>
        <x:v>0</x:v>
      </x:c>
      <x:c r="J364" t="str">
        <x:f>IF(I364=1,_xlfn.XLOOKUP(H364,Rates_Raw!$AF$5:$AF$464,Rates_Raw!$E$5:$E$464,""),"")</x:f>
      </x:c>
      <x:c r="K364" t="str">
        <x:f>IF(I364=1,_xlfn.XLOOKUP(H364,Rates_Raw!$AF$5:$AF$464,Rates_Raw!$F$5:$F$464,""),"")</x:f>
      </x:c>
      <x:c r="L364" s="50" t="str">
        <x:f>IF(I364=1,IFERROR(VALUE(SUBSTITUTE(_xlfn.XLOOKUP(H364,Rates_Raw!$AF$5:$AF$464,Rates_Raw!$L$5:$L$464,""),"$","")),""),"")</x:f>
      </x:c>
      <x:c r="M364" s="50" t="str">
        <x:f>IF(OR(G364="",L364=""),"",ROUND(G364-L364,4))</x:f>
      </x:c>
      <x:c r="N364" t="str">
        <x:f>IF(I364=0,"NO MATCH",IF(I364&gt;1,"AMBIGUOUS",IF(EXACT(TRIM(E364),TRIM(J364)),"EXACT","TITLE VARIANT")))</x:f>
        <x:v>NO MATCH</x:v>
      </x:c>
      <x:c r="O364" t="str">
        <x:f>IF(I364&lt;&gt;1,"NOT TESTED",IF(OR(G364="",L364=""),"MISSING",IF(ABS(M364)&lt;=Guide!$B$16,"PASS","REVIEW")))</x:f>
        <x:v>NOT TESTED</x:v>
      </x:c>
      <x:c r="P364" s="52" t="str">
        <x:f>IF(I364=1,IFERROR(VALUE(SUBSTITUTE(SUBSTITUTE(_xlfn.XLOOKUP(H364,Rates_Raw!$AF$5:$AF$464,Rates_Raw!$I$5:$I$464,""),"$",""),",","")),""),"")</x:f>
      </x:c>
      <x:c r="Q364" s="52" t="str">
        <x:f>IF(P364="","",P364*Guide!$B$15)</x:f>
      </x:c>
      <x:c r="R364" t="str">
        <x:f>IF(I364=0,"UNMATCHED",IF(I364&gt;1,"DUPLICATE KEY",IF(OR(N364="TITLE VARIANT",O364="REVIEW",O364="MISSING"),"REVIEW","VERIFIED")))</x:f>
        <x:v>UNMATCHED</x:v>
      </x:c>
      <x:c r="S364" s="46" t="str">
        <x:v>Not Reviewed</x:v>
      </x:c>
      <x:c r="T364" s="48"/>
    </x:row>
    <x:row r="365">
      <x:c r="A365" t="n">
        <x:f>Plan_Raw!A365</x:f>
        <x:v>1783</x:v>
      </x:c>
      <x:c r="B365" t="str">
        <x:f>Plan_Raw!D365</x:f>
        <x:v>1306</x:v>
      </x:c>
      <x:c r="C365" t="str">
        <x:f>LEFT(Plan_Raw!B365,10)</x:f>
        <x:v>2024-01-06</x:v>
      </x:c>
      <x:c r="D365" t="str">
        <x:f>Plan_Raw!F365</x:f>
        <x:v>COMMN</x:v>
      </x:c>
      <x:c r="E365" t="str">
        <x:f>Plan_Raw!E365</x:f>
        <x:v>Customer Service Representative Supervisor</x:v>
      </x:c>
      <x:c r="F365" t="str">
        <x:f>Plan_Raw!C365</x:f>
        <x:v>1306Y</x:v>
      </x:c>
      <x:c r="G365" s="50" t="n">
        <x:f>IF(Plan_Raw!G365="","",IFERROR(VALUE(Plan_Raw!G365),""))</x:f>
        <x:v>45.6625</x:v>
      </x:c>
      <x:c r="H365" t="str">
        <x:f>Plan_Raw!AH365</x:f>
        <x:v>1306|COMMN|2024-01-06</x:v>
      </x:c>
      <x:c r="I365" t="n">
        <x:f>COUNTIF(Rates_Raw!$AF$5:$AF$464,H365)</x:f>
        <x:v>1</x:v>
      </x:c>
      <x:c r="J365" t="str">
        <x:f>IF(I365=1,_xlfn.XLOOKUP(H365,Rates_Raw!$AF$5:$AF$464,Rates_Raw!$E$5:$E$464,""),"")</x:f>
        <x:v>Customer Service Representative Supervisor</x:v>
      </x:c>
      <x:c r="K365" t="n">
        <x:f>IF(I365=1,_xlfn.XLOOKUP(H365,Rates_Raw!$AF$5:$AF$464,Rates_Raw!$F$5:$F$464,""),"")</x:f>
        <x:v>790</x:v>
      </x:c>
      <x:c r="L365" s="50" t="n">
        <x:f>IF(I365=1,IFERROR(VALUE(SUBSTITUTE(_xlfn.XLOOKUP(H365,Rates_Raw!$AF$5:$AF$464,Rates_Raw!$L$5:$L$464,""),"$","")),""),"")</x:f>
        <x:v>45.6625</x:v>
      </x:c>
      <x:c r="M365" s="50" t="n">
        <x:f>IF(OR(G365="",L365=""),"",ROUND(G365-L365,4))</x:f>
        <x:v>0</x:v>
      </x:c>
      <x:c r="N365" t="str">
        <x:f>IF(I365=0,"NO MATCH",IF(I365&gt;1,"AMBIGUOUS",IF(EXACT(TRIM(E365),TRIM(J365)),"EXACT","TITLE VARIANT")))</x:f>
        <x:v>EXACT</x:v>
      </x:c>
      <x:c r="O365" t="str">
        <x:f>IF(I365&lt;&gt;1,"NOT TESTED",IF(OR(G365="",L365=""),"MISSING",IF(ABS(M365)&lt;=Guide!$B$16,"PASS","REVIEW")))</x:f>
        <x:v>PASS</x:v>
      </x:c>
      <x:c r="P365" s="52" t="n">
        <x:f>IF(I365=1,IFERROR(VALUE(SUBSTITUTE(SUBSTITUTE(_xlfn.XLOOKUP(H365,Rates_Raw!$AF$5:$AF$464,Rates_Raw!$I$5:$I$464,""),"$",""),",","")),""),"")</x:f>
        <x:v>3653</x:v>
      </x:c>
      <x:c r="Q365" s="52" t="n">
        <x:f>IF(P365="","",P365*Guide!$B$15)</x:f>
        <x:v>94978</x:v>
      </x:c>
      <x:c r="R365" t="str">
        <x:f>IF(I365=0,"UNMATCHED",IF(I365&gt;1,"DUPLICATE KEY",IF(OR(N365="TITLE VARIANT",O365="REVIEW",O365="MISSING"),"REVIEW","VERIFIED")))</x:f>
        <x:v>VERIFIED</x:v>
      </x:c>
      <x:c r="S365" s="46" t="str">
        <x:v>Not Reviewed</x:v>
      </x:c>
      <x:c r="T365" s="48"/>
    </x:row>
    <x:row r="366">
      <x:c r="A366" t="n">
        <x:f>Plan_Raw!A366</x:f>
        <x:v>1784</x:v>
      </x:c>
      <x:c r="B366" t="str">
        <x:f>Plan_Raw!D366</x:f>
        <x:v>1306</x:v>
      </x:c>
      <x:c r="C366" t="str">
        <x:f>LEFT(Plan_Raw!B366,10)</x:f>
        <x:v>2024-07-01</x:v>
      </x:c>
      <x:c r="D366" t="str">
        <x:f>Plan_Raw!F366</x:f>
        <x:v>COMMN</x:v>
      </x:c>
      <x:c r="E366" t="str">
        <x:f>Plan_Raw!E366</x:f>
        <x:v>Customer Service Representative Supervisor</x:v>
      </x:c>
      <x:c r="F366" t="str">
        <x:f>Plan_Raw!C366</x:f>
        <x:v>1306Z</x:v>
      </x:c>
      <x:c r="G366" s="50" t="n">
        <x:f>IF(Plan_Raw!G366="","",IFERROR(VALUE(Plan_Raw!G366),""))</x:f>
        <x:v>46.35</x:v>
      </x:c>
      <x:c r="H366" t="str">
        <x:f>Plan_Raw!AH366</x:f>
        <x:v>1306|COMMN|2024-07-01</x:v>
      </x:c>
      <x:c r="I366" t="n">
        <x:f>COUNTIF(Rates_Raw!$AF$5:$AF$464,H366)</x:f>
        <x:v>1</x:v>
      </x:c>
      <x:c r="J366" t="str">
        <x:f>IF(I366=1,_xlfn.XLOOKUP(H366,Rates_Raw!$AF$5:$AF$464,Rates_Raw!$E$5:$E$464,""),"")</x:f>
        <x:v>Customer Service Representative Supervisor</x:v>
      </x:c>
      <x:c r="K366" t="n">
        <x:f>IF(I366=1,_xlfn.XLOOKUP(H366,Rates_Raw!$AF$5:$AF$464,Rates_Raw!$F$5:$F$464,""),"")</x:f>
        <x:v>790</x:v>
      </x:c>
      <x:c r="L366" s="50" t="n">
        <x:f>IF(I366=1,IFERROR(VALUE(SUBSTITUTE(_xlfn.XLOOKUP(H366,Rates_Raw!$AF$5:$AF$464,Rates_Raw!$L$5:$L$464,""),"$","")),""),"")</x:f>
        <x:v>46.35</x:v>
      </x:c>
      <x:c r="M366" s="50" t="n">
        <x:f>IF(OR(G366="",L366=""),"",ROUND(G366-L366,4))</x:f>
        <x:v>0</x:v>
      </x:c>
      <x:c r="N366" t="str">
        <x:f>IF(I366=0,"NO MATCH",IF(I366&gt;1,"AMBIGUOUS",IF(EXACT(TRIM(E366),TRIM(J366)),"EXACT","TITLE VARIANT")))</x:f>
        <x:v>EXACT</x:v>
      </x:c>
      <x:c r="O366" t="str">
        <x:f>IF(I366&lt;&gt;1,"NOT TESTED",IF(OR(G366="",L366=""),"MISSING",IF(ABS(M366)&lt;=Guide!$B$16,"PASS","REVIEW")))</x:f>
        <x:v>PASS</x:v>
      </x:c>
      <x:c r="P366" s="52" t="n">
        <x:f>IF(I366=1,IFERROR(VALUE(SUBSTITUTE(SUBSTITUTE(_xlfn.XLOOKUP(H366,Rates_Raw!$AF$5:$AF$464,Rates_Raw!$I$5:$I$464,""),"$",""),",","")),""),"")</x:f>
        <x:v>3708</x:v>
      </x:c>
      <x:c r="Q366" s="52" t="n">
        <x:f>IF(P366="","",P366*Guide!$B$15)</x:f>
        <x:v>96408</x:v>
      </x:c>
      <x:c r="R366" t="str">
        <x:f>IF(I366=0,"UNMATCHED",IF(I366&gt;1,"DUPLICATE KEY",IF(OR(N366="TITLE VARIANT",O366="REVIEW",O366="MISSING"),"REVIEW","VERIFIED")))</x:f>
        <x:v>VERIFIED</x:v>
      </x:c>
      <x:c r="S366" s="46" t="str">
        <x:v>Not Reviewed</x:v>
      </x:c>
      <x:c r="T366" s="48"/>
    </x:row>
    <x:row r="367">
      <x:c r="A367" t="n">
        <x:f>Plan_Raw!A367</x:f>
        <x:v>1785</x:v>
      </x:c>
      <x:c r="B367" t="str">
        <x:f>Plan_Raw!D367</x:f>
        <x:v>1306</x:v>
      </x:c>
      <x:c r="C367" t="str">
        <x:f>LEFT(Plan_Raw!B367,10)</x:f>
        <x:v>2025-01-04</x:v>
      </x:c>
      <x:c r="D367" t="str">
        <x:f>Plan_Raw!F367</x:f>
        <x:v>COMMN</x:v>
      </x:c>
      <x:c r="E367" t="str">
        <x:f>Plan_Raw!E367</x:f>
        <x:v>Customer Service Representative Supervisor</x:v>
      </x:c>
      <x:c r="F367" t="str">
        <x:f>Plan_Raw!C367</x:f>
        <x:v>1306A</x:v>
      </x:c>
      <x:c r="G367" s="50" t="n">
        <x:f>IF(Plan_Raw!G367="","",IFERROR(VALUE(Plan_Raw!G367),""))</x:f>
        <x:v>47.05</x:v>
      </x:c>
      <x:c r="H367" t="str">
        <x:f>Plan_Raw!AH367</x:f>
        <x:v>1306|COMMN|2025-01-04</x:v>
      </x:c>
      <x:c r="I367" t="n">
        <x:f>COUNTIF(Rates_Raw!$AF$5:$AF$464,H367)</x:f>
        <x:v>1</x:v>
      </x:c>
      <x:c r="J367" t="str">
        <x:f>IF(I367=1,_xlfn.XLOOKUP(H367,Rates_Raw!$AF$5:$AF$464,Rates_Raw!$E$5:$E$464,""),"")</x:f>
        <x:v>Customer Service Representative Supervisor</x:v>
      </x:c>
      <x:c r="K367" t="n">
        <x:f>IF(I367=1,_xlfn.XLOOKUP(H367,Rates_Raw!$AF$5:$AF$464,Rates_Raw!$F$5:$F$464,""),"")</x:f>
        <x:v>790</x:v>
      </x:c>
      <x:c r="L367" s="50" t="n">
        <x:f>IF(I367=1,IFERROR(VALUE(SUBSTITUTE(_xlfn.XLOOKUP(H367,Rates_Raw!$AF$5:$AF$464,Rates_Raw!$L$5:$L$464,""),"$","")),""),"")</x:f>
        <x:v>47.05</x:v>
      </x:c>
      <x:c r="M367" s="50" t="n">
        <x:f>IF(OR(G367="",L367=""),"",ROUND(G367-L367,4))</x:f>
        <x:v>0</x:v>
      </x:c>
      <x:c r="N367" t="str">
        <x:f>IF(I367=0,"NO MATCH",IF(I367&gt;1,"AMBIGUOUS",IF(EXACT(TRIM(E367),TRIM(J367)),"EXACT","TITLE VARIANT")))</x:f>
        <x:v>EXACT</x:v>
      </x:c>
      <x:c r="O367" t="str">
        <x:f>IF(I367&lt;&gt;1,"NOT TESTED",IF(OR(G367="",L367=""),"MISSING",IF(ABS(M367)&lt;=Guide!$B$16,"PASS","REVIEW")))</x:f>
        <x:v>PASS</x:v>
      </x:c>
      <x:c r="P367" s="52" t="n">
        <x:f>IF(I367=1,IFERROR(VALUE(SUBSTITUTE(SUBSTITUTE(_xlfn.XLOOKUP(H367,Rates_Raw!$AF$5:$AF$464,Rates_Raw!$I$5:$I$464,""),"$",""),",","")),""),"")</x:f>
        <x:v>3764</x:v>
      </x:c>
      <x:c r="Q367" s="52" t="n">
        <x:f>IF(P367="","",P367*Guide!$B$15)</x:f>
        <x:v>97864</x:v>
      </x:c>
      <x:c r="R367" t="str">
        <x:f>IF(I367=0,"UNMATCHED",IF(I367&gt;1,"DUPLICATE KEY",IF(OR(N367="TITLE VARIANT",O367="REVIEW",O367="MISSING"),"REVIEW","VERIFIED")))</x:f>
        <x:v>VERIFIED</x:v>
      </x:c>
      <x:c r="S367" s="46" t="str">
        <x:v>Not Reviewed</x:v>
      </x:c>
      <x:c r="T367" s="48"/>
    </x:row>
    <x:row r="368">
      <x:c r="A368" t="n">
        <x:f>Plan_Raw!A368</x:f>
        <x:v>1786</x:v>
      </x:c>
      <x:c r="B368" t="str">
        <x:f>Plan_Raw!D368</x:f>
        <x:v>1306</x:v>
      </x:c>
      <x:c r="C368" t="str">
        <x:f>LEFT(Plan_Raw!B368,10)</x:f>
        <x:v>2025-07-01</x:v>
      </x:c>
      <x:c r="D368" t="str">
        <x:f>Plan_Raw!F368</x:f>
        <x:v>COMMN</x:v>
      </x:c>
      <x:c r="E368" t="str">
        <x:f>Plan_Raw!E368</x:f>
        <x:v>Customer Service Rep Spv</x:v>
      </x:c>
      <x:c r="F368" t="str">
        <x:f>Plan_Raw!C368</x:f>
        <x:v>1306B</x:v>
      </x:c>
      <x:c r="G368" s="50" t="n">
        <x:f>IF(Plan_Raw!G368="","",IFERROR(VALUE(Plan_Raw!G368),""))</x:f>
        <x:v>48</x:v>
      </x:c>
      <x:c r="H368" t="str">
        <x:f>Plan_Raw!AH368</x:f>
        <x:v>1306|COMMN|2025-07-01</x:v>
      </x:c>
      <x:c r="I368" t="n">
        <x:f>COUNTIF(Rates_Raw!$AF$5:$AF$464,H368)</x:f>
        <x:v>1</x:v>
      </x:c>
      <x:c r="J368" t="str">
        <x:f>IF(I368=1,_xlfn.XLOOKUP(H368,Rates_Raw!$AF$5:$AF$464,Rates_Raw!$E$5:$E$464,""),"")</x:f>
        <x:v>Customer Service Rep Spv</x:v>
      </x:c>
      <x:c r="K368" t="n">
        <x:f>IF(I368=1,_xlfn.XLOOKUP(H368,Rates_Raw!$AF$5:$AF$464,Rates_Raw!$F$5:$F$464,""),"")</x:f>
        <x:v>790</x:v>
      </x:c>
      <x:c r="L368" s="50" t="n">
        <x:f>IF(I368=1,IFERROR(VALUE(SUBSTITUTE(_xlfn.XLOOKUP(H368,Rates_Raw!$AF$5:$AF$464,Rates_Raw!$L$5:$L$464,""),"$","")),""),"")</x:f>
        <x:v>48</x:v>
      </x:c>
      <x:c r="M368" s="50" t="n">
        <x:f>IF(OR(G368="",L368=""),"",ROUND(G368-L368,4))</x:f>
        <x:v>0</x:v>
      </x:c>
      <x:c r="N368" t="str">
        <x:f>IF(I368=0,"NO MATCH",IF(I368&gt;1,"AMBIGUOUS",IF(EXACT(TRIM(E368),TRIM(J368)),"EXACT","TITLE VARIANT")))</x:f>
        <x:v>EXACT</x:v>
      </x:c>
      <x:c r="O368" t="str">
        <x:f>IF(I368&lt;&gt;1,"NOT TESTED",IF(OR(G368="",L368=""),"MISSING",IF(ABS(M368)&lt;=Guide!$B$16,"PASS","REVIEW")))</x:f>
        <x:v>PASS</x:v>
      </x:c>
      <x:c r="P368" s="52" t="n">
        <x:f>IF(I368=1,IFERROR(VALUE(SUBSTITUTE(SUBSTITUTE(_xlfn.XLOOKUP(H368,Rates_Raw!$AF$5:$AF$464,Rates_Raw!$I$5:$I$464,""),"$",""),",","")),""),"")</x:f>
        <x:v>3840</x:v>
      </x:c>
      <x:c r="Q368" s="52" t="n">
        <x:f>IF(P368="","",P368*Guide!$B$15)</x:f>
        <x:v>99840</x:v>
      </x:c>
      <x:c r="R368" t="str">
        <x:f>IF(I368=0,"UNMATCHED",IF(I368&gt;1,"DUPLICATE KEY",IF(OR(N368="TITLE VARIANT",O368="REVIEW",O368="MISSING"),"REVIEW","VERIFIED")))</x:f>
        <x:v>VERIFIED</x:v>
      </x:c>
      <x:c r="S368" s="46" t="str">
        <x:v>Not Reviewed</x:v>
      </x:c>
      <x:c r="T368" s="48"/>
    </x:row>
    <x:row r="369">
      <x:c r="A369" t="n">
        <x:f>Plan_Raw!A369</x:f>
        <x:v>1787</x:v>
      </x:c>
      <x:c r="B369" t="str">
        <x:f>Plan_Raw!D369</x:f>
        <x:v>1306</x:v>
      </x:c>
      <x:c r="C369" t="str">
        <x:f>LEFT(Plan_Raw!B369,10)</x:f>
        <x:v>2026-01-03</x:v>
      </x:c>
      <x:c r="D369" t="str">
        <x:f>Plan_Raw!F369</x:f>
        <x:v>COMMN</x:v>
      </x:c>
      <x:c r="E369" t="str">
        <x:f>Plan_Raw!E369</x:f>
        <x:v>Customer Service Rep Spv</x:v>
      </x:c>
      <x:c r="F369" t="str">
        <x:f>Plan_Raw!C369</x:f>
        <x:v>1306C</x:v>
      </x:c>
      <x:c r="G369" s="50" t="n">
        <x:f>IF(Plan_Raw!G369="","",IFERROR(VALUE(Plan_Raw!G369),""))</x:f>
        <x:v>48.725</x:v>
      </x:c>
      <x:c r="H369" t="str">
        <x:f>Plan_Raw!AH369</x:f>
        <x:v>1306|COMMN|2026-01-03</x:v>
      </x:c>
      <x:c r="I369" t="n">
        <x:f>COUNTIF(Rates_Raw!$AF$5:$AF$464,H369)</x:f>
        <x:v>1</x:v>
      </x:c>
      <x:c r="J369" t="str">
        <x:f>IF(I369=1,_xlfn.XLOOKUP(H369,Rates_Raw!$AF$5:$AF$464,Rates_Raw!$E$5:$E$464,""),"")</x:f>
        <x:v>Customer Service Rep Spv</x:v>
      </x:c>
      <x:c r="K369" t="n">
        <x:f>IF(I369=1,_xlfn.XLOOKUP(H369,Rates_Raw!$AF$5:$AF$464,Rates_Raw!$F$5:$F$464,""),"")</x:f>
        <x:v>790</x:v>
      </x:c>
      <x:c r="L369" s="50" t="n">
        <x:f>IF(I369=1,IFERROR(VALUE(SUBSTITUTE(_xlfn.XLOOKUP(H369,Rates_Raw!$AF$5:$AF$464,Rates_Raw!$L$5:$L$464,""),"$","")),""),"")</x:f>
        <x:v>48.725</x:v>
      </x:c>
      <x:c r="M369" s="50" t="n">
        <x:f>IF(OR(G369="",L369=""),"",ROUND(G369-L369,4))</x:f>
        <x:v>0</x:v>
      </x:c>
      <x:c r="N369" t="str">
        <x:f>IF(I369=0,"NO MATCH",IF(I369&gt;1,"AMBIGUOUS",IF(EXACT(TRIM(E369),TRIM(J369)),"EXACT","TITLE VARIANT")))</x:f>
        <x:v>EXACT</x:v>
      </x:c>
      <x:c r="O369" t="str">
        <x:f>IF(I369&lt;&gt;1,"NOT TESTED",IF(OR(G369="",L369=""),"MISSING",IF(ABS(M369)&lt;=Guide!$B$16,"PASS","REVIEW")))</x:f>
        <x:v>PASS</x:v>
      </x:c>
      <x:c r="P369" s="52" t="n">
        <x:f>IF(I369=1,IFERROR(VALUE(SUBSTITUTE(SUBSTITUTE(_xlfn.XLOOKUP(H369,Rates_Raw!$AF$5:$AF$464,Rates_Raw!$I$5:$I$464,""),"$",""),",","")),""),"")</x:f>
        <x:v>3898</x:v>
      </x:c>
      <x:c r="Q369" s="52" t="n">
        <x:f>IF(P369="","",P369*Guide!$B$15)</x:f>
        <x:v>101348</x:v>
      </x:c>
      <x:c r="R369" t="str">
        <x:f>IF(I369=0,"UNMATCHED",IF(I369&gt;1,"DUPLICATE KEY",IF(OR(N369="TITLE VARIANT",O369="REVIEW",O369="MISSING"),"REVIEW","VERIFIED")))</x:f>
        <x:v>VERIFIED</x:v>
      </x:c>
      <x:c r="S369" s="46" t="str">
        <x:v>Not Reviewed</x:v>
      </x:c>
      <x:c r="T369" s="48"/>
    </x:row>
    <x:row r="370">
      <x:c r="A370" t="n">
        <x:f>Plan_Raw!A370</x:f>
        <x:v>1788</x:v>
      </x:c>
      <x:c r="B370" t="str">
        <x:f>Plan_Raw!D370</x:f>
        <x:v>1306</x:v>
      </x:c>
      <x:c r="C370" t="str">
        <x:f>LEFT(Plan_Raw!B370,10)</x:f>
        <x:v>2026-07-01</x:v>
      </x:c>
      <x:c r="D370" t="str">
        <x:f>Plan_Raw!F370</x:f>
        <x:v>COMMN</x:v>
      </x:c>
      <x:c r="E370" t="str">
        <x:f>Plan_Raw!E370</x:f>
        <x:v>Customer Service Rep Spv</x:v>
      </x:c>
      <x:c r="F370" t="str">
        <x:f>Plan_Raw!C370</x:f>
        <x:v>1306D</x:v>
      </x:c>
      <x:c r="G370" s="50" t="n">
        <x:f>IF(Plan_Raw!G370="","",IFERROR(VALUE(Plan_Raw!G370),""))</x:f>
        <x:v>49.7</x:v>
      </x:c>
      <x:c r="H370" t="str">
        <x:f>Plan_Raw!AH370</x:f>
        <x:v>1306|COMMN|2026-07-01</x:v>
      </x:c>
      <x:c r="I370" t="n">
        <x:f>COUNTIF(Rates_Raw!$AF$5:$AF$464,H370)</x:f>
        <x:v>0</x:v>
      </x:c>
      <x:c r="J370" t="str">
        <x:f>IF(I370=1,_xlfn.XLOOKUP(H370,Rates_Raw!$AF$5:$AF$464,Rates_Raw!$E$5:$E$464,""),"")</x:f>
      </x:c>
      <x:c r="K370" t="str">
        <x:f>IF(I370=1,_xlfn.XLOOKUP(H370,Rates_Raw!$AF$5:$AF$464,Rates_Raw!$F$5:$F$464,""),"")</x:f>
      </x:c>
      <x:c r="L370" s="50" t="str">
        <x:f>IF(I370=1,IFERROR(VALUE(SUBSTITUTE(_xlfn.XLOOKUP(H370,Rates_Raw!$AF$5:$AF$464,Rates_Raw!$L$5:$L$464,""),"$","")),""),"")</x:f>
      </x:c>
      <x:c r="M370" s="50" t="str">
        <x:f>IF(OR(G370="",L370=""),"",ROUND(G370-L370,4))</x:f>
      </x:c>
      <x:c r="N370" t="str">
        <x:f>IF(I370=0,"NO MATCH",IF(I370&gt;1,"AMBIGUOUS",IF(EXACT(TRIM(E370),TRIM(J370)),"EXACT","TITLE VARIANT")))</x:f>
        <x:v>NO MATCH</x:v>
      </x:c>
      <x:c r="O370" t="str">
        <x:f>IF(I370&lt;&gt;1,"NOT TESTED",IF(OR(G370="",L370=""),"MISSING",IF(ABS(M370)&lt;=Guide!$B$16,"PASS","REVIEW")))</x:f>
        <x:v>NOT TESTED</x:v>
      </x:c>
      <x:c r="P370" s="52" t="str">
        <x:f>IF(I370=1,IFERROR(VALUE(SUBSTITUTE(SUBSTITUTE(_xlfn.XLOOKUP(H370,Rates_Raw!$AF$5:$AF$464,Rates_Raw!$I$5:$I$464,""),"$",""),",","")),""),"")</x:f>
      </x:c>
      <x:c r="Q370" s="52" t="str">
        <x:f>IF(P370="","",P370*Guide!$B$15)</x:f>
      </x:c>
      <x:c r="R370" t="str">
        <x:f>IF(I370=0,"UNMATCHED",IF(I370&gt;1,"DUPLICATE KEY",IF(OR(N370="TITLE VARIANT",O370="REVIEW",O370="MISSING"),"REVIEW","VERIFIED")))</x:f>
        <x:v>UNMATCHED</x:v>
      </x:c>
      <x:c r="S370" s="46" t="str">
        <x:v>Not Reviewed</x:v>
      </x:c>
      <x:c r="T370" s="48"/>
    </x:row>
    <x:row r="371">
      <x:c r="A371" t="n">
        <x:f>Plan_Raw!A371</x:f>
        <x:v>1891</x:v>
      </x:c>
      <x:c r="B371" t="str">
        <x:f>Plan_Raw!D371</x:f>
        <x:v>1326</x:v>
      </x:c>
      <x:c r="C371" t="str">
        <x:f>LEFT(Plan_Raw!B371,10)</x:f>
        <x:v>2024-01-06</x:v>
      </x:c>
      <x:c r="D371" t="str">
        <x:f>Plan_Raw!F371</x:f>
        <x:v>COMMN</x:v>
      </x:c>
      <x:c r="E371" t="str">
        <x:f>Plan_Raw!E371</x:f>
        <x:v>Customer Service Agent Supervisor</x:v>
      </x:c>
      <x:c r="F371" t="str">
        <x:f>Plan_Raw!C371</x:f>
        <x:v>1326Y</x:v>
      </x:c>
      <x:c r="G371" s="50" t="n">
        <x:f>IF(Plan_Raw!G371="","",IFERROR(VALUE(Plan_Raw!G371),""))</x:f>
        <x:v>45.6625</x:v>
      </x:c>
      <x:c r="H371" t="str">
        <x:f>Plan_Raw!AH371</x:f>
        <x:v>1326|COMMN|2024-01-06</x:v>
      </x:c>
      <x:c r="I371" t="n">
        <x:f>COUNTIF(Rates_Raw!$AF$5:$AF$464,H371)</x:f>
        <x:v>1</x:v>
      </x:c>
      <x:c r="J371" t="str">
        <x:f>IF(I371=1,_xlfn.XLOOKUP(H371,Rates_Raw!$AF$5:$AF$464,Rates_Raw!$E$5:$E$464,""),"")</x:f>
        <x:v>Customer Service Agent Supervisor</x:v>
      </x:c>
      <x:c r="K371" t="n">
        <x:f>IF(I371=1,_xlfn.XLOOKUP(H371,Rates_Raw!$AF$5:$AF$464,Rates_Raw!$F$5:$F$464,""),"")</x:f>
        <x:v>790</x:v>
      </x:c>
      <x:c r="L371" s="50" t="n">
        <x:f>IF(I371=1,IFERROR(VALUE(SUBSTITUTE(_xlfn.XLOOKUP(H371,Rates_Raw!$AF$5:$AF$464,Rates_Raw!$L$5:$L$464,""),"$","")),""),"")</x:f>
        <x:v>45.6625</x:v>
      </x:c>
      <x:c r="M371" s="50" t="n">
        <x:f>IF(OR(G371="",L371=""),"",ROUND(G371-L371,4))</x:f>
        <x:v>0</x:v>
      </x:c>
      <x:c r="N371" t="str">
        <x:f>IF(I371=0,"NO MATCH",IF(I371&gt;1,"AMBIGUOUS",IF(EXACT(TRIM(E371),TRIM(J371)),"EXACT","TITLE VARIANT")))</x:f>
        <x:v>EXACT</x:v>
      </x:c>
      <x:c r="O371" t="str">
        <x:f>IF(I371&lt;&gt;1,"NOT TESTED",IF(OR(G371="",L371=""),"MISSING",IF(ABS(M371)&lt;=Guide!$B$16,"PASS","REVIEW")))</x:f>
        <x:v>PASS</x:v>
      </x:c>
      <x:c r="P371" s="52" t="n">
        <x:f>IF(I371=1,IFERROR(VALUE(SUBSTITUTE(SUBSTITUTE(_xlfn.XLOOKUP(H371,Rates_Raw!$AF$5:$AF$464,Rates_Raw!$I$5:$I$464,""),"$",""),",","")),""),"")</x:f>
        <x:v>3653</x:v>
      </x:c>
      <x:c r="Q371" s="52" t="n">
        <x:f>IF(P371="","",P371*Guide!$B$15)</x:f>
        <x:v>94978</x:v>
      </x:c>
      <x:c r="R371" t="str">
        <x:f>IF(I371=0,"UNMATCHED",IF(I371&gt;1,"DUPLICATE KEY",IF(OR(N371="TITLE VARIANT",O371="REVIEW",O371="MISSING"),"REVIEW","VERIFIED")))</x:f>
        <x:v>VERIFIED</x:v>
      </x:c>
      <x:c r="S371" s="46" t="str">
        <x:v>Not Reviewed</x:v>
      </x:c>
      <x:c r="T371" s="48"/>
    </x:row>
    <x:row r="372">
      <x:c r="A372" t="n">
        <x:f>Plan_Raw!A372</x:f>
        <x:v>1892</x:v>
      </x:c>
      <x:c r="B372" t="str">
        <x:f>Plan_Raw!D372</x:f>
        <x:v>1326</x:v>
      </x:c>
      <x:c r="C372" t="str">
        <x:f>LEFT(Plan_Raw!B372,10)</x:f>
        <x:v>2024-07-01</x:v>
      </x:c>
      <x:c r="D372" t="str">
        <x:f>Plan_Raw!F372</x:f>
        <x:v>COMMN</x:v>
      </x:c>
      <x:c r="E372" t="str">
        <x:f>Plan_Raw!E372</x:f>
        <x:v>Customer Service Agent Supervisor</x:v>
      </x:c>
      <x:c r="F372" t="str">
        <x:f>Plan_Raw!C372</x:f>
        <x:v>1326Z</x:v>
      </x:c>
      <x:c r="G372" s="50" t="n">
        <x:f>IF(Plan_Raw!G372="","",IFERROR(VALUE(Plan_Raw!G372),""))</x:f>
        <x:v>46.35</x:v>
      </x:c>
      <x:c r="H372" t="str">
        <x:f>Plan_Raw!AH372</x:f>
        <x:v>1326|COMMN|2024-07-01</x:v>
      </x:c>
      <x:c r="I372" t="n">
        <x:f>COUNTIF(Rates_Raw!$AF$5:$AF$464,H372)</x:f>
        <x:v>1</x:v>
      </x:c>
      <x:c r="J372" t="str">
        <x:f>IF(I372=1,_xlfn.XLOOKUP(H372,Rates_Raw!$AF$5:$AF$464,Rates_Raw!$E$5:$E$464,""),"")</x:f>
        <x:v>Customer Service Agent Supervisor</x:v>
      </x:c>
      <x:c r="K372" t="n">
        <x:f>IF(I372=1,_xlfn.XLOOKUP(H372,Rates_Raw!$AF$5:$AF$464,Rates_Raw!$F$5:$F$464,""),"")</x:f>
        <x:v>790</x:v>
      </x:c>
      <x:c r="L372" s="50" t="n">
        <x:f>IF(I372=1,IFERROR(VALUE(SUBSTITUTE(_xlfn.XLOOKUP(H372,Rates_Raw!$AF$5:$AF$464,Rates_Raw!$L$5:$L$464,""),"$","")),""),"")</x:f>
        <x:v>46.35</x:v>
      </x:c>
      <x:c r="M372" s="50" t="n">
        <x:f>IF(OR(G372="",L372=""),"",ROUND(G372-L372,4))</x:f>
        <x:v>0</x:v>
      </x:c>
      <x:c r="N372" t="str">
        <x:f>IF(I372=0,"NO MATCH",IF(I372&gt;1,"AMBIGUOUS",IF(EXACT(TRIM(E372),TRIM(J372)),"EXACT","TITLE VARIANT")))</x:f>
        <x:v>EXACT</x:v>
      </x:c>
      <x:c r="O372" t="str">
        <x:f>IF(I372&lt;&gt;1,"NOT TESTED",IF(OR(G372="",L372=""),"MISSING",IF(ABS(M372)&lt;=Guide!$B$16,"PASS","REVIEW")))</x:f>
        <x:v>PASS</x:v>
      </x:c>
      <x:c r="P372" s="52" t="n">
        <x:f>IF(I372=1,IFERROR(VALUE(SUBSTITUTE(SUBSTITUTE(_xlfn.XLOOKUP(H372,Rates_Raw!$AF$5:$AF$464,Rates_Raw!$I$5:$I$464,""),"$",""),",","")),""),"")</x:f>
        <x:v>3708</x:v>
      </x:c>
      <x:c r="Q372" s="52" t="n">
        <x:f>IF(P372="","",P372*Guide!$B$15)</x:f>
        <x:v>96408</x:v>
      </x:c>
      <x:c r="R372" t="str">
        <x:f>IF(I372=0,"UNMATCHED",IF(I372&gt;1,"DUPLICATE KEY",IF(OR(N372="TITLE VARIANT",O372="REVIEW",O372="MISSING"),"REVIEW","VERIFIED")))</x:f>
        <x:v>VERIFIED</x:v>
      </x:c>
      <x:c r="S372" s="46" t="str">
        <x:v>Not Reviewed</x:v>
      </x:c>
      <x:c r="T372" s="48"/>
    </x:row>
    <x:row r="373">
      <x:c r="A373" t="n">
        <x:f>Plan_Raw!A373</x:f>
        <x:v>1893</x:v>
      </x:c>
      <x:c r="B373" t="str">
        <x:f>Plan_Raw!D373</x:f>
        <x:v>1326</x:v>
      </x:c>
      <x:c r="C373" t="str">
        <x:f>LEFT(Plan_Raw!B373,10)</x:f>
        <x:v>2025-01-04</x:v>
      </x:c>
      <x:c r="D373" t="str">
        <x:f>Plan_Raw!F373</x:f>
        <x:v>COMMN</x:v>
      </x:c>
      <x:c r="E373" t="str">
        <x:f>Plan_Raw!E373</x:f>
        <x:v>Customer Service Agent Supervisor</x:v>
      </x:c>
      <x:c r="F373" t="str">
        <x:f>Plan_Raw!C373</x:f>
        <x:v>1326A</x:v>
      </x:c>
      <x:c r="G373" s="50" t="n">
        <x:f>IF(Plan_Raw!G373="","",IFERROR(VALUE(Plan_Raw!G373),""))</x:f>
        <x:v>47.05</x:v>
      </x:c>
      <x:c r="H373" t="str">
        <x:f>Plan_Raw!AH373</x:f>
        <x:v>1326|COMMN|2025-01-04</x:v>
      </x:c>
      <x:c r="I373" t="n">
        <x:f>COUNTIF(Rates_Raw!$AF$5:$AF$464,H373)</x:f>
        <x:v>1</x:v>
      </x:c>
      <x:c r="J373" t="str">
        <x:f>IF(I373=1,_xlfn.XLOOKUP(H373,Rates_Raw!$AF$5:$AF$464,Rates_Raw!$E$5:$E$464,""),"")</x:f>
        <x:v>Customer Service Agent Supervisor</x:v>
      </x:c>
      <x:c r="K373" t="n">
        <x:f>IF(I373=1,_xlfn.XLOOKUP(H373,Rates_Raw!$AF$5:$AF$464,Rates_Raw!$F$5:$F$464,""),"")</x:f>
        <x:v>790</x:v>
      </x:c>
      <x:c r="L373" s="50" t="n">
        <x:f>IF(I373=1,IFERROR(VALUE(SUBSTITUTE(_xlfn.XLOOKUP(H373,Rates_Raw!$AF$5:$AF$464,Rates_Raw!$L$5:$L$464,""),"$","")),""),"")</x:f>
        <x:v>47.05</x:v>
      </x:c>
      <x:c r="M373" s="50" t="n">
        <x:f>IF(OR(G373="",L373=""),"",ROUND(G373-L373,4))</x:f>
        <x:v>0</x:v>
      </x:c>
      <x:c r="N373" t="str">
        <x:f>IF(I373=0,"NO MATCH",IF(I373&gt;1,"AMBIGUOUS",IF(EXACT(TRIM(E373),TRIM(J373)),"EXACT","TITLE VARIANT")))</x:f>
        <x:v>EXACT</x:v>
      </x:c>
      <x:c r="O373" t="str">
        <x:f>IF(I373&lt;&gt;1,"NOT TESTED",IF(OR(G373="",L373=""),"MISSING",IF(ABS(M373)&lt;=Guide!$B$16,"PASS","REVIEW")))</x:f>
        <x:v>PASS</x:v>
      </x:c>
      <x:c r="P373" s="52" t="n">
        <x:f>IF(I373=1,IFERROR(VALUE(SUBSTITUTE(SUBSTITUTE(_xlfn.XLOOKUP(H373,Rates_Raw!$AF$5:$AF$464,Rates_Raw!$I$5:$I$464,""),"$",""),",","")),""),"")</x:f>
        <x:v>3764</x:v>
      </x:c>
      <x:c r="Q373" s="52" t="n">
        <x:f>IF(P373="","",P373*Guide!$B$15)</x:f>
        <x:v>97864</x:v>
      </x:c>
      <x:c r="R373" t="str">
        <x:f>IF(I373=0,"UNMATCHED",IF(I373&gt;1,"DUPLICATE KEY",IF(OR(N373="TITLE VARIANT",O373="REVIEW",O373="MISSING"),"REVIEW","VERIFIED")))</x:f>
        <x:v>VERIFIED</x:v>
      </x:c>
      <x:c r="S373" s="46" t="str">
        <x:v>Not Reviewed</x:v>
      </x:c>
      <x:c r="T373" s="48"/>
    </x:row>
    <x:row r="374">
      <x:c r="A374" t="n">
        <x:f>Plan_Raw!A374</x:f>
        <x:v>1894</x:v>
      </x:c>
      <x:c r="B374" t="str">
        <x:f>Plan_Raw!D374</x:f>
        <x:v>1326</x:v>
      </x:c>
      <x:c r="C374" t="str">
        <x:f>LEFT(Plan_Raw!B374,10)</x:f>
        <x:v>2025-07-01</x:v>
      </x:c>
      <x:c r="D374" t="str">
        <x:f>Plan_Raw!F374</x:f>
        <x:v>COMMN</x:v>
      </x:c>
      <x:c r="E374" t="str">
        <x:f>Plan_Raw!E374</x:f>
        <x:v>Customer Service Agent Supv</x:v>
      </x:c>
      <x:c r="F374" t="str">
        <x:f>Plan_Raw!C374</x:f>
        <x:v>1326B</x:v>
      </x:c>
      <x:c r="G374" s="50" t="n">
        <x:f>IF(Plan_Raw!G374="","",IFERROR(VALUE(Plan_Raw!G374),""))</x:f>
        <x:v>48</x:v>
      </x:c>
      <x:c r="H374" t="str">
        <x:f>Plan_Raw!AH374</x:f>
        <x:v>1326|COMMN|2025-07-01</x:v>
      </x:c>
      <x:c r="I374" t="n">
        <x:f>COUNTIF(Rates_Raw!$AF$5:$AF$464,H374)</x:f>
        <x:v>1</x:v>
      </x:c>
      <x:c r="J374" t="str">
        <x:f>IF(I374=1,_xlfn.XLOOKUP(H374,Rates_Raw!$AF$5:$AF$464,Rates_Raw!$E$5:$E$464,""),"")</x:f>
        <x:v>Customer Service Agent Supv</x:v>
      </x:c>
      <x:c r="K374" t="n">
        <x:f>IF(I374=1,_xlfn.XLOOKUP(H374,Rates_Raw!$AF$5:$AF$464,Rates_Raw!$F$5:$F$464,""),"")</x:f>
        <x:v>790</x:v>
      </x:c>
      <x:c r="L374" s="50" t="n">
        <x:f>IF(I374=1,IFERROR(VALUE(SUBSTITUTE(_xlfn.XLOOKUP(H374,Rates_Raw!$AF$5:$AF$464,Rates_Raw!$L$5:$L$464,""),"$","")),""),"")</x:f>
        <x:v>48</x:v>
      </x:c>
      <x:c r="M374" s="50" t="n">
        <x:f>IF(OR(G374="",L374=""),"",ROUND(G374-L374,4))</x:f>
        <x:v>0</x:v>
      </x:c>
      <x:c r="N374" t="str">
        <x:f>IF(I374=0,"NO MATCH",IF(I374&gt;1,"AMBIGUOUS",IF(EXACT(TRIM(E374),TRIM(J374)),"EXACT","TITLE VARIANT")))</x:f>
        <x:v>EXACT</x:v>
      </x:c>
      <x:c r="O374" t="str">
        <x:f>IF(I374&lt;&gt;1,"NOT TESTED",IF(OR(G374="",L374=""),"MISSING",IF(ABS(M374)&lt;=Guide!$B$16,"PASS","REVIEW")))</x:f>
        <x:v>PASS</x:v>
      </x:c>
      <x:c r="P374" s="52" t="n">
        <x:f>IF(I374=1,IFERROR(VALUE(SUBSTITUTE(SUBSTITUTE(_xlfn.XLOOKUP(H374,Rates_Raw!$AF$5:$AF$464,Rates_Raw!$I$5:$I$464,""),"$",""),",","")),""),"")</x:f>
        <x:v>3840</x:v>
      </x:c>
      <x:c r="Q374" s="52" t="n">
        <x:f>IF(P374="","",P374*Guide!$B$15)</x:f>
        <x:v>99840</x:v>
      </x:c>
      <x:c r="R374" t="str">
        <x:f>IF(I374=0,"UNMATCHED",IF(I374&gt;1,"DUPLICATE KEY",IF(OR(N374="TITLE VARIANT",O374="REVIEW",O374="MISSING"),"REVIEW","VERIFIED")))</x:f>
        <x:v>VERIFIED</x:v>
      </x:c>
      <x:c r="S374" s="46" t="str">
        <x:v>Not Reviewed</x:v>
      </x:c>
      <x:c r="T374" s="48"/>
    </x:row>
    <x:row r="375">
      <x:c r="A375" t="n">
        <x:f>Plan_Raw!A375</x:f>
        <x:v>1895</x:v>
      </x:c>
      <x:c r="B375" t="str">
        <x:f>Plan_Raw!D375</x:f>
        <x:v>1326</x:v>
      </x:c>
      <x:c r="C375" t="str">
        <x:f>LEFT(Plan_Raw!B375,10)</x:f>
        <x:v>2026-01-03</x:v>
      </x:c>
      <x:c r="D375" t="str">
        <x:f>Plan_Raw!F375</x:f>
        <x:v>COMMN</x:v>
      </x:c>
      <x:c r="E375" t="str">
        <x:f>Plan_Raw!E375</x:f>
        <x:v>Customer Service Agent Supv</x:v>
      </x:c>
      <x:c r="F375" t="str">
        <x:f>Plan_Raw!C375</x:f>
        <x:v>1326C</x:v>
      </x:c>
      <x:c r="G375" s="50" t="n">
        <x:f>IF(Plan_Raw!G375="","",IFERROR(VALUE(Plan_Raw!G375),""))</x:f>
        <x:v>48.725</x:v>
      </x:c>
      <x:c r="H375" t="str">
        <x:f>Plan_Raw!AH375</x:f>
        <x:v>1326|COMMN|2026-01-03</x:v>
      </x:c>
      <x:c r="I375" t="n">
        <x:f>COUNTIF(Rates_Raw!$AF$5:$AF$464,H375)</x:f>
        <x:v>1</x:v>
      </x:c>
      <x:c r="J375" t="str">
        <x:f>IF(I375=1,_xlfn.XLOOKUP(H375,Rates_Raw!$AF$5:$AF$464,Rates_Raw!$E$5:$E$464,""),"")</x:f>
        <x:v>Customer Service Agent Supv</x:v>
      </x:c>
      <x:c r="K375" t="n">
        <x:f>IF(I375=1,_xlfn.XLOOKUP(H375,Rates_Raw!$AF$5:$AF$464,Rates_Raw!$F$5:$F$464,""),"")</x:f>
        <x:v>790</x:v>
      </x:c>
      <x:c r="L375" s="50" t="n">
        <x:f>IF(I375=1,IFERROR(VALUE(SUBSTITUTE(_xlfn.XLOOKUP(H375,Rates_Raw!$AF$5:$AF$464,Rates_Raw!$L$5:$L$464,""),"$","")),""),"")</x:f>
        <x:v>48.725</x:v>
      </x:c>
      <x:c r="M375" s="50" t="n">
        <x:f>IF(OR(G375="",L375=""),"",ROUND(G375-L375,4))</x:f>
        <x:v>0</x:v>
      </x:c>
      <x:c r="N375" t="str">
        <x:f>IF(I375=0,"NO MATCH",IF(I375&gt;1,"AMBIGUOUS",IF(EXACT(TRIM(E375),TRIM(J375)),"EXACT","TITLE VARIANT")))</x:f>
        <x:v>EXACT</x:v>
      </x:c>
      <x:c r="O375" t="str">
        <x:f>IF(I375&lt;&gt;1,"NOT TESTED",IF(OR(G375="",L375=""),"MISSING",IF(ABS(M375)&lt;=Guide!$B$16,"PASS","REVIEW")))</x:f>
        <x:v>PASS</x:v>
      </x:c>
      <x:c r="P375" s="52" t="n">
        <x:f>IF(I375=1,IFERROR(VALUE(SUBSTITUTE(SUBSTITUTE(_xlfn.XLOOKUP(H375,Rates_Raw!$AF$5:$AF$464,Rates_Raw!$I$5:$I$464,""),"$",""),",","")),""),"")</x:f>
        <x:v>3898</x:v>
      </x:c>
      <x:c r="Q375" s="52" t="n">
        <x:f>IF(P375="","",P375*Guide!$B$15)</x:f>
        <x:v>101348</x:v>
      </x:c>
      <x:c r="R375" t="str">
        <x:f>IF(I375=0,"UNMATCHED",IF(I375&gt;1,"DUPLICATE KEY",IF(OR(N375="TITLE VARIANT",O375="REVIEW",O375="MISSING"),"REVIEW","VERIFIED")))</x:f>
        <x:v>VERIFIED</x:v>
      </x:c>
      <x:c r="S375" s="46" t="str">
        <x:v>Not Reviewed</x:v>
      </x:c>
      <x:c r="T375" s="48"/>
    </x:row>
    <x:row r="376">
      <x:c r="A376" t="n">
        <x:f>Plan_Raw!A376</x:f>
        <x:v>1896</x:v>
      </x:c>
      <x:c r="B376" t="str">
        <x:f>Plan_Raw!D376</x:f>
        <x:v>1326</x:v>
      </x:c>
      <x:c r="C376" t="str">
        <x:f>LEFT(Plan_Raw!B376,10)</x:f>
        <x:v>2026-07-01</x:v>
      </x:c>
      <x:c r="D376" t="str">
        <x:f>Plan_Raw!F376</x:f>
        <x:v>COMMN</x:v>
      </x:c>
      <x:c r="E376" t="str">
        <x:f>Plan_Raw!E376</x:f>
        <x:v>Customer Service Agent Supv</x:v>
      </x:c>
      <x:c r="F376" t="str">
        <x:f>Plan_Raw!C376</x:f>
        <x:v>1326D</x:v>
      </x:c>
      <x:c r="G376" s="50" t="n">
        <x:f>IF(Plan_Raw!G376="","",IFERROR(VALUE(Plan_Raw!G376),""))</x:f>
        <x:v>49.7</x:v>
      </x:c>
      <x:c r="H376" t="str">
        <x:f>Plan_Raw!AH376</x:f>
        <x:v>1326|COMMN|2026-07-01</x:v>
      </x:c>
      <x:c r="I376" t="n">
        <x:f>COUNTIF(Rates_Raw!$AF$5:$AF$464,H376)</x:f>
        <x:v>0</x:v>
      </x:c>
      <x:c r="J376" t="str">
        <x:f>IF(I376=1,_xlfn.XLOOKUP(H376,Rates_Raw!$AF$5:$AF$464,Rates_Raw!$E$5:$E$464,""),"")</x:f>
      </x:c>
      <x:c r="K376" t="str">
        <x:f>IF(I376=1,_xlfn.XLOOKUP(H376,Rates_Raw!$AF$5:$AF$464,Rates_Raw!$F$5:$F$464,""),"")</x:f>
      </x:c>
      <x:c r="L376" s="50" t="str">
        <x:f>IF(I376=1,IFERROR(VALUE(SUBSTITUTE(_xlfn.XLOOKUP(H376,Rates_Raw!$AF$5:$AF$464,Rates_Raw!$L$5:$L$464,""),"$","")),""),"")</x:f>
      </x:c>
      <x:c r="M376" s="50" t="str">
        <x:f>IF(OR(G376="",L376=""),"",ROUND(G376-L376,4))</x:f>
      </x:c>
      <x:c r="N376" t="str">
        <x:f>IF(I376=0,"NO MATCH",IF(I376&gt;1,"AMBIGUOUS",IF(EXACT(TRIM(E376),TRIM(J376)),"EXACT","TITLE VARIANT")))</x:f>
        <x:v>NO MATCH</x:v>
      </x:c>
      <x:c r="O376" t="str">
        <x:f>IF(I376&lt;&gt;1,"NOT TESTED",IF(OR(G376="",L376=""),"MISSING",IF(ABS(M376)&lt;=Guide!$B$16,"PASS","REVIEW")))</x:f>
        <x:v>NOT TESTED</x:v>
      </x:c>
      <x:c r="P376" s="52" t="str">
        <x:f>IF(I376=1,IFERROR(VALUE(SUBSTITUTE(SUBSTITUTE(_xlfn.XLOOKUP(H376,Rates_Raw!$AF$5:$AF$464,Rates_Raw!$I$5:$I$464,""),"$",""),",","")),""),"")</x:f>
      </x:c>
      <x:c r="Q376" s="52" t="str">
        <x:f>IF(P376="","",P376*Guide!$B$15)</x:f>
      </x:c>
      <x:c r="R376" t="str">
        <x:f>IF(I376=0,"UNMATCHED",IF(I376&gt;1,"DUPLICATE KEY",IF(OR(N376="TITLE VARIANT",O376="REVIEW",O376="MISSING"),"REVIEW","VERIFIED")))</x:f>
        <x:v>UNMATCHED</x:v>
      </x:c>
      <x:c r="S376" s="46" t="str">
        <x:v>Not Reviewed</x:v>
      </x:c>
      <x:c r="T376" s="48"/>
    </x:row>
    <x:row r="377">
      <x:c r="A377" t="n">
        <x:f>Plan_Raw!A377</x:f>
        <x:v>1903</x:v>
      </x:c>
      <x:c r="B377" t="str">
        <x:f>Plan_Raw!D377</x:f>
        <x:v>1360</x:v>
      </x:c>
      <x:c r="C377" t="str">
        <x:f>LEFT(Plan_Raw!B377,10)</x:f>
        <x:v>2024-01-06</x:v>
      </x:c>
      <x:c r="D377" t="str">
        <x:f>Plan_Raw!F377</x:f>
        <x:v>COMMN</x:v>
      </x:c>
      <x:c r="E377" t="str">
        <x:f>Plan_Raw!E377</x:f>
        <x:v>Special Assistant I</x:v>
      </x:c>
      <x:c r="F377" t="str">
        <x:f>Plan_Raw!C377</x:f>
        <x:v>1360Y</x:v>
      </x:c>
      <x:c r="G377" s="50" t="n">
        <x:f>IF(Plan_Raw!G377="","",IFERROR(VALUE(Plan_Raw!G377),""))</x:f>
        <x:v>27</x:v>
      </x:c>
      <x:c r="H377" t="str">
        <x:f>Plan_Raw!AH377</x:f>
        <x:v>1360|COMMN|2024-01-06</x:v>
      </x:c>
      <x:c r="I377" t="n">
        <x:f>COUNTIF(Rates_Raw!$AF$5:$AF$464,H377)</x:f>
        <x:v>1</x:v>
      </x:c>
      <x:c r="J377" t="str">
        <x:f>IF(I377=1,_xlfn.XLOOKUP(H377,Rates_Raw!$AF$5:$AF$464,Rates_Raw!$E$5:$E$464,""),"")</x:f>
        <x:v>Special Assistant I</x:v>
      </x:c>
      <x:c r="K377" t="n">
        <x:f>IF(I377=1,_xlfn.XLOOKUP(H377,Rates_Raw!$AF$5:$AF$464,Rates_Raw!$F$5:$F$464,""),"")</x:f>
        <x:v>21</x:v>
      </x:c>
      <x:c r="L377" s="50" t="n">
        <x:f>IF(I377=1,IFERROR(VALUE(SUBSTITUTE(_xlfn.XLOOKUP(H377,Rates_Raw!$AF$5:$AF$464,Rates_Raw!$L$5:$L$464,""),"$","")),""),"")</x:f>
        <x:v>27</x:v>
      </x:c>
      <x:c r="M377" s="50" t="n">
        <x:f>IF(OR(G377="",L377=""),"",ROUND(G377-L377,4))</x:f>
        <x:v>0</x:v>
      </x:c>
      <x:c r="N377" t="str">
        <x:f>IF(I377=0,"NO MATCH",IF(I377&gt;1,"AMBIGUOUS",IF(EXACT(TRIM(E377),TRIM(J377)),"EXACT","TITLE VARIANT")))</x:f>
        <x:v>EXACT</x:v>
      </x:c>
      <x:c r="O377" t="str">
        <x:f>IF(I377&lt;&gt;1,"NOT TESTED",IF(OR(G377="",L377=""),"MISSING",IF(ABS(M377)&lt;=Guide!$B$16,"PASS","REVIEW")))</x:f>
        <x:v>PASS</x:v>
      </x:c>
      <x:c r="P377" s="52" t="n">
        <x:f>IF(I377=1,IFERROR(VALUE(SUBSTITUTE(SUBSTITUTE(_xlfn.XLOOKUP(H377,Rates_Raw!$AF$5:$AF$464,Rates_Raw!$I$5:$I$464,""),"$",""),",","")),""),"")</x:f>
        <x:v>2160</x:v>
      </x:c>
      <x:c r="Q377" s="52" t="n">
        <x:f>IF(P377="","",P377*Guide!$B$15)</x:f>
        <x:v>56160</x:v>
      </x:c>
      <x:c r="R377" t="str">
        <x:f>IF(I377=0,"UNMATCHED",IF(I377&gt;1,"DUPLICATE KEY",IF(OR(N377="TITLE VARIANT",O377="REVIEW",O377="MISSING"),"REVIEW","VERIFIED")))</x:f>
        <x:v>VERIFIED</x:v>
      </x:c>
      <x:c r="S377" s="46" t="str">
        <x:v>Not Reviewed</x:v>
      </x:c>
      <x:c r="T377" s="48"/>
    </x:row>
    <x:row r="378">
      <x:c r="A378" t="n">
        <x:f>Plan_Raw!A378</x:f>
        <x:v>1915</x:v>
      </x:c>
      <x:c r="B378" t="str">
        <x:f>Plan_Raw!D378</x:f>
        <x:v>1360</x:v>
      </x:c>
      <x:c r="C378" t="str">
        <x:f>LEFT(Plan_Raw!B378,10)</x:f>
        <x:v>2024-01-06</x:v>
      </x:c>
      <x:c r="D378" t="str">
        <x:f>Plan_Raw!F378</x:f>
        <x:v>SFMTA</x:v>
      </x:c>
      <x:c r="E378" t="str">
        <x:f>Plan_Raw!E378</x:f>
        <x:v>Special Assistant I</x:v>
      </x:c>
      <x:c r="F378" t="str">
        <x:f>Plan_Raw!C378</x:f>
        <x:v>1360Y</x:v>
      </x:c>
      <x:c r="G378" s="50" t="n">
        <x:f>IF(Plan_Raw!G378="","",IFERROR(VALUE(Plan_Raw!G378),""))</x:f>
        <x:v>27</x:v>
      </x:c>
      <x:c r="H378" t="str">
        <x:f>Plan_Raw!AH378</x:f>
        <x:v>1360|SFMTA|2024-01-06</x:v>
      </x:c>
      <x:c r="I378" t="n">
        <x:f>COUNTIF(Rates_Raw!$AF$5:$AF$464,H378)</x:f>
        <x:v>1</x:v>
      </x:c>
      <x:c r="J378" t="str">
        <x:f>IF(I378=1,_xlfn.XLOOKUP(H378,Rates_Raw!$AF$5:$AF$464,Rates_Raw!$E$5:$E$464,""),"")</x:f>
        <x:v>Special Assistant I</x:v>
      </x:c>
      <x:c r="K378" t="n">
        <x:f>IF(I378=1,_xlfn.XLOOKUP(H378,Rates_Raw!$AF$5:$AF$464,Rates_Raw!$F$5:$F$464,""),"")</x:f>
        <x:v>21</x:v>
      </x:c>
      <x:c r="L378" s="50" t="n">
        <x:f>IF(I378=1,IFERROR(VALUE(SUBSTITUTE(_xlfn.XLOOKUP(H378,Rates_Raw!$AF$5:$AF$464,Rates_Raw!$L$5:$L$464,""),"$","")),""),"")</x:f>
        <x:v>27</x:v>
      </x:c>
      <x:c r="M378" s="50" t="n">
        <x:f>IF(OR(G378="",L378=""),"",ROUND(G378-L378,4))</x:f>
        <x:v>0</x:v>
      </x:c>
      <x:c r="N378" t="str">
        <x:f>IF(I378=0,"NO MATCH",IF(I378&gt;1,"AMBIGUOUS",IF(EXACT(TRIM(E378),TRIM(J378)),"EXACT","TITLE VARIANT")))</x:f>
        <x:v>EXACT</x:v>
      </x:c>
      <x:c r="O378" t="str">
        <x:f>IF(I378&lt;&gt;1,"NOT TESTED",IF(OR(G378="",L378=""),"MISSING",IF(ABS(M378)&lt;=Guide!$B$16,"PASS","REVIEW")))</x:f>
        <x:v>PASS</x:v>
      </x:c>
      <x:c r="P378" s="52" t="n">
        <x:f>IF(I378=1,IFERROR(VALUE(SUBSTITUTE(SUBSTITUTE(_xlfn.XLOOKUP(H378,Rates_Raw!$AF$5:$AF$464,Rates_Raw!$I$5:$I$464,""),"$",""),",","")),""),"")</x:f>
        <x:v>2160</x:v>
      </x:c>
      <x:c r="Q378" s="52" t="n">
        <x:f>IF(P378="","",P378*Guide!$B$15)</x:f>
        <x:v>56160</x:v>
      </x:c>
      <x:c r="R378" t="str">
        <x:f>IF(I378=0,"UNMATCHED",IF(I378&gt;1,"DUPLICATE KEY",IF(OR(N378="TITLE VARIANT",O378="REVIEW",O378="MISSING"),"REVIEW","VERIFIED")))</x:f>
        <x:v>VERIFIED</x:v>
      </x:c>
      <x:c r="S378" s="46" t="str">
        <x:v>Not Reviewed</x:v>
      </x:c>
      <x:c r="T378" s="48"/>
    </x:row>
    <x:row r="379">
      <x:c r="A379" t="n">
        <x:f>Plan_Raw!A379</x:f>
        <x:v>1904</x:v>
      </x:c>
      <x:c r="B379" t="str">
        <x:f>Plan_Raw!D379</x:f>
        <x:v>1360</x:v>
      </x:c>
      <x:c r="C379" t="str">
        <x:f>LEFT(Plan_Raw!B379,10)</x:f>
        <x:v>2024-07-01</x:v>
      </x:c>
      <x:c r="D379" t="str">
        <x:f>Plan_Raw!F379</x:f>
        <x:v>COMMN</x:v>
      </x:c>
      <x:c r="E379" t="str">
        <x:f>Plan_Raw!E379</x:f>
        <x:v>Special Assistant I</x:v>
      </x:c>
      <x:c r="F379" t="str">
        <x:f>Plan_Raw!C379</x:f>
        <x:v>1360Z</x:v>
      </x:c>
      <x:c r="G379" s="50" t="n">
        <x:f>IF(Plan_Raw!G379="","",IFERROR(VALUE(Plan_Raw!G379),""))</x:f>
        <x:v>27.4</x:v>
      </x:c>
      <x:c r="H379" t="str">
        <x:f>Plan_Raw!AH379</x:f>
        <x:v>1360|COMMN|2024-07-01</x:v>
      </x:c>
      <x:c r="I379" t="n">
        <x:f>COUNTIF(Rates_Raw!$AF$5:$AF$464,H379)</x:f>
        <x:v>1</x:v>
      </x:c>
      <x:c r="J379" t="str">
        <x:f>IF(I379=1,_xlfn.XLOOKUP(H379,Rates_Raw!$AF$5:$AF$464,Rates_Raw!$E$5:$E$464,""),"")</x:f>
        <x:v>Special Assistant I</x:v>
      </x:c>
      <x:c r="K379" t="n">
        <x:f>IF(I379=1,_xlfn.XLOOKUP(H379,Rates_Raw!$AF$5:$AF$464,Rates_Raw!$F$5:$F$464,""),"")</x:f>
        <x:v>21</x:v>
      </x:c>
      <x:c r="L379" s="50" t="n">
        <x:f>IF(I379=1,IFERROR(VALUE(SUBSTITUTE(_xlfn.XLOOKUP(H379,Rates_Raw!$AF$5:$AF$464,Rates_Raw!$L$5:$L$464,""),"$","")),""),"")</x:f>
        <x:v>27.4</x:v>
      </x:c>
      <x:c r="M379" s="50" t="n">
        <x:f>IF(OR(G379="",L379=""),"",ROUND(G379-L379,4))</x:f>
        <x:v>0</x:v>
      </x:c>
      <x:c r="N379" t="str">
        <x:f>IF(I379=0,"NO MATCH",IF(I379&gt;1,"AMBIGUOUS",IF(EXACT(TRIM(E379),TRIM(J379)),"EXACT","TITLE VARIANT")))</x:f>
        <x:v>EXACT</x:v>
      </x:c>
      <x:c r="O379" t="str">
        <x:f>IF(I379&lt;&gt;1,"NOT TESTED",IF(OR(G379="",L379=""),"MISSING",IF(ABS(M379)&lt;=Guide!$B$16,"PASS","REVIEW")))</x:f>
        <x:v>PASS</x:v>
      </x:c>
      <x:c r="P379" s="52" t="n">
        <x:f>IF(I379=1,IFERROR(VALUE(SUBSTITUTE(SUBSTITUTE(_xlfn.XLOOKUP(H379,Rates_Raw!$AF$5:$AF$464,Rates_Raw!$I$5:$I$464,""),"$",""),",","")),""),"")</x:f>
        <x:v>2192</x:v>
      </x:c>
      <x:c r="Q379" s="52" t="n">
        <x:f>IF(P379="","",P379*Guide!$B$15)</x:f>
        <x:v>56992</x:v>
      </x:c>
      <x:c r="R379" t="str">
        <x:f>IF(I379=0,"UNMATCHED",IF(I379&gt;1,"DUPLICATE KEY",IF(OR(N379="TITLE VARIANT",O379="REVIEW",O379="MISSING"),"REVIEW","VERIFIED")))</x:f>
        <x:v>VERIFIED</x:v>
      </x:c>
      <x:c r="S379" s="46" t="str">
        <x:v>Not Reviewed</x:v>
      </x:c>
      <x:c r="T379" s="48"/>
    </x:row>
    <x:row r="380">
      <x:c r="A380" t="n">
        <x:f>Plan_Raw!A380</x:f>
        <x:v>1916</x:v>
      </x:c>
      <x:c r="B380" t="str">
        <x:f>Plan_Raw!D380</x:f>
        <x:v>1360</x:v>
      </x:c>
      <x:c r="C380" t="str">
        <x:f>LEFT(Plan_Raw!B380,10)</x:f>
        <x:v>2024-07-01</x:v>
      </x:c>
      <x:c r="D380" t="str">
        <x:f>Plan_Raw!F380</x:f>
        <x:v>SFMTA</x:v>
      </x:c>
      <x:c r="E380" t="str">
        <x:f>Plan_Raw!E380</x:f>
        <x:v>Special Assistant I</x:v>
      </x:c>
      <x:c r="F380" t="str">
        <x:f>Plan_Raw!C380</x:f>
        <x:v>1360Z</x:v>
      </x:c>
      <x:c r="G380" s="50" t="n">
        <x:f>IF(Plan_Raw!G380="","",IFERROR(VALUE(Plan_Raw!G380),""))</x:f>
        <x:v>27.4</x:v>
      </x:c>
      <x:c r="H380" t="str">
        <x:f>Plan_Raw!AH380</x:f>
        <x:v>1360|SFMTA|2024-07-01</x:v>
      </x:c>
      <x:c r="I380" t="n">
        <x:f>COUNTIF(Rates_Raw!$AF$5:$AF$464,H380)</x:f>
        <x:v>1</x:v>
      </x:c>
      <x:c r="J380" t="str">
        <x:f>IF(I380=1,_xlfn.XLOOKUP(H380,Rates_Raw!$AF$5:$AF$464,Rates_Raw!$E$5:$E$464,""),"")</x:f>
        <x:v>Special Assistant I</x:v>
      </x:c>
      <x:c r="K380" t="n">
        <x:f>IF(I380=1,_xlfn.XLOOKUP(H380,Rates_Raw!$AF$5:$AF$464,Rates_Raw!$F$5:$F$464,""),"")</x:f>
        <x:v>21</x:v>
      </x:c>
      <x:c r="L380" s="50" t="n">
        <x:f>IF(I380=1,IFERROR(VALUE(SUBSTITUTE(_xlfn.XLOOKUP(H380,Rates_Raw!$AF$5:$AF$464,Rates_Raw!$L$5:$L$464,""),"$","")),""),"")</x:f>
        <x:v>27.4</x:v>
      </x:c>
      <x:c r="M380" s="50" t="n">
        <x:f>IF(OR(G380="",L380=""),"",ROUND(G380-L380,4))</x:f>
        <x:v>0</x:v>
      </x:c>
      <x:c r="N380" t="str">
        <x:f>IF(I380=0,"NO MATCH",IF(I380&gt;1,"AMBIGUOUS",IF(EXACT(TRIM(E380),TRIM(J380)),"EXACT","TITLE VARIANT")))</x:f>
        <x:v>EXACT</x:v>
      </x:c>
      <x:c r="O380" t="str">
        <x:f>IF(I380&lt;&gt;1,"NOT TESTED",IF(OR(G380="",L380=""),"MISSING",IF(ABS(M380)&lt;=Guide!$B$16,"PASS","REVIEW")))</x:f>
        <x:v>PASS</x:v>
      </x:c>
      <x:c r="P380" s="52" t="n">
        <x:f>IF(I380=1,IFERROR(VALUE(SUBSTITUTE(SUBSTITUTE(_xlfn.XLOOKUP(H380,Rates_Raw!$AF$5:$AF$464,Rates_Raw!$I$5:$I$464,""),"$",""),",","")),""),"")</x:f>
        <x:v>2192</x:v>
      </x:c>
      <x:c r="Q380" s="52" t="n">
        <x:f>IF(P380="","",P380*Guide!$B$15)</x:f>
        <x:v>56992</x:v>
      </x:c>
      <x:c r="R380" t="str">
        <x:f>IF(I380=0,"UNMATCHED",IF(I380&gt;1,"DUPLICATE KEY",IF(OR(N380="TITLE VARIANT",O380="REVIEW",O380="MISSING"),"REVIEW","VERIFIED")))</x:f>
        <x:v>VERIFIED</x:v>
      </x:c>
      <x:c r="S380" s="46" t="str">
        <x:v>Not Reviewed</x:v>
      </x:c>
      <x:c r="T380" s="48"/>
    </x:row>
    <x:row r="381">
      <x:c r="A381" t="n">
        <x:f>Plan_Raw!A381</x:f>
        <x:v>1905</x:v>
      </x:c>
      <x:c r="B381" t="str">
        <x:f>Plan_Raw!D381</x:f>
        <x:v>1360</x:v>
      </x:c>
      <x:c r="C381" t="str">
        <x:f>LEFT(Plan_Raw!B381,10)</x:f>
        <x:v>2025-01-04</x:v>
      </x:c>
      <x:c r="D381" t="str">
        <x:f>Plan_Raw!F381</x:f>
        <x:v>COMMN</x:v>
      </x:c>
      <x:c r="E381" t="str">
        <x:f>Plan_Raw!E381</x:f>
        <x:v>Special Assistant I</x:v>
      </x:c>
      <x:c r="F381" t="str">
        <x:f>Plan_Raw!C381</x:f>
        <x:v>1360A</x:v>
      </x:c>
      <x:c r="G381" s="50" t="n">
        <x:f>IF(Plan_Raw!G381="","",IFERROR(VALUE(Plan_Raw!G381),""))</x:f>
        <x:v>27.8125</x:v>
      </x:c>
      <x:c r="H381" t="str">
        <x:f>Plan_Raw!AH381</x:f>
        <x:v>1360|COMMN|2025-01-04</x:v>
      </x:c>
      <x:c r="I381" t="n">
        <x:f>COUNTIF(Rates_Raw!$AF$5:$AF$464,H381)</x:f>
        <x:v>1</x:v>
      </x:c>
      <x:c r="J381" t="str">
        <x:f>IF(I381=1,_xlfn.XLOOKUP(H381,Rates_Raw!$AF$5:$AF$464,Rates_Raw!$E$5:$E$464,""),"")</x:f>
        <x:v>Special Assistant I</x:v>
      </x:c>
      <x:c r="K381" t="n">
        <x:f>IF(I381=1,_xlfn.XLOOKUP(H381,Rates_Raw!$AF$5:$AF$464,Rates_Raw!$F$5:$F$464,""),"")</x:f>
        <x:v>21</x:v>
      </x:c>
      <x:c r="L381" s="50" t="n">
        <x:f>IF(I381=1,IFERROR(VALUE(SUBSTITUTE(_xlfn.XLOOKUP(H381,Rates_Raw!$AF$5:$AF$464,Rates_Raw!$L$5:$L$464,""),"$","")),""),"")</x:f>
        <x:v>27.8125</x:v>
      </x:c>
      <x:c r="M381" s="50" t="n">
        <x:f>IF(OR(G381="",L381=""),"",ROUND(G381-L381,4))</x:f>
        <x:v>0</x:v>
      </x:c>
      <x:c r="N381" t="str">
        <x:f>IF(I381=0,"NO MATCH",IF(I381&gt;1,"AMBIGUOUS",IF(EXACT(TRIM(E381),TRIM(J381)),"EXACT","TITLE VARIANT")))</x:f>
        <x:v>EXACT</x:v>
      </x:c>
      <x:c r="O381" t="str">
        <x:f>IF(I381&lt;&gt;1,"NOT TESTED",IF(OR(G381="",L381=""),"MISSING",IF(ABS(M381)&lt;=Guide!$B$16,"PASS","REVIEW")))</x:f>
        <x:v>PASS</x:v>
      </x:c>
      <x:c r="P381" s="52" t="n">
        <x:f>IF(I381=1,IFERROR(VALUE(SUBSTITUTE(SUBSTITUTE(_xlfn.XLOOKUP(H381,Rates_Raw!$AF$5:$AF$464,Rates_Raw!$I$5:$I$464,""),"$",""),",","")),""),"")</x:f>
        <x:v>2225</x:v>
      </x:c>
      <x:c r="Q381" s="52" t="n">
        <x:f>IF(P381="","",P381*Guide!$B$15)</x:f>
        <x:v>57850</x:v>
      </x:c>
      <x:c r="R381" t="str">
        <x:f>IF(I381=0,"UNMATCHED",IF(I381&gt;1,"DUPLICATE KEY",IF(OR(N381="TITLE VARIANT",O381="REVIEW",O381="MISSING"),"REVIEW","VERIFIED")))</x:f>
        <x:v>VERIFIED</x:v>
      </x:c>
      <x:c r="S381" s="46" t="str">
        <x:v>Not Reviewed</x:v>
      </x:c>
      <x:c r="T381" s="48"/>
    </x:row>
    <x:row r="382">
      <x:c r="A382" t="n">
        <x:f>Plan_Raw!A382</x:f>
        <x:v>1917</x:v>
      </x:c>
      <x:c r="B382" t="str">
        <x:f>Plan_Raw!D382</x:f>
        <x:v>1360</x:v>
      </x:c>
      <x:c r="C382" t="str">
        <x:f>LEFT(Plan_Raw!B382,10)</x:f>
        <x:v>2025-01-04</x:v>
      </x:c>
      <x:c r="D382" t="str">
        <x:f>Plan_Raw!F382</x:f>
        <x:v>SFMTA</x:v>
      </x:c>
      <x:c r="E382" t="str">
        <x:f>Plan_Raw!E382</x:f>
        <x:v>Special Assistant I</x:v>
      </x:c>
      <x:c r="F382" t="str">
        <x:f>Plan_Raw!C382</x:f>
        <x:v>1360A</x:v>
      </x:c>
      <x:c r="G382" s="50" t="n">
        <x:f>IF(Plan_Raw!G382="","",IFERROR(VALUE(Plan_Raw!G382),""))</x:f>
        <x:v>27.8125</x:v>
      </x:c>
      <x:c r="H382" t="str">
        <x:f>Plan_Raw!AH382</x:f>
        <x:v>1360|SFMTA|2025-01-04</x:v>
      </x:c>
      <x:c r="I382" t="n">
        <x:f>COUNTIF(Rates_Raw!$AF$5:$AF$464,H382)</x:f>
        <x:v>1</x:v>
      </x:c>
      <x:c r="J382" t="str">
        <x:f>IF(I382=1,_xlfn.XLOOKUP(H382,Rates_Raw!$AF$5:$AF$464,Rates_Raw!$E$5:$E$464,""),"")</x:f>
        <x:v>Special Assistant I</x:v>
      </x:c>
      <x:c r="K382" t="n">
        <x:f>IF(I382=1,_xlfn.XLOOKUP(H382,Rates_Raw!$AF$5:$AF$464,Rates_Raw!$F$5:$F$464,""),"")</x:f>
        <x:v>21</x:v>
      </x:c>
      <x:c r="L382" s="50" t="n">
        <x:f>IF(I382=1,IFERROR(VALUE(SUBSTITUTE(_xlfn.XLOOKUP(H382,Rates_Raw!$AF$5:$AF$464,Rates_Raw!$L$5:$L$464,""),"$","")),""),"")</x:f>
        <x:v>27.8125</x:v>
      </x:c>
      <x:c r="M382" s="50" t="n">
        <x:f>IF(OR(G382="",L382=""),"",ROUND(G382-L382,4))</x:f>
        <x:v>0</x:v>
      </x:c>
      <x:c r="N382" t="str">
        <x:f>IF(I382=0,"NO MATCH",IF(I382&gt;1,"AMBIGUOUS",IF(EXACT(TRIM(E382),TRIM(J382)),"EXACT","TITLE VARIANT")))</x:f>
        <x:v>EXACT</x:v>
      </x:c>
      <x:c r="O382" t="str">
        <x:f>IF(I382&lt;&gt;1,"NOT TESTED",IF(OR(G382="",L382=""),"MISSING",IF(ABS(M382)&lt;=Guide!$B$16,"PASS","REVIEW")))</x:f>
        <x:v>PASS</x:v>
      </x:c>
      <x:c r="P382" s="52" t="n">
        <x:f>IF(I382=1,IFERROR(VALUE(SUBSTITUTE(SUBSTITUTE(_xlfn.XLOOKUP(H382,Rates_Raw!$AF$5:$AF$464,Rates_Raw!$I$5:$I$464,""),"$",""),",","")),""),"")</x:f>
        <x:v>2225</x:v>
      </x:c>
      <x:c r="Q382" s="52" t="n">
        <x:f>IF(P382="","",P382*Guide!$B$15)</x:f>
        <x:v>57850</x:v>
      </x:c>
      <x:c r="R382" t="str">
        <x:f>IF(I382=0,"UNMATCHED",IF(I382&gt;1,"DUPLICATE KEY",IF(OR(N382="TITLE VARIANT",O382="REVIEW",O382="MISSING"),"REVIEW","VERIFIED")))</x:f>
        <x:v>VERIFIED</x:v>
      </x:c>
      <x:c r="S382" s="46" t="str">
        <x:v>Not Reviewed</x:v>
      </x:c>
      <x:c r="T382" s="48"/>
    </x:row>
    <x:row r="383">
      <x:c r="A383" t="n">
        <x:f>Plan_Raw!A383</x:f>
        <x:v>1906</x:v>
      </x:c>
      <x:c r="B383" t="str">
        <x:f>Plan_Raw!D383</x:f>
        <x:v>1360</x:v>
      </x:c>
      <x:c r="C383" t="str">
        <x:f>LEFT(Plan_Raw!B383,10)</x:f>
        <x:v>2025-07-01</x:v>
      </x:c>
      <x:c r="D383" t="str">
        <x:f>Plan_Raw!F383</x:f>
        <x:v>COMMN</x:v>
      </x:c>
      <x:c r="E383" t="str">
        <x:f>Plan_Raw!E383</x:f>
        <x:v>Special Assistant 1</x:v>
      </x:c>
      <x:c r="F383" t="str">
        <x:f>Plan_Raw!C383</x:f>
        <x:v>1360B</x:v>
      </x:c>
      <x:c r="G383" s="50" t="n">
        <x:f>IF(Plan_Raw!G383="","",IFERROR(VALUE(Plan_Raw!G383),""))</x:f>
        <x:v>28.375</x:v>
      </x:c>
      <x:c r="H383" t="str">
        <x:f>Plan_Raw!AH383</x:f>
        <x:v>1360|COMMN|2025-07-01</x:v>
      </x:c>
      <x:c r="I383" t="n">
        <x:f>COUNTIF(Rates_Raw!$AF$5:$AF$464,H383)</x:f>
        <x:v>1</x:v>
      </x:c>
      <x:c r="J383" t="str">
        <x:f>IF(I383=1,_xlfn.XLOOKUP(H383,Rates_Raw!$AF$5:$AF$464,Rates_Raw!$E$5:$E$464,""),"")</x:f>
        <x:v>Special Assistant 1</x:v>
      </x:c>
      <x:c r="K383" t="n">
        <x:f>IF(I383=1,_xlfn.XLOOKUP(H383,Rates_Raw!$AF$5:$AF$464,Rates_Raw!$F$5:$F$464,""),"")</x:f>
        <x:v>21</x:v>
      </x:c>
      <x:c r="L383" s="50" t="n">
        <x:f>IF(I383=1,IFERROR(VALUE(SUBSTITUTE(_xlfn.XLOOKUP(H383,Rates_Raw!$AF$5:$AF$464,Rates_Raw!$L$5:$L$464,""),"$","")),""),"")</x:f>
        <x:v>28.375</x:v>
      </x:c>
      <x:c r="M383" s="50" t="n">
        <x:f>IF(OR(G383="",L383=""),"",ROUND(G383-L383,4))</x:f>
        <x:v>0</x:v>
      </x:c>
      <x:c r="N383" t="str">
        <x:f>IF(I383=0,"NO MATCH",IF(I383&gt;1,"AMBIGUOUS",IF(EXACT(TRIM(E383),TRIM(J383)),"EXACT","TITLE VARIANT")))</x:f>
        <x:v>EXACT</x:v>
      </x:c>
      <x:c r="O383" t="str">
        <x:f>IF(I383&lt;&gt;1,"NOT TESTED",IF(OR(G383="",L383=""),"MISSING",IF(ABS(M383)&lt;=Guide!$B$16,"PASS","REVIEW")))</x:f>
        <x:v>PASS</x:v>
      </x:c>
      <x:c r="P383" s="52" t="n">
        <x:f>IF(I383=1,IFERROR(VALUE(SUBSTITUTE(SUBSTITUTE(_xlfn.XLOOKUP(H383,Rates_Raw!$AF$5:$AF$464,Rates_Raw!$I$5:$I$464,""),"$",""),",","")),""),"")</x:f>
        <x:v>2270</x:v>
      </x:c>
      <x:c r="Q383" s="52" t="n">
        <x:f>IF(P383="","",P383*Guide!$B$15)</x:f>
        <x:v>59020</x:v>
      </x:c>
      <x:c r="R383" t="str">
        <x:f>IF(I383=0,"UNMATCHED",IF(I383&gt;1,"DUPLICATE KEY",IF(OR(N383="TITLE VARIANT",O383="REVIEW",O383="MISSING"),"REVIEW","VERIFIED")))</x:f>
        <x:v>VERIFIED</x:v>
      </x:c>
      <x:c r="S383" s="46" t="str">
        <x:v>Not Reviewed</x:v>
      </x:c>
      <x:c r="T383" s="48"/>
    </x:row>
    <x:row r="384">
      <x:c r="A384" t="n">
        <x:f>Plan_Raw!A384</x:f>
        <x:v>1918</x:v>
      </x:c>
      <x:c r="B384" t="str">
        <x:f>Plan_Raw!D384</x:f>
        <x:v>1360</x:v>
      </x:c>
      <x:c r="C384" t="str">
        <x:f>LEFT(Plan_Raw!B384,10)</x:f>
        <x:v>2025-07-01</x:v>
      </x:c>
      <x:c r="D384" t="str">
        <x:f>Plan_Raw!F384</x:f>
        <x:v>SFMTA</x:v>
      </x:c>
      <x:c r="E384" t="str">
        <x:f>Plan_Raw!E384</x:f>
        <x:v>Special Assistant 1</x:v>
      </x:c>
      <x:c r="F384" t="str">
        <x:f>Plan_Raw!C384</x:f>
        <x:v>1360B</x:v>
      </x:c>
      <x:c r="G384" s="50" t="n">
        <x:f>IF(Plan_Raw!G384="","",IFERROR(VALUE(Plan_Raw!G384),""))</x:f>
        <x:v>28.375</x:v>
      </x:c>
      <x:c r="H384" t="str">
        <x:f>Plan_Raw!AH384</x:f>
        <x:v>1360|SFMTA|2025-07-01</x:v>
      </x:c>
      <x:c r="I384" t="n">
        <x:f>COUNTIF(Rates_Raw!$AF$5:$AF$464,H384)</x:f>
        <x:v>1</x:v>
      </x:c>
      <x:c r="J384" t="str">
        <x:f>IF(I384=1,_xlfn.XLOOKUP(H384,Rates_Raw!$AF$5:$AF$464,Rates_Raw!$E$5:$E$464,""),"")</x:f>
        <x:v>Special Assistant 1</x:v>
      </x:c>
      <x:c r="K384" t="n">
        <x:f>IF(I384=1,_xlfn.XLOOKUP(H384,Rates_Raw!$AF$5:$AF$464,Rates_Raw!$F$5:$F$464,""),"")</x:f>
        <x:v>21</x:v>
      </x:c>
      <x:c r="L384" s="50" t="n">
        <x:f>IF(I384=1,IFERROR(VALUE(SUBSTITUTE(_xlfn.XLOOKUP(H384,Rates_Raw!$AF$5:$AF$464,Rates_Raw!$L$5:$L$464,""),"$","")),""),"")</x:f>
        <x:v>28.375</x:v>
      </x:c>
      <x:c r="M384" s="50" t="n">
        <x:f>IF(OR(G384="",L384=""),"",ROUND(G384-L384,4))</x:f>
        <x:v>0</x:v>
      </x:c>
      <x:c r="N384" t="str">
        <x:f>IF(I384=0,"NO MATCH",IF(I384&gt;1,"AMBIGUOUS",IF(EXACT(TRIM(E384),TRIM(J384)),"EXACT","TITLE VARIANT")))</x:f>
        <x:v>EXACT</x:v>
      </x:c>
      <x:c r="O384" t="str">
        <x:f>IF(I384&lt;&gt;1,"NOT TESTED",IF(OR(G384="",L384=""),"MISSING",IF(ABS(M384)&lt;=Guide!$B$16,"PASS","REVIEW")))</x:f>
        <x:v>PASS</x:v>
      </x:c>
      <x:c r="P384" s="52" t="n">
        <x:f>IF(I384=1,IFERROR(VALUE(SUBSTITUTE(SUBSTITUTE(_xlfn.XLOOKUP(H384,Rates_Raw!$AF$5:$AF$464,Rates_Raw!$I$5:$I$464,""),"$",""),",","")),""),"")</x:f>
        <x:v>2270</x:v>
      </x:c>
      <x:c r="Q384" s="52" t="n">
        <x:f>IF(P384="","",P384*Guide!$B$15)</x:f>
        <x:v>59020</x:v>
      </x:c>
      <x:c r="R384" t="str">
        <x:f>IF(I384=0,"UNMATCHED",IF(I384&gt;1,"DUPLICATE KEY",IF(OR(N384="TITLE VARIANT",O384="REVIEW",O384="MISSING"),"REVIEW","VERIFIED")))</x:f>
        <x:v>VERIFIED</x:v>
      </x:c>
      <x:c r="S384" s="46" t="str">
        <x:v>Not Reviewed</x:v>
      </x:c>
      <x:c r="T384" s="48"/>
    </x:row>
    <x:row r="385">
      <x:c r="A385" t="n">
        <x:f>Plan_Raw!A385</x:f>
        <x:v>1907</x:v>
      </x:c>
      <x:c r="B385" t="str">
        <x:f>Plan_Raw!D385</x:f>
        <x:v>1360</x:v>
      </x:c>
      <x:c r="C385" t="str">
        <x:f>LEFT(Plan_Raw!B385,10)</x:f>
        <x:v>2026-01-03</x:v>
      </x:c>
      <x:c r="D385" t="str">
        <x:f>Plan_Raw!F385</x:f>
        <x:v>COMMN</x:v>
      </x:c>
      <x:c r="E385" t="str">
        <x:f>Plan_Raw!E385</x:f>
        <x:v>Special Assistant 1</x:v>
      </x:c>
      <x:c r="F385" t="str">
        <x:f>Plan_Raw!C385</x:f>
        <x:v>1360C</x:v>
      </x:c>
      <x:c r="G385" s="50" t="n">
        <x:f>IF(Plan_Raw!G385="","",IFERROR(VALUE(Plan_Raw!G385),""))</x:f>
        <x:v>28.8</x:v>
      </x:c>
      <x:c r="H385" t="str">
        <x:f>Plan_Raw!AH385</x:f>
        <x:v>1360|COMMN|2026-01-03</x:v>
      </x:c>
      <x:c r="I385" t="n">
        <x:f>COUNTIF(Rates_Raw!$AF$5:$AF$464,H385)</x:f>
        <x:v>1</x:v>
      </x:c>
      <x:c r="J385" t="str">
        <x:f>IF(I385=1,_xlfn.XLOOKUP(H385,Rates_Raw!$AF$5:$AF$464,Rates_Raw!$E$5:$E$464,""),"")</x:f>
        <x:v>Special Assistant 1</x:v>
      </x:c>
      <x:c r="K385" t="n">
        <x:f>IF(I385=1,_xlfn.XLOOKUP(H385,Rates_Raw!$AF$5:$AF$464,Rates_Raw!$F$5:$F$464,""),"")</x:f>
        <x:v>21</x:v>
      </x:c>
      <x:c r="L385" s="50" t="n">
        <x:f>IF(I385=1,IFERROR(VALUE(SUBSTITUTE(_xlfn.XLOOKUP(H385,Rates_Raw!$AF$5:$AF$464,Rates_Raw!$L$5:$L$464,""),"$","")),""),"")</x:f>
        <x:v>28.8</x:v>
      </x:c>
      <x:c r="M385" s="50" t="n">
        <x:f>IF(OR(G385="",L385=""),"",ROUND(G385-L385,4))</x:f>
        <x:v>0</x:v>
      </x:c>
      <x:c r="N385" t="str">
        <x:f>IF(I385=0,"NO MATCH",IF(I385&gt;1,"AMBIGUOUS",IF(EXACT(TRIM(E385),TRIM(J385)),"EXACT","TITLE VARIANT")))</x:f>
        <x:v>EXACT</x:v>
      </x:c>
      <x:c r="O385" t="str">
        <x:f>IF(I385&lt;&gt;1,"NOT TESTED",IF(OR(G385="",L385=""),"MISSING",IF(ABS(M385)&lt;=Guide!$B$16,"PASS","REVIEW")))</x:f>
        <x:v>PASS</x:v>
      </x:c>
      <x:c r="P385" s="52" t="n">
        <x:f>IF(I385=1,IFERROR(VALUE(SUBSTITUTE(SUBSTITUTE(_xlfn.XLOOKUP(H385,Rates_Raw!$AF$5:$AF$464,Rates_Raw!$I$5:$I$464,""),"$",""),",","")),""),"")</x:f>
        <x:v>2304</x:v>
      </x:c>
      <x:c r="Q385" s="52" t="n">
        <x:f>IF(P385="","",P385*Guide!$B$15)</x:f>
        <x:v>59904</x:v>
      </x:c>
      <x:c r="R385" t="str">
        <x:f>IF(I385=0,"UNMATCHED",IF(I385&gt;1,"DUPLICATE KEY",IF(OR(N385="TITLE VARIANT",O385="REVIEW",O385="MISSING"),"REVIEW","VERIFIED")))</x:f>
        <x:v>VERIFIED</x:v>
      </x:c>
      <x:c r="S385" s="46" t="str">
        <x:v>Not Reviewed</x:v>
      </x:c>
      <x:c r="T385" s="48"/>
    </x:row>
    <x:row r="386">
      <x:c r="A386" t="n">
        <x:f>Plan_Raw!A386</x:f>
        <x:v>1919</x:v>
      </x:c>
      <x:c r="B386" t="str">
        <x:f>Plan_Raw!D386</x:f>
        <x:v>1360</x:v>
      </x:c>
      <x:c r="C386" t="str">
        <x:f>LEFT(Plan_Raw!B386,10)</x:f>
        <x:v>2026-01-03</x:v>
      </x:c>
      <x:c r="D386" t="str">
        <x:f>Plan_Raw!F386</x:f>
        <x:v>SFMTA</x:v>
      </x:c>
      <x:c r="E386" t="str">
        <x:f>Plan_Raw!E386</x:f>
        <x:v>Special Assistant 1</x:v>
      </x:c>
      <x:c r="F386" t="str">
        <x:f>Plan_Raw!C386</x:f>
        <x:v>1360C</x:v>
      </x:c>
      <x:c r="G386" s="50" t="n">
        <x:f>IF(Plan_Raw!G386="","",IFERROR(VALUE(Plan_Raw!G386),""))</x:f>
        <x:v>28.8</x:v>
      </x:c>
      <x:c r="H386" t="str">
        <x:f>Plan_Raw!AH386</x:f>
        <x:v>1360|SFMTA|2026-01-03</x:v>
      </x:c>
      <x:c r="I386" t="n">
        <x:f>COUNTIF(Rates_Raw!$AF$5:$AF$464,H386)</x:f>
        <x:v>1</x:v>
      </x:c>
      <x:c r="J386" t="str">
        <x:f>IF(I386=1,_xlfn.XLOOKUP(H386,Rates_Raw!$AF$5:$AF$464,Rates_Raw!$E$5:$E$464,""),"")</x:f>
        <x:v>Special Assistant 1</x:v>
      </x:c>
      <x:c r="K386" t="n">
        <x:f>IF(I386=1,_xlfn.XLOOKUP(H386,Rates_Raw!$AF$5:$AF$464,Rates_Raw!$F$5:$F$464,""),"")</x:f>
        <x:v>21</x:v>
      </x:c>
      <x:c r="L386" s="50" t="n">
        <x:f>IF(I386=1,IFERROR(VALUE(SUBSTITUTE(_xlfn.XLOOKUP(H386,Rates_Raw!$AF$5:$AF$464,Rates_Raw!$L$5:$L$464,""),"$","")),""),"")</x:f>
        <x:v>28.8</x:v>
      </x:c>
      <x:c r="M386" s="50" t="n">
        <x:f>IF(OR(G386="",L386=""),"",ROUND(G386-L386,4))</x:f>
        <x:v>0</x:v>
      </x:c>
      <x:c r="N386" t="str">
        <x:f>IF(I386=0,"NO MATCH",IF(I386&gt;1,"AMBIGUOUS",IF(EXACT(TRIM(E386),TRIM(J386)),"EXACT","TITLE VARIANT")))</x:f>
        <x:v>EXACT</x:v>
      </x:c>
      <x:c r="O386" t="str">
        <x:f>IF(I386&lt;&gt;1,"NOT TESTED",IF(OR(G386="",L386=""),"MISSING",IF(ABS(M386)&lt;=Guide!$B$16,"PASS","REVIEW")))</x:f>
        <x:v>PASS</x:v>
      </x:c>
      <x:c r="P386" s="52" t="n">
        <x:f>IF(I386=1,IFERROR(VALUE(SUBSTITUTE(SUBSTITUTE(_xlfn.XLOOKUP(H386,Rates_Raw!$AF$5:$AF$464,Rates_Raw!$I$5:$I$464,""),"$",""),",","")),""),"")</x:f>
        <x:v>2304</x:v>
      </x:c>
      <x:c r="Q386" s="52" t="n">
        <x:f>IF(P386="","",P386*Guide!$B$15)</x:f>
        <x:v>59904</x:v>
      </x:c>
      <x:c r="R386" t="str">
        <x:f>IF(I386=0,"UNMATCHED",IF(I386&gt;1,"DUPLICATE KEY",IF(OR(N386="TITLE VARIANT",O386="REVIEW",O386="MISSING"),"REVIEW","VERIFIED")))</x:f>
        <x:v>VERIFIED</x:v>
      </x:c>
      <x:c r="S386" s="46" t="str">
        <x:v>Not Reviewed</x:v>
      </x:c>
      <x:c r="T386" s="48"/>
    </x:row>
    <x:row r="387">
      <x:c r="A387" t="n">
        <x:f>Plan_Raw!A387</x:f>
        <x:v>1908</x:v>
      </x:c>
      <x:c r="B387" t="str">
        <x:f>Plan_Raw!D387</x:f>
        <x:v>1360</x:v>
      </x:c>
      <x:c r="C387" t="str">
        <x:f>LEFT(Plan_Raw!B387,10)</x:f>
        <x:v>2026-07-01</x:v>
      </x:c>
      <x:c r="D387" t="str">
        <x:f>Plan_Raw!F387</x:f>
        <x:v>COMMN</x:v>
      </x:c>
      <x:c r="E387" t="str">
        <x:f>Plan_Raw!E387</x:f>
        <x:v>Special Assistant 1</x:v>
      </x:c>
      <x:c r="F387" t="str">
        <x:f>Plan_Raw!C387</x:f>
        <x:v>1360D</x:v>
      </x:c>
      <x:c r="G387" s="50" t="n">
        <x:f>IF(Plan_Raw!G387="","",IFERROR(VALUE(Plan_Raw!G387),""))</x:f>
        <x:v>29.375</x:v>
      </x:c>
      <x:c r="H387" t="str">
        <x:f>Plan_Raw!AH387</x:f>
        <x:v>1360|COMMN|2026-07-01</x:v>
      </x:c>
      <x:c r="I387" t="n">
        <x:f>COUNTIF(Rates_Raw!$AF$5:$AF$464,H387)</x:f>
        <x:v>0</x:v>
      </x:c>
      <x:c r="J387" t="str">
        <x:f>IF(I387=1,_xlfn.XLOOKUP(H387,Rates_Raw!$AF$5:$AF$464,Rates_Raw!$E$5:$E$464,""),"")</x:f>
      </x:c>
      <x:c r="K387" t="str">
        <x:f>IF(I387=1,_xlfn.XLOOKUP(H387,Rates_Raw!$AF$5:$AF$464,Rates_Raw!$F$5:$F$464,""),"")</x:f>
      </x:c>
      <x:c r="L387" s="50" t="str">
        <x:f>IF(I387=1,IFERROR(VALUE(SUBSTITUTE(_xlfn.XLOOKUP(H387,Rates_Raw!$AF$5:$AF$464,Rates_Raw!$L$5:$L$464,""),"$","")),""),"")</x:f>
      </x:c>
      <x:c r="M387" s="50" t="str">
        <x:f>IF(OR(G387="",L387=""),"",ROUND(G387-L387,4))</x:f>
      </x:c>
      <x:c r="N387" t="str">
        <x:f>IF(I387=0,"NO MATCH",IF(I387&gt;1,"AMBIGUOUS",IF(EXACT(TRIM(E387),TRIM(J387)),"EXACT","TITLE VARIANT")))</x:f>
        <x:v>NO MATCH</x:v>
      </x:c>
      <x:c r="O387" t="str">
        <x:f>IF(I387&lt;&gt;1,"NOT TESTED",IF(OR(G387="",L387=""),"MISSING",IF(ABS(M387)&lt;=Guide!$B$16,"PASS","REVIEW")))</x:f>
        <x:v>NOT TESTED</x:v>
      </x:c>
      <x:c r="P387" s="52" t="str">
        <x:f>IF(I387=1,IFERROR(VALUE(SUBSTITUTE(SUBSTITUTE(_xlfn.XLOOKUP(H387,Rates_Raw!$AF$5:$AF$464,Rates_Raw!$I$5:$I$464,""),"$",""),",","")),""),"")</x:f>
      </x:c>
      <x:c r="Q387" s="52" t="str">
        <x:f>IF(P387="","",P387*Guide!$B$15)</x:f>
      </x:c>
      <x:c r="R387" t="str">
        <x:f>IF(I387=0,"UNMATCHED",IF(I387&gt;1,"DUPLICATE KEY",IF(OR(N387="TITLE VARIANT",O387="REVIEW",O387="MISSING"),"REVIEW","VERIFIED")))</x:f>
        <x:v>UNMATCHED</x:v>
      </x:c>
      <x:c r="S387" s="46" t="str">
        <x:v>Not Reviewed</x:v>
      </x:c>
      <x:c r="T387" s="48"/>
    </x:row>
    <x:row r="388">
      <x:c r="A388" t="n">
        <x:f>Plan_Raw!A388</x:f>
        <x:v>1920</x:v>
      </x:c>
      <x:c r="B388" t="str">
        <x:f>Plan_Raw!D388</x:f>
        <x:v>1360</x:v>
      </x:c>
      <x:c r="C388" t="str">
        <x:f>LEFT(Plan_Raw!B388,10)</x:f>
        <x:v>2026-07-01</x:v>
      </x:c>
      <x:c r="D388" t="str">
        <x:f>Plan_Raw!F388</x:f>
        <x:v>SFMTA</x:v>
      </x:c>
      <x:c r="E388" t="str">
        <x:f>Plan_Raw!E388</x:f>
        <x:v>Special Assistant 1</x:v>
      </x:c>
      <x:c r="F388" t="str">
        <x:f>Plan_Raw!C388</x:f>
        <x:v>1360D</x:v>
      </x:c>
      <x:c r="G388" s="50" t="n">
        <x:f>IF(Plan_Raw!G388="","",IFERROR(VALUE(Plan_Raw!G388),""))</x:f>
        <x:v>29.375</x:v>
      </x:c>
      <x:c r="H388" t="str">
        <x:f>Plan_Raw!AH388</x:f>
        <x:v>1360|SFMTA|2026-07-01</x:v>
      </x:c>
      <x:c r="I388" t="n">
        <x:f>COUNTIF(Rates_Raw!$AF$5:$AF$464,H388)</x:f>
        <x:v>0</x:v>
      </x:c>
      <x:c r="J388" t="str">
        <x:f>IF(I388=1,_xlfn.XLOOKUP(H388,Rates_Raw!$AF$5:$AF$464,Rates_Raw!$E$5:$E$464,""),"")</x:f>
      </x:c>
      <x:c r="K388" t="str">
        <x:f>IF(I388=1,_xlfn.XLOOKUP(H388,Rates_Raw!$AF$5:$AF$464,Rates_Raw!$F$5:$F$464,""),"")</x:f>
      </x:c>
      <x:c r="L388" s="50" t="str">
        <x:f>IF(I388=1,IFERROR(VALUE(SUBSTITUTE(_xlfn.XLOOKUP(H388,Rates_Raw!$AF$5:$AF$464,Rates_Raw!$L$5:$L$464,""),"$","")),""),"")</x:f>
      </x:c>
      <x:c r="M388" s="50" t="str">
        <x:f>IF(OR(G388="",L388=""),"",ROUND(G388-L388,4))</x:f>
      </x:c>
      <x:c r="N388" t="str">
        <x:f>IF(I388=0,"NO MATCH",IF(I388&gt;1,"AMBIGUOUS",IF(EXACT(TRIM(E388),TRIM(J388)),"EXACT","TITLE VARIANT")))</x:f>
        <x:v>NO MATCH</x:v>
      </x:c>
      <x:c r="O388" t="str">
        <x:f>IF(I388&lt;&gt;1,"NOT TESTED",IF(OR(G388="",L388=""),"MISSING",IF(ABS(M388)&lt;=Guide!$B$16,"PASS","REVIEW")))</x:f>
        <x:v>NOT TESTED</x:v>
      </x:c>
      <x:c r="P388" s="52" t="str">
        <x:f>IF(I388=1,IFERROR(VALUE(SUBSTITUTE(SUBSTITUTE(_xlfn.XLOOKUP(H388,Rates_Raw!$AF$5:$AF$464,Rates_Raw!$I$5:$I$464,""),"$",""),",","")),""),"")</x:f>
      </x:c>
      <x:c r="Q388" s="52" t="str">
        <x:f>IF(P388="","",P388*Guide!$B$15)</x:f>
      </x:c>
      <x:c r="R388" t="str">
        <x:f>IF(I388=0,"UNMATCHED",IF(I388&gt;1,"DUPLICATE KEY",IF(OR(N388="TITLE VARIANT",O388="REVIEW",O388="MISSING"),"REVIEW","VERIFIED")))</x:f>
        <x:v>UNMATCHED</x:v>
      </x:c>
      <x:c r="S388" s="46" t="str">
        <x:v>Not Reviewed</x:v>
      </x:c>
      <x:c r="T388" s="48"/>
    </x:row>
    <x:row r="389">
      <x:c r="A389" t="n">
        <x:f>Plan_Raw!A389</x:f>
        <x:v>1927</x:v>
      </x:c>
      <x:c r="B389" t="str">
        <x:f>Plan_Raw!D389</x:f>
        <x:v>1361</x:v>
      </x:c>
      <x:c r="C389" t="str">
        <x:f>LEFT(Plan_Raw!B389,10)</x:f>
        <x:v>2024-01-06</x:v>
      </x:c>
      <x:c r="D389" t="str">
        <x:f>Plan_Raw!F389</x:f>
        <x:v>COMMN</x:v>
      </x:c>
      <x:c r="E389" t="str">
        <x:f>Plan_Raw!E389</x:f>
        <x:v>Special Assistant II</x:v>
      </x:c>
      <x:c r="F389" t="str">
        <x:f>Plan_Raw!C389</x:f>
        <x:v>1361Y</x:v>
      </x:c>
      <x:c r="G389" s="50" t="n">
        <x:f>IF(Plan_Raw!G389="","",IFERROR(VALUE(Plan_Raw!G389),""))</x:f>
        <x:v>28.975</x:v>
      </x:c>
      <x:c r="H389" t="str">
        <x:f>Plan_Raw!AH389</x:f>
        <x:v>1361|COMMN|2024-01-06</x:v>
      </x:c>
      <x:c r="I389" t="n">
        <x:f>COUNTIF(Rates_Raw!$AF$5:$AF$464,H389)</x:f>
        <x:v>1</x:v>
      </x:c>
      <x:c r="J389" t="str">
        <x:f>IF(I389=1,_xlfn.XLOOKUP(H389,Rates_Raw!$AF$5:$AF$464,Rates_Raw!$E$5:$E$464,""),"")</x:f>
        <x:v>Special Assistant II</x:v>
      </x:c>
      <x:c r="K389" t="n">
        <x:f>IF(I389=1,_xlfn.XLOOKUP(H389,Rates_Raw!$AF$5:$AF$464,Rates_Raw!$F$5:$F$464,""),"")</x:f>
        <x:v>21</x:v>
      </x:c>
      <x:c r="L389" s="50" t="n">
        <x:f>IF(I389=1,IFERROR(VALUE(SUBSTITUTE(_xlfn.XLOOKUP(H389,Rates_Raw!$AF$5:$AF$464,Rates_Raw!$L$5:$L$464,""),"$","")),""),"")</x:f>
        <x:v>28.975</x:v>
      </x:c>
      <x:c r="M389" s="50" t="n">
        <x:f>IF(OR(G389="",L389=""),"",ROUND(G389-L389,4))</x:f>
        <x:v>0</x:v>
      </x:c>
      <x:c r="N389" t="str">
        <x:f>IF(I389=0,"NO MATCH",IF(I389&gt;1,"AMBIGUOUS",IF(EXACT(TRIM(E389),TRIM(J389)),"EXACT","TITLE VARIANT")))</x:f>
        <x:v>EXACT</x:v>
      </x:c>
      <x:c r="O389" t="str">
        <x:f>IF(I389&lt;&gt;1,"NOT TESTED",IF(OR(G389="",L389=""),"MISSING",IF(ABS(M389)&lt;=Guide!$B$16,"PASS","REVIEW")))</x:f>
        <x:v>PASS</x:v>
      </x:c>
      <x:c r="P389" s="52" t="n">
        <x:f>IF(I389=1,IFERROR(VALUE(SUBSTITUTE(SUBSTITUTE(_xlfn.XLOOKUP(H389,Rates_Raw!$AF$5:$AF$464,Rates_Raw!$I$5:$I$464,""),"$",""),",","")),""),"")</x:f>
        <x:v>2318</x:v>
      </x:c>
      <x:c r="Q389" s="52" t="n">
        <x:f>IF(P389="","",P389*Guide!$B$15)</x:f>
        <x:v>60268</x:v>
      </x:c>
      <x:c r="R389" t="str">
        <x:f>IF(I389=0,"UNMATCHED",IF(I389&gt;1,"DUPLICATE KEY",IF(OR(N389="TITLE VARIANT",O389="REVIEW",O389="MISSING"),"REVIEW","VERIFIED")))</x:f>
        <x:v>VERIFIED</x:v>
      </x:c>
      <x:c r="S389" s="46" t="str">
        <x:v>Not Reviewed</x:v>
      </x:c>
      <x:c r="T389" s="48"/>
    </x:row>
    <x:row r="390">
      <x:c r="A390" t="n">
        <x:f>Plan_Raw!A390</x:f>
        <x:v>1939</x:v>
      </x:c>
      <x:c r="B390" t="str">
        <x:f>Plan_Raw!D390</x:f>
        <x:v>1361</x:v>
      </x:c>
      <x:c r="C390" t="str">
        <x:f>LEFT(Plan_Raw!B390,10)</x:f>
        <x:v>2024-01-06</x:v>
      </x:c>
      <x:c r="D390" t="str">
        <x:f>Plan_Raw!F390</x:f>
        <x:v>SFMTA</x:v>
      </x:c>
      <x:c r="E390" t="str">
        <x:f>Plan_Raw!E390</x:f>
        <x:v>Special Assistant II</x:v>
      </x:c>
      <x:c r="F390" t="str">
        <x:f>Plan_Raw!C390</x:f>
        <x:v>1361Y</x:v>
      </x:c>
      <x:c r="G390" s="50" t="n">
        <x:f>IF(Plan_Raw!G390="","",IFERROR(VALUE(Plan_Raw!G390),""))</x:f>
        <x:v>28.975</x:v>
      </x:c>
      <x:c r="H390" t="str">
        <x:f>Plan_Raw!AH390</x:f>
        <x:v>1361|SFMTA|2024-01-06</x:v>
      </x:c>
      <x:c r="I390" t="n">
        <x:f>COUNTIF(Rates_Raw!$AF$5:$AF$464,H390)</x:f>
        <x:v>1</x:v>
      </x:c>
      <x:c r="J390" t="str">
        <x:f>IF(I390=1,_xlfn.XLOOKUP(H390,Rates_Raw!$AF$5:$AF$464,Rates_Raw!$E$5:$E$464,""),"")</x:f>
        <x:v>Special Assistant II</x:v>
      </x:c>
      <x:c r="K390" t="n">
        <x:f>IF(I390=1,_xlfn.XLOOKUP(H390,Rates_Raw!$AF$5:$AF$464,Rates_Raw!$F$5:$F$464,""),"")</x:f>
        <x:v>21</x:v>
      </x:c>
      <x:c r="L390" s="50" t="n">
        <x:f>IF(I390=1,IFERROR(VALUE(SUBSTITUTE(_xlfn.XLOOKUP(H390,Rates_Raw!$AF$5:$AF$464,Rates_Raw!$L$5:$L$464,""),"$","")),""),"")</x:f>
        <x:v>28.975</x:v>
      </x:c>
      <x:c r="M390" s="50" t="n">
        <x:f>IF(OR(G390="",L390=""),"",ROUND(G390-L390,4))</x:f>
        <x:v>0</x:v>
      </x:c>
      <x:c r="N390" t="str">
        <x:f>IF(I390=0,"NO MATCH",IF(I390&gt;1,"AMBIGUOUS",IF(EXACT(TRIM(E390),TRIM(J390)),"EXACT","TITLE VARIANT")))</x:f>
        <x:v>EXACT</x:v>
      </x:c>
      <x:c r="O390" t="str">
        <x:f>IF(I390&lt;&gt;1,"NOT TESTED",IF(OR(G390="",L390=""),"MISSING",IF(ABS(M390)&lt;=Guide!$B$16,"PASS","REVIEW")))</x:f>
        <x:v>PASS</x:v>
      </x:c>
      <x:c r="P390" s="52" t="n">
        <x:f>IF(I390=1,IFERROR(VALUE(SUBSTITUTE(SUBSTITUTE(_xlfn.XLOOKUP(H390,Rates_Raw!$AF$5:$AF$464,Rates_Raw!$I$5:$I$464,""),"$",""),",","")),""),"")</x:f>
        <x:v>2318</x:v>
      </x:c>
      <x:c r="Q390" s="52" t="n">
        <x:f>IF(P390="","",P390*Guide!$B$15)</x:f>
        <x:v>60268</x:v>
      </x:c>
      <x:c r="R390" t="str">
        <x:f>IF(I390=0,"UNMATCHED",IF(I390&gt;1,"DUPLICATE KEY",IF(OR(N390="TITLE VARIANT",O390="REVIEW",O390="MISSING"),"REVIEW","VERIFIED")))</x:f>
        <x:v>VERIFIED</x:v>
      </x:c>
      <x:c r="S390" s="46" t="str">
        <x:v>Not Reviewed</x:v>
      </x:c>
      <x:c r="T390" s="48"/>
    </x:row>
    <x:row r="391">
      <x:c r="A391" t="n">
        <x:f>Plan_Raw!A391</x:f>
        <x:v>1928</x:v>
      </x:c>
      <x:c r="B391" t="str">
        <x:f>Plan_Raw!D391</x:f>
        <x:v>1361</x:v>
      </x:c>
      <x:c r="C391" t="str">
        <x:f>LEFT(Plan_Raw!B391,10)</x:f>
        <x:v>2024-07-01</x:v>
      </x:c>
      <x:c r="D391" t="str">
        <x:f>Plan_Raw!F391</x:f>
        <x:v>COMMN</x:v>
      </x:c>
      <x:c r="E391" t="str">
        <x:f>Plan_Raw!E391</x:f>
        <x:v>Special Assistant II</x:v>
      </x:c>
      <x:c r="F391" t="str">
        <x:f>Plan_Raw!C391</x:f>
        <x:v>1361Z</x:v>
      </x:c>
      <x:c r="G391" s="50" t="n">
        <x:f>IF(Plan_Raw!G391="","",IFERROR(VALUE(Plan_Raw!G391),""))</x:f>
        <x:v>29.4125</x:v>
      </x:c>
      <x:c r="H391" t="str">
        <x:f>Plan_Raw!AH391</x:f>
        <x:v>1361|COMMN|2024-07-01</x:v>
      </x:c>
      <x:c r="I391" t="n">
        <x:f>COUNTIF(Rates_Raw!$AF$5:$AF$464,H391)</x:f>
        <x:v>1</x:v>
      </x:c>
      <x:c r="J391" t="str">
        <x:f>IF(I391=1,_xlfn.XLOOKUP(H391,Rates_Raw!$AF$5:$AF$464,Rates_Raw!$E$5:$E$464,""),"")</x:f>
        <x:v>Special Assistant II</x:v>
      </x:c>
      <x:c r="K391" t="n">
        <x:f>IF(I391=1,_xlfn.XLOOKUP(H391,Rates_Raw!$AF$5:$AF$464,Rates_Raw!$F$5:$F$464,""),"")</x:f>
        <x:v>21</x:v>
      </x:c>
      <x:c r="L391" s="50" t="n">
        <x:f>IF(I391=1,IFERROR(VALUE(SUBSTITUTE(_xlfn.XLOOKUP(H391,Rates_Raw!$AF$5:$AF$464,Rates_Raw!$L$5:$L$464,""),"$","")),""),"")</x:f>
        <x:v>29.4125</x:v>
      </x:c>
      <x:c r="M391" s="50" t="n">
        <x:f>IF(OR(G391="",L391=""),"",ROUND(G391-L391,4))</x:f>
        <x:v>0</x:v>
      </x:c>
      <x:c r="N391" t="str">
        <x:f>IF(I391=0,"NO MATCH",IF(I391&gt;1,"AMBIGUOUS",IF(EXACT(TRIM(E391),TRIM(J391)),"EXACT","TITLE VARIANT")))</x:f>
        <x:v>EXACT</x:v>
      </x:c>
      <x:c r="O391" t="str">
        <x:f>IF(I391&lt;&gt;1,"NOT TESTED",IF(OR(G391="",L391=""),"MISSING",IF(ABS(M391)&lt;=Guide!$B$16,"PASS","REVIEW")))</x:f>
        <x:v>PASS</x:v>
      </x:c>
      <x:c r="P391" s="52" t="n">
        <x:f>IF(I391=1,IFERROR(VALUE(SUBSTITUTE(SUBSTITUTE(_xlfn.XLOOKUP(H391,Rates_Raw!$AF$5:$AF$464,Rates_Raw!$I$5:$I$464,""),"$",""),",","")),""),"")</x:f>
        <x:v>2353</x:v>
      </x:c>
      <x:c r="Q391" s="52" t="n">
        <x:f>IF(P391="","",P391*Guide!$B$15)</x:f>
        <x:v>61178</x:v>
      </x:c>
      <x:c r="R391" t="str">
        <x:f>IF(I391=0,"UNMATCHED",IF(I391&gt;1,"DUPLICATE KEY",IF(OR(N391="TITLE VARIANT",O391="REVIEW",O391="MISSING"),"REVIEW","VERIFIED")))</x:f>
        <x:v>VERIFIED</x:v>
      </x:c>
      <x:c r="S391" s="46" t="str">
        <x:v>Not Reviewed</x:v>
      </x:c>
      <x:c r="T391" s="48"/>
    </x:row>
    <x:row r="392">
      <x:c r="A392" t="n">
        <x:f>Plan_Raw!A392</x:f>
        <x:v>1940</x:v>
      </x:c>
      <x:c r="B392" t="str">
        <x:f>Plan_Raw!D392</x:f>
        <x:v>1361</x:v>
      </x:c>
      <x:c r="C392" t="str">
        <x:f>LEFT(Plan_Raw!B392,10)</x:f>
        <x:v>2024-07-01</x:v>
      </x:c>
      <x:c r="D392" t="str">
        <x:f>Plan_Raw!F392</x:f>
        <x:v>SFMTA</x:v>
      </x:c>
      <x:c r="E392" t="str">
        <x:f>Plan_Raw!E392</x:f>
        <x:v>Special Assistant II</x:v>
      </x:c>
      <x:c r="F392" t="str">
        <x:f>Plan_Raw!C392</x:f>
        <x:v>1361Z</x:v>
      </x:c>
      <x:c r="G392" s="50" t="n">
        <x:f>IF(Plan_Raw!G392="","",IFERROR(VALUE(Plan_Raw!G392),""))</x:f>
        <x:v>29.4125</x:v>
      </x:c>
      <x:c r="H392" t="str">
        <x:f>Plan_Raw!AH392</x:f>
        <x:v>1361|SFMTA|2024-07-01</x:v>
      </x:c>
      <x:c r="I392" t="n">
        <x:f>COUNTIF(Rates_Raw!$AF$5:$AF$464,H392)</x:f>
        <x:v>1</x:v>
      </x:c>
      <x:c r="J392" t="str">
        <x:f>IF(I392=1,_xlfn.XLOOKUP(H392,Rates_Raw!$AF$5:$AF$464,Rates_Raw!$E$5:$E$464,""),"")</x:f>
        <x:v>Special Assistant II</x:v>
      </x:c>
      <x:c r="K392" t="n">
        <x:f>IF(I392=1,_xlfn.XLOOKUP(H392,Rates_Raw!$AF$5:$AF$464,Rates_Raw!$F$5:$F$464,""),"")</x:f>
        <x:v>21</x:v>
      </x:c>
      <x:c r="L392" s="50" t="n">
        <x:f>IF(I392=1,IFERROR(VALUE(SUBSTITUTE(_xlfn.XLOOKUP(H392,Rates_Raw!$AF$5:$AF$464,Rates_Raw!$L$5:$L$464,""),"$","")),""),"")</x:f>
        <x:v>29.4125</x:v>
      </x:c>
      <x:c r="M392" s="50" t="n">
        <x:f>IF(OR(G392="",L392=""),"",ROUND(G392-L392,4))</x:f>
        <x:v>0</x:v>
      </x:c>
      <x:c r="N392" t="str">
        <x:f>IF(I392=0,"NO MATCH",IF(I392&gt;1,"AMBIGUOUS",IF(EXACT(TRIM(E392),TRIM(J392)),"EXACT","TITLE VARIANT")))</x:f>
        <x:v>EXACT</x:v>
      </x:c>
      <x:c r="O392" t="str">
        <x:f>IF(I392&lt;&gt;1,"NOT TESTED",IF(OR(G392="",L392=""),"MISSING",IF(ABS(M392)&lt;=Guide!$B$16,"PASS","REVIEW")))</x:f>
        <x:v>PASS</x:v>
      </x:c>
      <x:c r="P392" s="52" t="n">
        <x:f>IF(I392=1,IFERROR(VALUE(SUBSTITUTE(SUBSTITUTE(_xlfn.XLOOKUP(H392,Rates_Raw!$AF$5:$AF$464,Rates_Raw!$I$5:$I$464,""),"$",""),",","")),""),"")</x:f>
        <x:v>2353</x:v>
      </x:c>
      <x:c r="Q392" s="52" t="n">
        <x:f>IF(P392="","",P392*Guide!$B$15)</x:f>
        <x:v>61178</x:v>
      </x:c>
      <x:c r="R392" t="str">
        <x:f>IF(I392=0,"UNMATCHED",IF(I392&gt;1,"DUPLICATE KEY",IF(OR(N392="TITLE VARIANT",O392="REVIEW",O392="MISSING"),"REVIEW","VERIFIED")))</x:f>
        <x:v>VERIFIED</x:v>
      </x:c>
      <x:c r="S392" s="46" t="str">
        <x:v>Not Reviewed</x:v>
      </x:c>
      <x:c r="T392" s="48"/>
    </x:row>
    <x:row r="393">
      <x:c r="A393" t="n">
        <x:f>Plan_Raw!A393</x:f>
        <x:v>1929</x:v>
      </x:c>
      <x:c r="B393" t="str">
        <x:f>Plan_Raw!D393</x:f>
        <x:v>1361</x:v>
      </x:c>
      <x:c r="C393" t="str">
        <x:f>LEFT(Plan_Raw!B393,10)</x:f>
        <x:v>2025-01-04</x:v>
      </x:c>
      <x:c r="D393" t="str">
        <x:f>Plan_Raw!F393</x:f>
        <x:v>COMMN</x:v>
      </x:c>
      <x:c r="E393" t="str">
        <x:f>Plan_Raw!E393</x:f>
        <x:v>Special Assistant II</x:v>
      </x:c>
      <x:c r="F393" t="str">
        <x:f>Plan_Raw!C393</x:f>
        <x:v>1361A</x:v>
      </x:c>
      <x:c r="G393" s="50" t="n">
        <x:f>IF(Plan_Raw!G393="","",IFERROR(VALUE(Plan_Raw!G393),""))</x:f>
        <x:v>29.85</x:v>
      </x:c>
      <x:c r="H393" t="str">
        <x:f>Plan_Raw!AH393</x:f>
        <x:v>1361|COMMN|2025-01-04</x:v>
      </x:c>
      <x:c r="I393" t="n">
        <x:f>COUNTIF(Rates_Raw!$AF$5:$AF$464,H393)</x:f>
        <x:v>1</x:v>
      </x:c>
      <x:c r="J393" t="str">
        <x:f>IF(I393=1,_xlfn.XLOOKUP(H393,Rates_Raw!$AF$5:$AF$464,Rates_Raw!$E$5:$E$464,""),"")</x:f>
        <x:v>Special Assistant II</x:v>
      </x:c>
      <x:c r="K393" t="n">
        <x:f>IF(I393=1,_xlfn.XLOOKUP(H393,Rates_Raw!$AF$5:$AF$464,Rates_Raw!$F$5:$F$464,""),"")</x:f>
        <x:v>21</x:v>
      </x:c>
      <x:c r="L393" s="50" t="n">
        <x:f>IF(I393=1,IFERROR(VALUE(SUBSTITUTE(_xlfn.XLOOKUP(H393,Rates_Raw!$AF$5:$AF$464,Rates_Raw!$L$5:$L$464,""),"$","")),""),"")</x:f>
        <x:v>29.85</x:v>
      </x:c>
      <x:c r="M393" s="50" t="n">
        <x:f>IF(OR(G393="",L393=""),"",ROUND(G393-L393,4))</x:f>
        <x:v>0</x:v>
      </x:c>
      <x:c r="N393" t="str">
        <x:f>IF(I393=0,"NO MATCH",IF(I393&gt;1,"AMBIGUOUS",IF(EXACT(TRIM(E393),TRIM(J393)),"EXACT","TITLE VARIANT")))</x:f>
        <x:v>EXACT</x:v>
      </x:c>
      <x:c r="O393" t="str">
        <x:f>IF(I393&lt;&gt;1,"NOT TESTED",IF(OR(G393="",L393=""),"MISSING",IF(ABS(M393)&lt;=Guide!$B$16,"PASS","REVIEW")))</x:f>
        <x:v>PASS</x:v>
      </x:c>
      <x:c r="P393" s="52" t="n">
        <x:f>IF(I393=1,IFERROR(VALUE(SUBSTITUTE(SUBSTITUTE(_xlfn.XLOOKUP(H393,Rates_Raw!$AF$5:$AF$464,Rates_Raw!$I$5:$I$464,""),"$",""),",","")),""),"")</x:f>
        <x:v>2388</x:v>
      </x:c>
      <x:c r="Q393" s="52" t="n">
        <x:f>IF(P393="","",P393*Guide!$B$15)</x:f>
        <x:v>62088</x:v>
      </x:c>
      <x:c r="R393" t="str">
        <x:f>IF(I393=0,"UNMATCHED",IF(I393&gt;1,"DUPLICATE KEY",IF(OR(N393="TITLE VARIANT",O393="REVIEW",O393="MISSING"),"REVIEW","VERIFIED")))</x:f>
        <x:v>VERIFIED</x:v>
      </x:c>
      <x:c r="S393" s="46" t="str">
        <x:v>Not Reviewed</x:v>
      </x:c>
      <x:c r="T393" s="48"/>
    </x:row>
    <x:row r="394">
      <x:c r="A394" t="n">
        <x:f>Plan_Raw!A394</x:f>
        <x:v>1941</x:v>
      </x:c>
      <x:c r="B394" t="str">
        <x:f>Plan_Raw!D394</x:f>
        <x:v>1361</x:v>
      </x:c>
      <x:c r="C394" t="str">
        <x:f>LEFT(Plan_Raw!B394,10)</x:f>
        <x:v>2025-01-04</x:v>
      </x:c>
      <x:c r="D394" t="str">
        <x:f>Plan_Raw!F394</x:f>
        <x:v>SFMTA</x:v>
      </x:c>
      <x:c r="E394" t="str">
        <x:f>Plan_Raw!E394</x:f>
        <x:v>Special Assistant II</x:v>
      </x:c>
      <x:c r="F394" t="str">
        <x:f>Plan_Raw!C394</x:f>
        <x:v>1361A</x:v>
      </x:c>
      <x:c r="G394" s="50" t="n">
        <x:f>IF(Plan_Raw!G394="","",IFERROR(VALUE(Plan_Raw!G394),""))</x:f>
        <x:v>29.85</x:v>
      </x:c>
      <x:c r="H394" t="str">
        <x:f>Plan_Raw!AH394</x:f>
        <x:v>1361|SFMTA|2025-01-04</x:v>
      </x:c>
      <x:c r="I394" t="n">
        <x:f>COUNTIF(Rates_Raw!$AF$5:$AF$464,H394)</x:f>
        <x:v>1</x:v>
      </x:c>
      <x:c r="J394" t="str">
        <x:f>IF(I394=1,_xlfn.XLOOKUP(H394,Rates_Raw!$AF$5:$AF$464,Rates_Raw!$E$5:$E$464,""),"")</x:f>
        <x:v>Special Assistant II</x:v>
      </x:c>
      <x:c r="K394" t="n">
        <x:f>IF(I394=1,_xlfn.XLOOKUP(H394,Rates_Raw!$AF$5:$AF$464,Rates_Raw!$F$5:$F$464,""),"")</x:f>
        <x:v>21</x:v>
      </x:c>
      <x:c r="L394" s="50" t="n">
        <x:f>IF(I394=1,IFERROR(VALUE(SUBSTITUTE(_xlfn.XLOOKUP(H394,Rates_Raw!$AF$5:$AF$464,Rates_Raw!$L$5:$L$464,""),"$","")),""),"")</x:f>
        <x:v>29.85</x:v>
      </x:c>
      <x:c r="M394" s="50" t="n">
        <x:f>IF(OR(G394="",L394=""),"",ROUND(G394-L394,4))</x:f>
        <x:v>0</x:v>
      </x:c>
      <x:c r="N394" t="str">
        <x:f>IF(I394=0,"NO MATCH",IF(I394&gt;1,"AMBIGUOUS",IF(EXACT(TRIM(E394),TRIM(J394)),"EXACT","TITLE VARIANT")))</x:f>
        <x:v>EXACT</x:v>
      </x:c>
      <x:c r="O394" t="str">
        <x:f>IF(I394&lt;&gt;1,"NOT TESTED",IF(OR(G394="",L394=""),"MISSING",IF(ABS(M394)&lt;=Guide!$B$16,"PASS","REVIEW")))</x:f>
        <x:v>PASS</x:v>
      </x:c>
      <x:c r="P394" s="52" t="n">
        <x:f>IF(I394=1,IFERROR(VALUE(SUBSTITUTE(SUBSTITUTE(_xlfn.XLOOKUP(H394,Rates_Raw!$AF$5:$AF$464,Rates_Raw!$I$5:$I$464,""),"$",""),",","")),""),"")</x:f>
        <x:v>2388</x:v>
      </x:c>
      <x:c r="Q394" s="52" t="n">
        <x:f>IF(P394="","",P394*Guide!$B$15)</x:f>
        <x:v>62088</x:v>
      </x:c>
      <x:c r="R394" t="str">
        <x:f>IF(I394=0,"UNMATCHED",IF(I394&gt;1,"DUPLICATE KEY",IF(OR(N394="TITLE VARIANT",O394="REVIEW",O394="MISSING"),"REVIEW","VERIFIED")))</x:f>
        <x:v>VERIFIED</x:v>
      </x:c>
      <x:c r="S394" s="46" t="str">
        <x:v>Not Reviewed</x:v>
      </x:c>
      <x:c r="T394" s="48"/>
    </x:row>
    <x:row r="395">
      <x:c r="A395" t="n">
        <x:f>Plan_Raw!A395</x:f>
        <x:v>1930</x:v>
      </x:c>
      <x:c r="B395" t="str">
        <x:f>Plan_Raw!D395</x:f>
        <x:v>1361</x:v>
      </x:c>
      <x:c r="C395" t="str">
        <x:f>LEFT(Plan_Raw!B395,10)</x:f>
        <x:v>2025-07-01</x:v>
      </x:c>
      <x:c r="D395" t="str">
        <x:f>Plan_Raw!F395</x:f>
        <x:v>COMMN</x:v>
      </x:c>
      <x:c r="E395" t="str">
        <x:f>Plan_Raw!E395</x:f>
        <x:v>Special Assistant 2</x:v>
      </x:c>
      <x:c r="F395" t="str">
        <x:f>Plan_Raw!C395</x:f>
        <x:v>1361B</x:v>
      </x:c>
      <x:c r="G395" s="50" t="n">
        <x:f>IF(Plan_Raw!G395="","",IFERROR(VALUE(Plan_Raw!G395),""))</x:f>
        <x:v>30.45</x:v>
      </x:c>
      <x:c r="H395" t="str">
        <x:f>Plan_Raw!AH395</x:f>
        <x:v>1361|COMMN|2025-07-01</x:v>
      </x:c>
      <x:c r="I395" t="n">
        <x:f>COUNTIF(Rates_Raw!$AF$5:$AF$464,H395)</x:f>
        <x:v>1</x:v>
      </x:c>
      <x:c r="J395" t="str">
        <x:f>IF(I395=1,_xlfn.XLOOKUP(H395,Rates_Raw!$AF$5:$AF$464,Rates_Raw!$E$5:$E$464,""),"")</x:f>
        <x:v>Special Assistant 2</x:v>
      </x:c>
      <x:c r="K395" t="n">
        <x:f>IF(I395=1,_xlfn.XLOOKUP(H395,Rates_Raw!$AF$5:$AF$464,Rates_Raw!$F$5:$F$464,""),"")</x:f>
        <x:v>21</x:v>
      </x:c>
      <x:c r="L395" s="50" t="n">
        <x:f>IF(I395=1,IFERROR(VALUE(SUBSTITUTE(_xlfn.XLOOKUP(H395,Rates_Raw!$AF$5:$AF$464,Rates_Raw!$L$5:$L$464,""),"$","")),""),"")</x:f>
        <x:v>30.45</x:v>
      </x:c>
      <x:c r="M395" s="50" t="n">
        <x:f>IF(OR(G395="",L395=""),"",ROUND(G395-L395,4))</x:f>
        <x:v>0</x:v>
      </x:c>
      <x:c r="N395" t="str">
        <x:f>IF(I395=0,"NO MATCH",IF(I395&gt;1,"AMBIGUOUS",IF(EXACT(TRIM(E395),TRIM(J395)),"EXACT","TITLE VARIANT")))</x:f>
        <x:v>EXACT</x:v>
      </x:c>
      <x:c r="O395" t="str">
        <x:f>IF(I395&lt;&gt;1,"NOT TESTED",IF(OR(G395="",L395=""),"MISSING",IF(ABS(M395)&lt;=Guide!$B$16,"PASS","REVIEW")))</x:f>
        <x:v>PASS</x:v>
      </x:c>
      <x:c r="P395" s="52" t="n">
        <x:f>IF(I395=1,IFERROR(VALUE(SUBSTITUTE(SUBSTITUTE(_xlfn.XLOOKUP(H395,Rates_Raw!$AF$5:$AF$464,Rates_Raw!$I$5:$I$464,""),"$",""),",","")),""),"")</x:f>
        <x:v>2436</x:v>
      </x:c>
      <x:c r="Q395" s="52" t="n">
        <x:f>IF(P395="","",P395*Guide!$B$15)</x:f>
        <x:v>63336</x:v>
      </x:c>
      <x:c r="R395" t="str">
        <x:f>IF(I395=0,"UNMATCHED",IF(I395&gt;1,"DUPLICATE KEY",IF(OR(N395="TITLE VARIANT",O395="REVIEW",O395="MISSING"),"REVIEW","VERIFIED")))</x:f>
        <x:v>VERIFIED</x:v>
      </x:c>
      <x:c r="S395" s="46" t="str">
        <x:v>Not Reviewed</x:v>
      </x:c>
      <x:c r="T395" s="48"/>
    </x:row>
    <x:row r="396">
      <x:c r="A396" t="n">
        <x:f>Plan_Raw!A396</x:f>
        <x:v>1942</x:v>
      </x:c>
      <x:c r="B396" t="str">
        <x:f>Plan_Raw!D396</x:f>
        <x:v>1361</x:v>
      </x:c>
      <x:c r="C396" t="str">
        <x:f>LEFT(Plan_Raw!B396,10)</x:f>
        <x:v>2025-07-01</x:v>
      </x:c>
      <x:c r="D396" t="str">
        <x:f>Plan_Raw!F396</x:f>
        <x:v>SFMTA</x:v>
      </x:c>
      <x:c r="E396" t="str">
        <x:f>Plan_Raw!E396</x:f>
        <x:v>Special Assistant 2</x:v>
      </x:c>
      <x:c r="F396" t="str">
        <x:f>Plan_Raw!C396</x:f>
        <x:v>1361B</x:v>
      </x:c>
      <x:c r="G396" s="50" t="n">
        <x:f>IF(Plan_Raw!G396="","",IFERROR(VALUE(Plan_Raw!G396),""))</x:f>
        <x:v>30.45</x:v>
      </x:c>
      <x:c r="H396" t="str">
        <x:f>Plan_Raw!AH396</x:f>
        <x:v>1361|SFMTA|2025-07-01</x:v>
      </x:c>
      <x:c r="I396" t="n">
        <x:f>COUNTIF(Rates_Raw!$AF$5:$AF$464,H396)</x:f>
        <x:v>1</x:v>
      </x:c>
      <x:c r="J396" t="str">
        <x:f>IF(I396=1,_xlfn.XLOOKUP(H396,Rates_Raw!$AF$5:$AF$464,Rates_Raw!$E$5:$E$464,""),"")</x:f>
        <x:v>Special Assistant 2</x:v>
      </x:c>
      <x:c r="K396" t="n">
        <x:f>IF(I396=1,_xlfn.XLOOKUP(H396,Rates_Raw!$AF$5:$AF$464,Rates_Raw!$F$5:$F$464,""),"")</x:f>
        <x:v>21</x:v>
      </x:c>
      <x:c r="L396" s="50" t="n">
        <x:f>IF(I396=1,IFERROR(VALUE(SUBSTITUTE(_xlfn.XLOOKUP(H396,Rates_Raw!$AF$5:$AF$464,Rates_Raw!$L$5:$L$464,""),"$","")),""),"")</x:f>
        <x:v>30.45</x:v>
      </x:c>
      <x:c r="M396" s="50" t="n">
        <x:f>IF(OR(G396="",L396=""),"",ROUND(G396-L396,4))</x:f>
        <x:v>0</x:v>
      </x:c>
      <x:c r="N396" t="str">
        <x:f>IF(I396=0,"NO MATCH",IF(I396&gt;1,"AMBIGUOUS",IF(EXACT(TRIM(E396),TRIM(J396)),"EXACT","TITLE VARIANT")))</x:f>
        <x:v>EXACT</x:v>
      </x:c>
      <x:c r="O396" t="str">
        <x:f>IF(I396&lt;&gt;1,"NOT TESTED",IF(OR(G396="",L396=""),"MISSING",IF(ABS(M396)&lt;=Guide!$B$16,"PASS","REVIEW")))</x:f>
        <x:v>PASS</x:v>
      </x:c>
      <x:c r="P396" s="52" t="n">
        <x:f>IF(I396=1,IFERROR(VALUE(SUBSTITUTE(SUBSTITUTE(_xlfn.XLOOKUP(H396,Rates_Raw!$AF$5:$AF$464,Rates_Raw!$I$5:$I$464,""),"$",""),",","")),""),"")</x:f>
        <x:v>2436</x:v>
      </x:c>
      <x:c r="Q396" s="52" t="n">
        <x:f>IF(P396="","",P396*Guide!$B$15)</x:f>
        <x:v>63336</x:v>
      </x:c>
      <x:c r="R396" t="str">
        <x:f>IF(I396=0,"UNMATCHED",IF(I396&gt;1,"DUPLICATE KEY",IF(OR(N396="TITLE VARIANT",O396="REVIEW",O396="MISSING"),"REVIEW","VERIFIED")))</x:f>
        <x:v>VERIFIED</x:v>
      </x:c>
      <x:c r="S396" s="46" t="str">
        <x:v>Not Reviewed</x:v>
      </x:c>
      <x:c r="T396" s="48"/>
    </x:row>
    <x:row r="397">
      <x:c r="A397" t="n">
        <x:f>Plan_Raw!A397</x:f>
        <x:v>1931</x:v>
      </x:c>
      <x:c r="B397" t="str">
        <x:f>Plan_Raw!D397</x:f>
        <x:v>1361</x:v>
      </x:c>
      <x:c r="C397" t="str">
        <x:f>LEFT(Plan_Raw!B397,10)</x:f>
        <x:v>2026-01-03</x:v>
      </x:c>
      <x:c r="D397" t="str">
        <x:f>Plan_Raw!F397</x:f>
        <x:v>COMMN</x:v>
      </x:c>
      <x:c r="E397" t="str">
        <x:f>Plan_Raw!E397</x:f>
        <x:v>Special Assistant 2</x:v>
      </x:c>
      <x:c r="F397" t="str">
        <x:f>Plan_Raw!C397</x:f>
        <x:v>1361C</x:v>
      </x:c>
      <x:c r="G397" s="50" t="n">
        <x:f>IF(Plan_Raw!G397="","",IFERROR(VALUE(Plan_Raw!G397),""))</x:f>
        <x:v>30.9125</x:v>
      </x:c>
      <x:c r="H397" t="str">
        <x:f>Plan_Raw!AH397</x:f>
        <x:v>1361|COMMN|2026-01-03</x:v>
      </x:c>
      <x:c r="I397" t="n">
        <x:f>COUNTIF(Rates_Raw!$AF$5:$AF$464,H397)</x:f>
        <x:v>1</x:v>
      </x:c>
      <x:c r="J397" t="str">
        <x:f>IF(I397=1,_xlfn.XLOOKUP(H397,Rates_Raw!$AF$5:$AF$464,Rates_Raw!$E$5:$E$464,""),"")</x:f>
        <x:v>Special Assistant 2</x:v>
      </x:c>
      <x:c r="K397" t="n">
        <x:f>IF(I397=1,_xlfn.XLOOKUP(H397,Rates_Raw!$AF$5:$AF$464,Rates_Raw!$F$5:$F$464,""),"")</x:f>
        <x:v>21</x:v>
      </x:c>
      <x:c r="L397" s="50" t="n">
        <x:f>IF(I397=1,IFERROR(VALUE(SUBSTITUTE(_xlfn.XLOOKUP(H397,Rates_Raw!$AF$5:$AF$464,Rates_Raw!$L$5:$L$464,""),"$","")),""),"")</x:f>
        <x:v>30.9125</x:v>
      </x:c>
      <x:c r="M397" s="50" t="n">
        <x:f>IF(OR(G397="",L397=""),"",ROUND(G397-L397,4))</x:f>
        <x:v>0</x:v>
      </x:c>
      <x:c r="N397" t="str">
        <x:f>IF(I397=0,"NO MATCH",IF(I397&gt;1,"AMBIGUOUS",IF(EXACT(TRIM(E397),TRIM(J397)),"EXACT","TITLE VARIANT")))</x:f>
        <x:v>EXACT</x:v>
      </x:c>
      <x:c r="O397" t="str">
        <x:f>IF(I397&lt;&gt;1,"NOT TESTED",IF(OR(G397="",L397=""),"MISSING",IF(ABS(M397)&lt;=Guide!$B$16,"PASS","REVIEW")))</x:f>
        <x:v>PASS</x:v>
      </x:c>
      <x:c r="P397" s="52" t="n">
        <x:f>IF(I397=1,IFERROR(VALUE(SUBSTITUTE(SUBSTITUTE(_xlfn.XLOOKUP(H397,Rates_Raw!$AF$5:$AF$464,Rates_Raw!$I$5:$I$464,""),"$",""),",","")),""),"")</x:f>
        <x:v>2473</x:v>
      </x:c>
      <x:c r="Q397" s="52" t="n">
        <x:f>IF(P397="","",P397*Guide!$B$15)</x:f>
        <x:v>64298</x:v>
      </x:c>
      <x:c r="R397" t="str">
        <x:f>IF(I397=0,"UNMATCHED",IF(I397&gt;1,"DUPLICATE KEY",IF(OR(N397="TITLE VARIANT",O397="REVIEW",O397="MISSING"),"REVIEW","VERIFIED")))</x:f>
        <x:v>VERIFIED</x:v>
      </x:c>
      <x:c r="S397" s="46" t="str">
        <x:v>Not Reviewed</x:v>
      </x:c>
      <x:c r="T397" s="48"/>
    </x:row>
    <x:row r="398">
      <x:c r="A398" t="n">
        <x:f>Plan_Raw!A398</x:f>
        <x:v>1943</x:v>
      </x:c>
      <x:c r="B398" t="str">
        <x:f>Plan_Raw!D398</x:f>
        <x:v>1361</x:v>
      </x:c>
      <x:c r="C398" t="str">
        <x:f>LEFT(Plan_Raw!B398,10)</x:f>
        <x:v>2026-01-03</x:v>
      </x:c>
      <x:c r="D398" t="str">
        <x:f>Plan_Raw!F398</x:f>
        <x:v>SFMTA</x:v>
      </x:c>
      <x:c r="E398" t="str">
        <x:f>Plan_Raw!E398</x:f>
        <x:v>Special Assistant 2</x:v>
      </x:c>
      <x:c r="F398" t="str">
        <x:f>Plan_Raw!C398</x:f>
        <x:v>1361C</x:v>
      </x:c>
      <x:c r="G398" s="50" t="n">
        <x:f>IF(Plan_Raw!G398="","",IFERROR(VALUE(Plan_Raw!G398),""))</x:f>
        <x:v>30.9125</x:v>
      </x:c>
      <x:c r="H398" t="str">
        <x:f>Plan_Raw!AH398</x:f>
        <x:v>1361|SFMTA|2026-01-03</x:v>
      </x:c>
      <x:c r="I398" t="n">
        <x:f>COUNTIF(Rates_Raw!$AF$5:$AF$464,H398)</x:f>
        <x:v>1</x:v>
      </x:c>
      <x:c r="J398" t="str">
        <x:f>IF(I398=1,_xlfn.XLOOKUP(H398,Rates_Raw!$AF$5:$AF$464,Rates_Raw!$E$5:$E$464,""),"")</x:f>
        <x:v>Special Assistant 2</x:v>
      </x:c>
      <x:c r="K398" t="n">
        <x:f>IF(I398=1,_xlfn.XLOOKUP(H398,Rates_Raw!$AF$5:$AF$464,Rates_Raw!$F$5:$F$464,""),"")</x:f>
        <x:v>21</x:v>
      </x:c>
      <x:c r="L398" s="50" t="n">
        <x:f>IF(I398=1,IFERROR(VALUE(SUBSTITUTE(_xlfn.XLOOKUP(H398,Rates_Raw!$AF$5:$AF$464,Rates_Raw!$L$5:$L$464,""),"$","")),""),"")</x:f>
        <x:v>30.9125</x:v>
      </x:c>
      <x:c r="M398" s="50" t="n">
        <x:f>IF(OR(G398="",L398=""),"",ROUND(G398-L398,4))</x:f>
        <x:v>0</x:v>
      </x:c>
      <x:c r="N398" t="str">
        <x:f>IF(I398=0,"NO MATCH",IF(I398&gt;1,"AMBIGUOUS",IF(EXACT(TRIM(E398),TRIM(J398)),"EXACT","TITLE VARIANT")))</x:f>
        <x:v>EXACT</x:v>
      </x:c>
      <x:c r="O398" t="str">
        <x:f>IF(I398&lt;&gt;1,"NOT TESTED",IF(OR(G398="",L398=""),"MISSING",IF(ABS(M398)&lt;=Guide!$B$16,"PASS","REVIEW")))</x:f>
        <x:v>PASS</x:v>
      </x:c>
      <x:c r="P398" s="52" t="n">
        <x:f>IF(I398=1,IFERROR(VALUE(SUBSTITUTE(SUBSTITUTE(_xlfn.XLOOKUP(H398,Rates_Raw!$AF$5:$AF$464,Rates_Raw!$I$5:$I$464,""),"$",""),",","")),""),"")</x:f>
        <x:v>2473</x:v>
      </x:c>
      <x:c r="Q398" s="52" t="n">
        <x:f>IF(P398="","",P398*Guide!$B$15)</x:f>
        <x:v>64298</x:v>
      </x:c>
      <x:c r="R398" t="str">
        <x:f>IF(I398=0,"UNMATCHED",IF(I398&gt;1,"DUPLICATE KEY",IF(OR(N398="TITLE VARIANT",O398="REVIEW",O398="MISSING"),"REVIEW","VERIFIED")))</x:f>
        <x:v>VERIFIED</x:v>
      </x:c>
      <x:c r="S398" s="46" t="str">
        <x:v>Not Reviewed</x:v>
      </x:c>
      <x:c r="T398" s="48"/>
    </x:row>
    <x:row r="399">
      <x:c r="A399" t="n">
        <x:f>Plan_Raw!A399</x:f>
        <x:v>1932</x:v>
      </x:c>
      <x:c r="B399" t="str">
        <x:f>Plan_Raw!D399</x:f>
        <x:v>1361</x:v>
      </x:c>
      <x:c r="C399" t="str">
        <x:f>LEFT(Plan_Raw!B399,10)</x:f>
        <x:v>2026-07-01</x:v>
      </x:c>
      <x:c r="D399" t="str">
        <x:f>Plan_Raw!F399</x:f>
        <x:v>COMMN</x:v>
      </x:c>
      <x:c r="E399" t="str">
        <x:f>Plan_Raw!E399</x:f>
        <x:v>Special Assistant 2</x:v>
      </x:c>
      <x:c r="F399" t="str">
        <x:f>Plan_Raw!C399</x:f>
        <x:v>1361D</x:v>
      </x:c>
      <x:c r="G399" s="50" t="n">
        <x:f>IF(Plan_Raw!G399="","",IFERROR(VALUE(Plan_Raw!G399),""))</x:f>
        <x:v>31.525</x:v>
      </x:c>
      <x:c r="H399" t="str">
        <x:f>Plan_Raw!AH399</x:f>
        <x:v>1361|COMMN|2026-07-01</x:v>
      </x:c>
      <x:c r="I399" t="n">
        <x:f>COUNTIF(Rates_Raw!$AF$5:$AF$464,H399)</x:f>
        <x:v>0</x:v>
      </x:c>
      <x:c r="J399" t="str">
        <x:f>IF(I399=1,_xlfn.XLOOKUP(H399,Rates_Raw!$AF$5:$AF$464,Rates_Raw!$E$5:$E$464,""),"")</x:f>
      </x:c>
      <x:c r="K399" t="str">
        <x:f>IF(I399=1,_xlfn.XLOOKUP(H399,Rates_Raw!$AF$5:$AF$464,Rates_Raw!$F$5:$F$464,""),"")</x:f>
      </x:c>
      <x:c r="L399" s="50" t="str">
        <x:f>IF(I399=1,IFERROR(VALUE(SUBSTITUTE(_xlfn.XLOOKUP(H399,Rates_Raw!$AF$5:$AF$464,Rates_Raw!$L$5:$L$464,""),"$","")),""),"")</x:f>
      </x:c>
      <x:c r="M399" s="50" t="str">
        <x:f>IF(OR(G399="",L399=""),"",ROUND(G399-L399,4))</x:f>
      </x:c>
      <x:c r="N399" t="str">
        <x:f>IF(I399=0,"NO MATCH",IF(I399&gt;1,"AMBIGUOUS",IF(EXACT(TRIM(E399),TRIM(J399)),"EXACT","TITLE VARIANT")))</x:f>
        <x:v>NO MATCH</x:v>
      </x:c>
      <x:c r="O399" t="str">
        <x:f>IF(I399&lt;&gt;1,"NOT TESTED",IF(OR(G399="",L399=""),"MISSING",IF(ABS(M399)&lt;=Guide!$B$16,"PASS","REVIEW")))</x:f>
        <x:v>NOT TESTED</x:v>
      </x:c>
      <x:c r="P399" s="52" t="str">
        <x:f>IF(I399=1,IFERROR(VALUE(SUBSTITUTE(SUBSTITUTE(_xlfn.XLOOKUP(H399,Rates_Raw!$AF$5:$AF$464,Rates_Raw!$I$5:$I$464,""),"$",""),",","")),""),"")</x:f>
      </x:c>
      <x:c r="Q399" s="52" t="str">
        <x:f>IF(P399="","",P399*Guide!$B$15)</x:f>
      </x:c>
      <x:c r="R399" t="str">
        <x:f>IF(I399=0,"UNMATCHED",IF(I399&gt;1,"DUPLICATE KEY",IF(OR(N399="TITLE VARIANT",O399="REVIEW",O399="MISSING"),"REVIEW","VERIFIED")))</x:f>
        <x:v>UNMATCHED</x:v>
      </x:c>
      <x:c r="S399" s="46" t="str">
        <x:v>Not Reviewed</x:v>
      </x:c>
      <x:c r="T399" s="48"/>
    </x:row>
    <x:row r="400">
      <x:c r="A400" t="n">
        <x:f>Plan_Raw!A400</x:f>
        <x:v>1944</x:v>
      </x:c>
      <x:c r="B400" t="str">
        <x:f>Plan_Raw!D400</x:f>
        <x:v>1361</x:v>
      </x:c>
      <x:c r="C400" t="str">
        <x:f>LEFT(Plan_Raw!B400,10)</x:f>
        <x:v>2026-07-01</x:v>
      </x:c>
      <x:c r="D400" t="str">
        <x:f>Plan_Raw!F400</x:f>
        <x:v>SFMTA</x:v>
      </x:c>
      <x:c r="E400" t="str">
        <x:f>Plan_Raw!E400</x:f>
        <x:v>Special Assistant 2</x:v>
      </x:c>
      <x:c r="F400" t="str">
        <x:f>Plan_Raw!C400</x:f>
        <x:v>1361D</x:v>
      </x:c>
      <x:c r="G400" s="50" t="n">
        <x:f>IF(Plan_Raw!G400="","",IFERROR(VALUE(Plan_Raw!G400),""))</x:f>
        <x:v>31.525</x:v>
      </x:c>
      <x:c r="H400" t="str">
        <x:f>Plan_Raw!AH400</x:f>
        <x:v>1361|SFMTA|2026-07-01</x:v>
      </x:c>
      <x:c r="I400" t="n">
        <x:f>COUNTIF(Rates_Raw!$AF$5:$AF$464,H400)</x:f>
        <x:v>0</x:v>
      </x:c>
      <x:c r="J400" t="str">
        <x:f>IF(I400=1,_xlfn.XLOOKUP(H400,Rates_Raw!$AF$5:$AF$464,Rates_Raw!$E$5:$E$464,""),"")</x:f>
      </x:c>
      <x:c r="K400" t="str">
        <x:f>IF(I400=1,_xlfn.XLOOKUP(H400,Rates_Raw!$AF$5:$AF$464,Rates_Raw!$F$5:$F$464,""),"")</x:f>
      </x:c>
      <x:c r="L400" s="50" t="str">
        <x:f>IF(I400=1,IFERROR(VALUE(SUBSTITUTE(_xlfn.XLOOKUP(H400,Rates_Raw!$AF$5:$AF$464,Rates_Raw!$L$5:$L$464,""),"$","")),""),"")</x:f>
      </x:c>
      <x:c r="M400" s="50" t="str">
        <x:f>IF(OR(G400="",L400=""),"",ROUND(G400-L400,4))</x:f>
      </x:c>
      <x:c r="N400" t="str">
        <x:f>IF(I400=0,"NO MATCH",IF(I400&gt;1,"AMBIGUOUS",IF(EXACT(TRIM(E400),TRIM(J400)),"EXACT","TITLE VARIANT")))</x:f>
        <x:v>NO MATCH</x:v>
      </x:c>
      <x:c r="O400" t="str">
        <x:f>IF(I400&lt;&gt;1,"NOT TESTED",IF(OR(G400="",L400=""),"MISSING",IF(ABS(M400)&lt;=Guide!$B$16,"PASS","REVIEW")))</x:f>
        <x:v>NOT TESTED</x:v>
      </x:c>
      <x:c r="P400" s="52" t="str">
        <x:f>IF(I400=1,IFERROR(VALUE(SUBSTITUTE(SUBSTITUTE(_xlfn.XLOOKUP(H400,Rates_Raw!$AF$5:$AF$464,Rates_Raw!$I$5:$I$464,""),"$",""),",","")),""),"")</x:f>
      </x:c>
      <x:c r="Q400" s="52" t="str">
        <x:f>IF(P400="","",P400*Guide!$B$15)</x:f>
      </x:c>
      <x:c r="R400" t="str">
        <x:f>IF(I400=0,"UNMATCHED",IF(I400&gt;1,"DUPLICATE KEY",IF(OR(N400="TITLE VARIANT",O400="REVIEW",O400="MISSING"),"REVIEW","VERIFIED")))</x:f>
        <x:v>UNMATCHED</x:v>
      </x:c>
      <x:c r="S400" s="46" t="str">
        <x:v>Not Reviewed</x:v>
      </x:c>
      <x:c r="T400" s="48"/>
    </x:row>
    <x:row r="401">
      <x:c r="A401" t="n">
        <x:f>Plan_Raw!A401</x:f>
        <x:v>1951</x:v>
      </x:c>
      <x:c r="B401" t="str">
        <x:f>Plan_Raw!D401</x:f>
        <x:v>1362</x:v>
      </x:c>
      <x:c r="C401" t="str">
        <x:f>LEFT(Plan_Raw!B401,10)</x:f>
        <x:v>2024-01-06</x:v>
      </x:c>
      <x:c r="D401" t="str">
        <x:f>Plan_Raw!F401</x:f>
        <x:v>COMMN</x:v>
      </x:c>
      <x:c r="E401" t="str">
        <x:f>Plan_Raw!E401</x:f>
        <x:v>Special Assistant III</x:v>
      </x:c>
      <x:c r="F401" t="str">
        <x:f>Plan_Raw!C401</x:f>
        <x:v>1362Y</x:v>
      </x:c>
      <x:c r="G401" s="50" t="n">
        <x:f>IF(Plan_Raw!G401="","",IFERROR(VALUE(Plan_Raw!G401),""))</x:f>
        <x:v>31.2</x:v>
      </x:c>
      <x:c r="H401" t="str">
        <x:f>Plan_Raw!AH401</x:f>
        <x:v>1362|COMMN|2024-01-06</x:v>
      </x:c>
      <x:c r="I401" t="n">
        <x:f>COUNTIF(Rates_Raw!$AF$5:$AF$464,H401)</x:f>
        <x:v>1</x:v>
      </x:c>
      <x:c r="J401" t="str">
        <x:f>IF(I401=1,_xlfn.XLOOKUP(H401,Rates_Raw!$AF$5:$AF$464,Rates_Raw!$E$5:$E$464,""),"")</x:f>
        <x:v>Special Assistant III</x:v>
      </x:c>
      <x:c r="K401" t="n">
        <x:f>IF(I401=1,_xlfn.XLOOKUP(H401,Rates_Raw!$AF$5:$AF$464,Rates_Raw!$F$5:$F$464,""),"")</x:f>
        <x:v>21</x:v>
      </x:c>
      <x:c r="L401" s="50" t="n">
        <x:f>IF(I401=1,IFERROR(VALUE(SUBSTITUTE(_xlfn.XLOOKUP(H401,Rates_Raw!$AF$5:$AF$464,Rates_Raw!$L$5:$L$464,""),"$","")),""),"")</x:f>
        <x:v>31.2</x:v>
      </x:c>
      <x:c r="M401" s="50" t="n">
        <x:f>IF(OR(G401="",L401=""),"",ROUND(G401-L401,4))</x:f>
        <x:v>0</x:v>
      </x:c>
      <x:c r="N401" t="str">
        <x:f>IF(I401=0,"NO MATCH",IF(I401&gt;1,"AMBIGUOUS",IF(EXACT(TRIM(E401),TRIM(J401)),"EXACT","TITLE VARIANT")))</x:f>
        <x:v>EXACT</x:v>
      </x:c>
      <x:c r="O401" t="str">
        <x:f>IF(I401&lt;&gt;1,"NOT TESTED",IF(OR(G401="",L401=""),"MISSING",IF(ABS(M401)&lt;=Guide!$B$16,"PASS","REVIEW")))</x:f>
        <x:v>PASS</x:v>
      </x:c>
      <x:c r="P401" s="52" t="n">
        <x:f>IF(I401=1,IFERROR(VALUE(SUBSTITUTE(SUBSTITUTE(_xlfn.XLOOKUP(H401,Rates_Raw!$AF$5:$AF$464,Rates_Raw!$I$5:$I$464,""),"$",""),",","")),""),"")</x:f>
        <x:v>2496</x:v>
      </x:c>
      <x:c r="Q401" s="52" t="n">
        <x:f>IF(P401="","",P401*Guide!$B$15)</x:f>
        <x:v>64896</x:v>
      </x:c>
      <x:c r="R401" t="str">
        <x:f>IF(I401=0,"UNMATCHED",IF(I401&gt;1,"DUPLICATE KEY",IF(OR(N401="TITLE VARIANT",O401="REVIEW",O401="MISSING"),"REVIEW","VERIFIED")))</x:f>
        <x:v>VERIFIED</x:v>
      </x:c>
      <x:c r="S401" s="46" t="str">
        <x:v>Not Reviewed</x:v>
      </x:c>
      <x:c r="T401" s="48"/>
    </x:row>
    <x:row r="402">
      <x:c r="A402" t="n">
        <x:f>Plan_Raw!A402</x:f>
        <x:v>1963</x:v>
      </x:c>
      <x:c r="B402" t="str">
        <x:f>Plan_Raw!D402</x:f>
        <x:v>1362</x:v>
      </x:c>
      <x:c r="C402" t="str">
        <x:f>LEFT(Plan_Raw!B402,10)</x:f>
        <x:v>2024-01-06</x:v>
      </x:c>
      <x:c r="D402" t="str">
        <x:f>Plan_Raw!F402</x:f>
        <x:v>SFMTA</x:v>
      </x:c>
      <x:c r="E402" t="str">
        <x:f>Plan_Raw!E402</x:f>
        <x:v>Special Assistant III</x:v>
      </x:c>
      <x:c r="F402" t="str">
        <x:f>Plan_Raw!C402</x:f>
        <x:v>1362Y</x:v>
      </x:c>
      <x:c r="G402" s="50" t="n">
        <x:f>IF(Plan_Raw!G402="","",IFERROR(VALUE(Plan_Raw!G402),""))</x:f>
        <x:v>31.2</x:v>
      </x:c>
      <x:c r="H402" t="str">
        <x:f>Plan_Raw!AH402</x:f>
        <x:v>1362|SFMTA|2024-01-06</x:v>
      </x:c>
      <x:c r="I402" t="n">
        <x:f>COUNTIF(Rates_Raw!$AF$5:$AF$464,H402)</x:f>
        <x:v>1</x:v>
      </x:c>
      <x:c r="J402" t="str">
        <x:f>IF(I402=1,_xlfn.XLOOKUP(H402,Rates_Raw!$AF$5:$AF$464,Rates_Raw!$E$5:$E$464,""),"")</x:f>
        <x:v>Special Assistant III</x:v>
      </x:c>
      <x:c r="K402" t="n">
        <x:f>IF(I402=1,_xlfn.XLOOKUP(H402,Rates_Raw!$AF$5:$AF$464,Rates_Raw!$F$5:$F$464,""),"")</x:f>
        <x:v>21</x:v>
      </x:c>
      <x:c r="L402" s="50" t="n">
        <x:f>IF(I402=1,IFERROR(VALUE(SUBSTITUTE(_xlfn.XLOOKUP(H402,Rates_Raw!$AF$5:$AF$464,Rates_Raw!$L$5:$L$464,""),"$","")),""),"")</x:f>
        <x:v>31.2</x:v>
      </x:c>
      <x:c r="M402" s="50" t="n">
        <x:f>IF(OR(G402="",L402=""),"",ROUND(G402-L402,4))</x:f>
        <x:v>0</x:v>
      </x:c>
      <x:c r="N402" t="str">
        <x:f>IF(I402=0,"NO MATCH",IF(I402&gt;1,"AMBIGUOUS",IF(EXACT(TRIM(E402),TRIM(J402)),"EXACT","TITLE VARIANT")))</x:f>
        <x:v>EXACT</x:v>
      </x:c>
      <x:c r="O402" t="str">
        <x:f>IF(I402&lt;&gt;1,"NOT TESTED",IF(OR(G402="",L402=""),"MISSING",IF(ABS(M402)&lt;=Guide!$B$16,"PASS","REVIEW")))</x:f>
        <x:v>PASS</x:v>
      </x:c>
      <x:c r="P402" s="52" t="n">
        <x:f>IF(I402=1,IFERROR(VALUE(SUBSTITUTE(SUBSTITUTE(_xlfn.XLOOKUP(H402,Rates_Raw!$AF$5:$AF$464,Rates_Raw!$I$5:$I$464,""),"$",""),",","")),""),"")</x:f>
        <x:v>2496</x:v>
      </x:c>
      <x:c r="Q402" s="52" t="n">
        <x:f>IF(P402="","",P402*Guide!$B$15)</x:f>
        <x:v>64896</x:v>
      </x:c>
      <x:c r="R402" t="str">
        <x:f>IF(I402=0,"UNMATCHED",IF(I402&gt;1,"DUPLICATE KEY",IF(OR(N402="TITLE VARIANT",O402="REVIEW",O402="MISSING"),"REVIEW","VERIFIED")))</x:f>
        <x:v>VERIFIED</x:v>
      </x:c>
      <x:c r="S402" s="46" t="str">
        <x:v>Not Reviewed</x:v>
      </x:c>
      <x:c r="T402" s="48"/>
    </x:row>
    <x:row r="403">
      <x:c r="A403" t="n">
        <x:f>Plan_Raw!A403</x:f>
        <x:v>1952</x:v>
      </x:c>
      <x:c r="B403" t="str">
        <x:f>Plan_Raw!D403</x:f>
        <x:v>1362</x:v>
      </x:c>
      <x:c r="C403" t="str">
        <x:f>LEFT(Plan_Raw!B403,10)</x:f>
        <x:v>2024-07-01</x:v>
      </x:c>
      <x:c r="D403" t="str">
        <x:f>Plan_Raw!F403</x:f>
        <x:v>COMMN</x:v>
      </x:c>
      <x:c r="E403" t="str">
        <x:f>Plan_Raw!E403</x:f>
        <x:v>Special Assistant III</x:v>
      </x:c>
      <x:c r="F403" t="str">
        <x:f>Plan_Raw!C403</x:f>
        <x:v>1362Z</x:v>
      </x:c>
      <x:c r="G403" s="50" t="n">
        <x:f>IF(Plan_Raw!G403="","",IFERROR(VALUE(Plan_Raw!G403),""))</x:f>
        <x:v>31.6625</x:v>
      </x:c>
      <x:c r="H403" t="str">
        <x:f>Plan_Raw!AH403</x:f>
        <x:v>1362|COMMN|2024-07-01</x:v>
      </x:c>
      <x:c r="I403" t="n">
        <x:f>COUNTIF(Rates_Raw!$AF$5:$AF$464,H403)</x:f>
        <x:v>1</x:v>
      </x:c>
      <x:c r="J403" t="str">
        <x:f>IF(I403=1,_xlfn.XLOOKUP(H403,Rates_Raw!$AF$5:$AF$464,Rates_Raw!$E$5:$E$464,""),"")</x:f>
        <x:v>Special Assistant III</x:v>
      </x:c>
      <x:c r="K403" t="n">
        <x:f>IF(I403=1,_xlfn.XLOOKUP(H403,Rates_Raw!$AF$5:$AF$464,Rates_Raw!$F$5:$F$464,""),"")</x:f>
        <x:v>21</x:v>
      </x:c>
      <x:c r="L403" s="50" t="n">
        <x:f>IF(I403=1,IFERROR(VALUE(SUBSTITUTE(_xlfn.XLOOKUP(H403,Rates_Raw!$AF$5:$AF$464,Rates_Raw!$L$5:$L$464,""),"$","")),""),"")</x:f>
        <x:v>31.6625</x:v>
      </x:c>
      <x:c r="M403" s="50" t="n">
        <x:f>IF(OR(G403="",L403=""),"",ROUND(G403-L403,4))</x:f>
        <x:v>0</x:v>
      </x:c>
      <x:c r="N403" t="str">
        <x:f>IF(I403=0,"NO MATCH",IF(I403&gt;1,"AMBIGUOUS",IF(EXACT(TRIM(E403),TRIM(J403)),"EXACT","TITLE VARIANT")))</x:f>
        <x:v>EXACT</x:v>
      </x:c>
      <x:c r="O403" t="str">
        <x:f>IF(I403&lt;&gt;1,"NOT TESTED",IF(OR(G403="",L403=""),"MISSING",IF(ABS(M403)&lt;=Guide!$B$16,"PASS","REVIEW")))</x:f>
        <x:v>PASS</x:v>
      </x:c>
      <x:c r="P403" s="52" t="n">
        <x:f>IF(I403=1,IFERROR(VALUE(SUBSTITUTE(SUBSTITUTE(_xlfn.XLOOKUP(H403,Rates_Raw!$AF$5:$AF$464,Rates_Raw!$I$5:$I$464,""),"$",""),",","")),""),"")</x:f>
        <x:v>2533</x:v>
      </x:c>
      <x:c r="Q403" s="52" t="n">
        <x:f>IF(P403="","",P403*Guide!$B$15)</x:f>
        <x:v>65858</x:v>
      </x:c>
      <x:c r="R403" t="str">
        <x:f>IF(I403=0,"UNMATCHED",IF(I403&gt;1,"DUPLICATE KEY",IF(OR(N403="TITLE VARIANT",O403="REVIEW",O403="MISSING"),"REVIEW","VERIFIED")))</x:f>
        <x:v>VERIFIED</x:v>
      </x:c>
      <x:c r="S403" s="46" t="str">
        <x:v>Not Reviewed</x:v>
      </x:c>
      <x:c r="T403" s="48"/>
    </x:row>
    <x:row r="404">
      <x:c r="A404" t="n">
        <x:f>Plan_Raw!A404</x:f>
        <x:v>1964</x:v>
      </x:c>
      <x:c r="B404" t="str">
        <x:f>Plan_Raw!D404</x:f>
        <x:v>1362</x:v>
      </x:c>
      <x:c r="C404" t="str">
        <x:f>LEFT(Plan_Raw!B404,10)</x:f>
        <x:v>2024-07-01</x:v>
      </x:c>
      <x:c r="D404" t="str">
        <x:f>Plan_Raw!F404</x:f>
        <x:v>SFMTA</x:v>
      </x:c>
      <x:c r="E404" t="str">
        <x:f>Plan_Raw!E404</x:f>
        <x:v>Special Assistant III</x:v>
      </x:c>
      <x:c r="F404" t="str">
        <x:f>Plan_Raw!C404</x:f>
        <x:v>1362Z</x:v>
      </x:c>
      <x:c r="G404" s="50" t="n">
        <x:f>IF(Plan_Raw!G404="","",IFERROR(VALUE(Plan_Raw!G404),""))</x:f>
        <x:v>31.6625</x:v>
      </x:c>
      <x:c r="H404" t="str">
        <x:f>Plan_Raw!AH404</x:f>
        <x:v>1362|SFMTA|2024-07-01</x:v>
      </x:c>
      <x:c r="I404" t="n">
        <x:f>COUNTIF(Rates_Raw!$AF$5:$AF$464,H404)</x:f>
        <x:v>1</x:v>
      </x:c>
      <x:c r="J404" t="str">
        <x:f>IF(I404=1,_xlfn.XLOOKUP(H404,Rates_Raw!$AF$5:$AF$464,Rates_Raw!$E$5:$E$464,""),"")</x:f>
        <x:v>Special Assistant III</x:v>
      </x:c>
      <x:c r="K404" t="n">
        <x:f>IF(I404=1,_xlfn.XLOOKUP(H404,Rates_Raw!$AF$5:$AF$464,Rates_Raw!$F$5:$F$464,""),"")</x:f>
        <x:v>21</x:v>
      </x:c>
      <x:c r="L404" s="50" t="n">
        <x:f>IF(I404=1,IFERROR(VALUE(SUBSTITUTE(_xlfn.XLOOKUP(H404,Rates_Raw!$AF$5:$AF$464,Rates_Raw!$L$5:$L$464,""),"$","")),""),"")</x:f>
        <x:v>31.6625</x:v>
      </x:c>
      <x:c r="M404" s="50" t="n">
        <x:f>IF(OR(G404="",L404=""),"",ROUND(G404-L404,4))</x:f>
        <x:v>0</x:v>
      </x:c>
      <x:c r="N404" t="str">
        <x:f>IF(I404=0,"NO MATCH",IF(I404&gt;1,"AMBIGUOUS",IF(EXACT(TRIM(E404),TRIM(J404)),"EXACT","TITLE VARIANT")))</x:f>
        <x:v>EXACT</x:v>
      </x:c>
      <x:c r="O404" t="str">
        <x:f>IF(I404&lt;&gt;1,"NOT TESTED",IF(OR(G404="",L404=""),"MISSING",IF(ABS(M404)&lt;=Guide!$B$16,"PASS","REVIEW")))</x:f>
        <x:v>PASS</x:v>
      </x:c>
      <x:c r="P404" s="52" t="n">
        <x:f>IF(I404=1,IFERROR(VALUE(SUBSTITUTE(SUBSTITUTE(_xlfn.XLOOKUP(H404,Rates_Raw!$AF$5:$AF$464,Rates_Raw!$I$5:$I$464,""),"$",""),",","")),""),"")</x:f>
        <x:v>2533</x:v>
      </x:c>
      <x:c r="Q404" s="52" t="n">
        <x:f>IF(P404="","",P404*Guide!$B$15)</x:f>
        <x:v>65858</x:v>
      </x:c>
      <x:c r="R404" t="str">
        <x:f>IF(I404=0,"UNMATCHED",IF(I404&gt;1,"DUPLICATE KEY",IF(OR(N404="TITLE VARIANT",O404="REVIEW",O404="MISSING"),"REVIEW","VERIFIED")))</x:f>
        <x:v>VERIFIED</x:v>
      </x:c>
      <x:c r="S404" s="46" t="str">
        <x:v>Not Reviewed</x:v>
      </x:c>
      <x:c r="T404" s="48"/>
    </x:row>
    <x:row r="405">
      <x:c r="A405" t="n">
        <x:f>Plan_Raw!A405</x:f>
        <x:v>1953</x:v>
      </x:c>
      <x:c r="B405" t="str">
        <x:f>Plan_Raw!D405</x:f>
        <x:v>1362</x:v>
      </x:c>
      <x:c r="C405" t="str">
        <x:f>LEFT(Plan_Raw!B405,10)</x:f>
        <x:v>2025-01-04</x:v>
      </x:c>
      <x:c r="D405" t="str">
        <x:f>Plan_Raw!F405</x:f>
        <x:v>COMMN</x:v>
      </x:c>
      <x:c r="E405" t="str">
        <x:f>Plan_Raw!E405</x:f>
        <x:v>Special Assistant III</x:v>
      </x:c>
      <x:c r="F405" t="str">
        <x:f>Plan_Raw!C405</x:f>
        <x:v>1362A</x:v>
      </x:c>
      <x:c r="G405" s="50" t="n">
        <x:f>IF(Plan_Raw!G405="","",IFERROR(VALUE(Plan_Raw!G405),""))</x:f>
        <x:v>32.1375</x:v>
      </x:c>
      <x:c r="H405" t="str">
        <x:f>Plan_Raw!AH405</x:f>
        <x:v>1362|COMMN|2025-01-04</x:v>
      </x:c>
      <x:c r="I405" t="n">
        <x:f>COUNTIF(Rates_Raw!$AF$5:$AF$464,H405)</x:f>
        <x:v>1</x:v>
      </x:c>
      <x:c r="J405" t="str">
        <x:f>IF(I405=1,_xlfn.XLOOKUP(H405,Rates_Raw!$AF$5:$AF$464,Rates_Raw!$E$5:$E$464,""),"")</x:f>
        <x:v>Special Assistant III</x:v>
      </x:c>
      <x:c r="K405" t="n">
        <x:f>IF(I405=1,_xlfn.XLOOKUP(H405,Rates_Raw!$AF$5:$AF$464,Rates_Raw!$F$5:$F$464,""),"")</x:f>
        <x:v>21</x:v>
      </x:c>
      <x:c r="L405" s="50" t="n">
        <x:f>IF(I405=1,IFERROR(VALUE(SUBSTITUTE(_xlfn.XLOOKUP(H405,Rates_Raw!$AF$5:$AF$464,Rates_Raw!$L$5:$L$464,""),"$","")),""),"")</x:f>
        <x:v>32.1375</x:v>
      </x:c>
      <x:c r="M405" s="50" t="n">
        <x:f>IF(OR(G405="",L405=""),"",ROUND(G405-L405,4))</x:f>
        <x:v>0</x:v>
      </x:c>
      <x:c r="N405" t="str">
        <x:f>IF(I405=0,"NO MATCH",IF(I405&gt;1,"AMBIGUOUS",IF(EXACT(TRIM(E405),TRIM(J405)),"EXACT","TITLE VARIANT")))</x:f>
        <x:v>EXACT</x:v>
      </x:c>
      <x:c r="O405" t="str">
        <x:f>IF(I405&lt;&gt;1,"NOT TESTED",IF(OR(G405="",L405=""),"MISSING",IF(ABS(M405)&lt;=Guide!$B$16,"PASS","REVIEW")))</x:f>
        <x:v>PASS</x:v>
      </x:c>
      <x:c r="P405" s="52" t="n">
        <x:f>IF(I405=1,IFERROR(VALUE(SUBSTITUTE(SUBSTITUTE(_xlfn.XLOOKUP(H405,Rates_Raw!$AF$5:$AF$464,Rates_Raw!$I$5:$I$464,""),"$",""),",","")),""),"")</x:f>
        <x:v>2571</x:v>
      </x:c>
      <x:c r="Q405" s="52" t="n">
        <x:f>IF(P405="","",P405*Guide!$B$15)</x:f>
        <x:v>66846</x:v>
      </x:c>
      <x:c r="R405" t="str">
        <x:f>IF(I405=0,"UNMATCHED",IF(I405&gt;1,"DUPLICATE KEY",IF(OR(N405="TITLE VARIANT",O405="REVIEW",O405="MISSING"),"REVIEW","VERIFIED")))</x:f>
        <x:v>VERIFIED</x:v>
      </x:c>
      <x:c r="S405" s="46" t="str">
        <x:v>Not Reviewed</x:v>
      </x:c>
      <x:c r="T405" s="48"/>
    </x:row>
    <x:row r="406">
      <x:c r="A406" t="n">
        <x:f>Plan_Raw!A406</x:f>
        <x:v>1965</x:v>
      </x:c>
      <x:c r="B406" t="str">
        <x:f>Plan_Raw!D406</x:f>
        <x:v>1362</x:v>
      </x:c>
      <x:c r="C406" t="str">
        <x:f>LEFT(Plan_Raw!B406,10)</x:f>
        <x:v>2025-01-04</x:v>
      </x:c>
      <x:c r="D406" t="str">
        <x:f>Plan_Raw!F406</x:f>
        <x:v>SFMTA</x:v>
      </x:c>
      <x:c r="E406" t="str">
        <x:f>Plan_Raw!E406</x:f>
        <x:v>Special Assistant III</x:v>
      </x:c>
      <x:c r="F406" t="str">
        <x:f>Plan_Raw!C406</x:f>
        <x:v>1362A</x:v>
      </x:c>
      <x:c r="G406" s="50" t="n">
        <x:f>IF(Plan_Raw!G406="","",IFERROR(VALUE(Plan_Raw!G406),""))</x:f>
        <x:v>32.1375</x:v>
      </x:c>
      <x:c r="H406" t="str">
        <x:f>Plan_Raw!AH406</x:f>
        <x:v>1362|SFMTA|2025-01-04</x:v>
      </x:c>
      <x:c r="I406" t="n">
        <x:f>COUNTIF(Rates_Raw!$AF$5:$AF$464,H406)</x:f>
        <x:v>1</x:v>
      </x:c>
      <x:c r="J406" t="str">
        <x:f>IF(I406=1,_xlfn.XLOOKUP(H406,Rates_Raw!$AF$5:$AF$464,Rates_Raw!$E$5:$E$464,""),"")</x:f>
        <x:v>Special Assistant III</x:v>
      </x:c>
      <x:c r="K406" t="n">
        <x:f>IF(I406=1,_xlfn.XLOOKUP(H406,Rates_Raw!$AF$5:$AF$464,Rates_Raw!$F$5:$F$464,""),"")</x:f>
        <x:v>21</x:v>
      </x:c>
      <x:c r="L406" s="50" t="n">
        <x:f>IF(I406=1,IFERROR(VALUE(SUBSTITUTE(_xlfn.XLOOKUP(H406,Rates_Raw!$AF$5:$AF$464,Rates_Raw!$L$5:$L$464,""),"$","")),""),"")</x:f>
        <x:v>32.1375</x:v>
      </x:c>
      <x:c r="M406" s="50" t="n">
        <x:f>IF(OR(G406="",L406=""),"",ROUND(G406-L406,4))</x:f>
        <x:v>0</x:v>
      </x:c>
      <x:c r="N406" t="str">
        <x:f>IF(I406=0,"NO MATCH",IF(I406&gt;1,"AMBIGUOUS",IF(EXACT(TRIM(E406),TRIM(J406)),"EXACT","TITLE VARIANT")))</x:f>
        <x:v>EXACT</x:v>
      </x:c>
      <x:c r="O406" t="str">
        <x:f>IF(I406&lt;&gt;1,"NOT TESTED",IF(OR(G406="",L406=""),"MISSING",IF(ABS(M406)&lt;=Guide!$B$16,"PASS","REVIEW")))</x:f>
        <x:v>PASS</x:v>
      </x:c>
      <x:c r="P406" s="52" t="n">
        <x:f>IF(I406=1,IFERROR(VALUE(SUBSTITUTE(SUBSTITUTE(_xlfn.XLOOKUP(H406,Rates_Raw!$AF$5:$AF$464,Rates_Raw!$I$5:$I$464,""),"$",""),",","")),""),"")</x:f>
        <x:v>2571</x:v>
      </x:c>
      <x:c r="Q406" s="52" t="n">
        <x:f>IF(P406="","",P406*Guide!$B$15)</x:f>
        <x:v>66846</x:v>
      </x:c>
      <x:c r="R406" t="str">
        <x:f>IF(I406=0,"UNMATCHED",IF(I406&gt;1,"DUPLICATE KEY",IF(OR(N406="TITLE VARIANT",O406="REVIEW",O406="MISSING"),"REVIEW","VERIFIED")))</x:f>
        <x:v>VERIFIED</x:v>
      </x:c>
      <x:c r="S406" s="46" t="str">
        <x:v>Not Reviewed</x:v>
      </x:c>
      <x:c r="T406" s="48"/>
    </x:row>
    <x:row r="407">
      <x:c r="A407" t="n">
        <x:f>Plan_Raw!A407</x:f>
        <x:v>1954</x:v>
      </x:c>
      <x:c r="B407" t="str">
        <x:f>Plan_Raw!D407</x:f>
        <x:v>1362</x:v>
      </x:c>
      <x:c r="C407" t="str">
        <x:f>LEFT(Plan_Raw!B407,10)</x:f>
        <x:v>2025-07-01</x:v>
      </x:c>
      <x:c r="D407" t="str">
        <x:f>Plan_Raw!F407</x:f>
        <x:v>COMMN</x:v>
      </x:c>
      <x:c r="E407" t="str">
        <x:f>Plan_Raw!E407</x:f>
        <x:v>Special Assistant 3</x:v>
      </x:c>
      <x:c r="F407" t="str">
        <x:f>Plan_Raw!C407</x:f>
        <x:v>1362B</x:v>
      </x:c>
      <x:c r="G407" s="50" t="n">
        <x:f>IF(Plan_Raw!G407="","",IFERROR(VALUE(Plan_Raw!G407),""))</x:f>
        <x:v>32.7875</x:v>
      </x:c>
      <x:c r="H407" t="str">
        <x:f>Plan_Raw!AH407</x:f>
        <x:v>1362|COMMN|2025-07-01</x:v>
      </x:c>
      <x:c r="I407" t="n">
        <x:f>COUNTIF(Rates_Raw!$AF$5:$AF$464,H407)</x:f>
        <x:v>1</x:v>
      </x:c>
      <x:c r="J407" t="str">
        <x:f>IF(I407=1,_xlfn.XLOOKUP(H407,Rates_Raw!$AF$5:$AF$464,Rates_Raw!$E$5:$E$464,""),"")</x:f>
        <x:v>Special Assistant 3</x:v>
      </x:c>
      <x:c r="K407" t="n">
        <x:f>IF(I407=1,_xlfn.XLOOKUP(H407,Rates_Raw!$AF$5:$AF$464,Rates_Raw!$F$5:$F$464,""),"")</x:f>
        <x:v>21</x:v>
      </x:c>
      <x:c r="L407" s="50" t="n">
        <x:f>IF(I407=1,IFERROR(VALUE(SUBSTITUTE(_xlfn.XLOOKUP(H407,Rates_Raw!$AF$5:$AF$464,Rates_Raw!$L$5:$L$464,""),"$","")),""),"")</x:f>
        <x:v>32.7875</x:v>
      </x:c>
      <x:c r="M407" s="50" t="n">
        <x:f>IF(OR(G407="",L407=""),"",ROUND(G407-L407,4))</x:f>
        <x:v>0</x:v>
      </x:c>
      <x:c r="N407" t="str">
        <x:f>IF(I407=0,"NO MATCH",IF(I407&gt;1,"AMBIGUOUS",IF(EXACT(TRIM(E407),TRIM(J407)),"EXACT","TITLE VARIANT")))</x:f>
        <x:v>EXACT</x:v>
      </x:c>
      <x:c r="O407" t="str">
        <x:f>IF(I407&lt;&gt;1,"NOT TESTED",IF(OR(G407="",L407=""),"MISSING",IF(ABS(M407)&lt;=Guide!$B$16,"PASS","REVIEW")))</x:f>
        <x:v>PASS</x:v>
      </x:c>
      <x:c r="P407" s="52" t="n">
        <x:f>IF(I407=1,IFERROR(VALUE(SUBSTITUTE(SUBSTITUTE(_xlfn.XLOOKUP(H407,Rates_Raw!$AF$5:$AF$464,Rates_Raw!$I$5:$I$464,""),"$",""),",","")),""),"")</x:f>
        <x:v>2623</x:v>
      </x:c>
      <x:c r="Q407" s="52" t="n">
        <x:f>IF(P407="","",P407*Guide!$B$15)</x:f>
        <x:v>68198</x:v>
      </x:c>
      <x:c r="R407" t="str">
        <x:f>IF(I407=0,"UNMATCHED",IF(I407&gt;1,"DUPLICATE KEY",IF(OR(N407="TITLE VARIANT",O407="REVIEW",O407="MISSING"),"REVIEW","VERIFIED")))</x:f>
        <x:v>VERIFIED</x:v>
      </x:c>
      <x:c r="S407" s="46" t="str">
        <x:v>Not Reviewed</x:v>
      </x:c>
      <x:c r="T407" s="48"/>
    </x:row>
    <x:row r="408">
      <x:c r="A408" t="n">
        <x:f>Plan_Raw!A408</x:f>
        <x:v>1966</x:v>
      </x:c>
      <x:c r="B408" t="str">
        <x:f>Plan_Raw!D408</x:f>
        <x:v>1362</x:v>
      </x:c>
      <x:c r="C408" t="str">
        <x:f>LEFT(Plan_Raw!B408,10)</x:f>
        <x:v>2025-07-01</x:v>
      </x:c>
      <x:c r="D408" t="str">
        <x:f>Plan_Raw!F408</x:f>
        <x:v>SFMTA</x:v>
      </x:c>
      <x:c r="E408" t="str">
        <x:f>Plan_Raw!E408</x:f>
        <x:v>Special Assistant 3</x:v>
      </x:c>
      <x:c r="F408" t="str">
        <x:f>Plan_Raw!C408</x:f>
        <x:v>1362B</x:v>
      </x:c>
      <x:c r="G408" s="50" t="n">
        <x:f>IF(Plan_Raw!G408="","",IFERROR(VALUE(Plan_Raw!G408),""))</x:f>
        <x:v>32.7875</x:v>
      </x:c>
      <x:c r="H408" t="str">
        <x:f>Plan_Raw!AH408</x:f>
        <x:v>1362|SFMTA|2025-07-01</x:v>
      </x:c>
      <x:c r="I408" t="n">
        <x:f>COUNTIF(Rates_Raw!$AF$5:$AF$464,H408)</x:f>
        <x:v>1</x:v>
      </x:c>
      <x:c r="J408" t="str">
        <x:f>IF(I408=1,_xlfn.XLOOKUP(H408,Rates_Raw!$AF$5:$AF$464,Rates_Raw!$E$5:$E$464,""),"")</x:f>
        <x:v>Special Assistant 3</x:v>
      </x:c>
      <x:c r="K408" t="n">
        <x:f>IF(I408=1,_xlfn.XLOOKUP(H408,Rates_Raw!$AF$5:$AF$464,Rates_Raw!$F$5:$F$464,""),"")</x:f>
        <x:v>21</x:v>
      </x:c>
      <x:c r="L408" s="50" t="n">
        <x:f>IF(I408=1,IFERROR(VALUE(SUBSTITUTE(_xlfn.XLOOKUP(H408,Rates_Raw!$AF$5:$AF$464,Rates_Raw!$L$5:$L$464,""),"$","")),""),"")</x:f>
        <x:v>32.7875</x:v>
      </x:c>
      <x:c r="M408" s="50" t="n">
        <x:f>IF(OR(G408="",L408=""),"",ROUND(G408-L408,4))</x:f>
        <x:v>0</x:v>
      </x:c>
      <x:c r="N408" t="str">
        <x:f>IF(I408=0,"NO MATCH",IF(I408&gt;1,"AMBIGUOUS",IF(EXACT(TRIM(E408),TRIM(J408)),"EXACT","TITLE VARIANT")))</x:f>
        <x:v>EXACT</x:v>
      </x:c>
      <x:c r="O408" t="str">
        <x:f>IF(I408&lt;&gt;1,"NOT TESTED",IF(OR(G408="",L408=""),"MISSING",IF(ABS(M408)&lt;=Guide!$B$16,"PASS","REVIEW")))</x:f>
        <x:v>PASS</x:v>
      </x:c>
      <x:c r="P408" s="52" t="n">
        <x:f>IF(I408=1,IFERROR(VALUE(SUBSTITUTE(SUBSTITUTE(_xlfn.XLOOKUP(H408,Rates_Raw!$AF$5:$AF$464,Rates_Raw!$I$5:$I$464,""),"$",""),",","")),""),"")</x:f>
        <x:v>2623</x:v>
      </x:c>
      <x:c r="Q408" s="52" t="n">
        <x:f>IF(P408="","",P408*Guide!$B$15)</x:f>
        <x:v>68198</x:v>
      </x:c>
      <x:c r="R408" t="str">
        <x:f>IF(I408=0,"UNMATCHED",IF(I408&gt;1,"DUPLICATE KEY",IF(OR(N408="TITLE VARIANT",O408="REVIEW",O408="MISSING"),"REVIEW","VERIFIED")))</x:f>
        <x:v>VERIFIED</x:v>
      </x:c>
      <x:c r="S408" s="46" t="str">
        <x:v>Not Reviewed</x:v>
      </x:c>
      <x:c r="T408" s="48"/>
    </x:row>
    <x:row r="409">
      <x:c r="A409" t="n">
        <x:f>Plan_Raw!A409</x:f>
        <x:v>1955</x:v>
      </x:c>
      <x:c r="B409" t="str">
        <x:f>Plan_Raw!D409</x:f>
        <x:v>1362</x:v>
      </x:c>
      <x:c r="C409" t="str">
        <x:f>LEFT(Plan_Raw!B409,10)</x:f>
        <x:v>2026-01-03</x:v>
      </x:c>
      <x:c r="D409" t="str">
        <x:f>Plan_Raw!F409</x:f>
        <x:v>COMMN</x:v>
      </x:c>
      <x:c r="E409" t="str">
        <x:f>Plan_Raw!E409</x:f>
        <x:v>Special Assistant 3</x:v>
      </x:c>
      <x:c r="F409" t="str">
        <x:f>Plan_Raw!C409</x:f>
        <x:v>1362C</x:v>
      </x:c>
      <x:c r="G409" s="50" t="n">
        <x:f>IF(Plan_Raw!G409="","",IFERROR(VALUE(Plan_Raw!G409),""))</x:f>
        <x:v>33.275</x:v>
      </x:c>
      <x:c r="H409" t="str">
        <x:f>Plan_Raw!AH409</x:f>
        <x:v>1362|COMMN|2026-01-03</x:v>
      </x:c>
      <x:c r="I409" t="n">
        <x:f>COUNTIF(Rates_Raw!$AF$5:$AF$464,H409)</x:f>
        <x:v>1</x:v>
      </x:c>
      <x:c r="J409" t="str">
        <x:f>IF(I409=1,_xlfn.XLOOKUP(H409,Rates_Raw!$AF$5:$AF$464,Rates_Raw!$E$5:$E$464,""),"")</x:f>
        <x:v>Special Assistant 3</x:v>
      </x:c>
      <x:c r="K409" t="n">
        <x:f>IF(I409=1,_xlfn.XLOOKUP(H409,Rates_Raw!$AF$5:$AF$464,Rates_Raw!$F$5:$F$464,""),"")</x:f>
        <x:v>21</x:v>
      </x:c>
      <x:c r="L409" s="50" t="n">
        <x:f>IF(I409=1,IFERROR(VALUE(SUBSTITUTE(_xlfn.XLOOKUP(H409,Rates_Raw!$AF$5:$AF$464,Rates_Raw!$L$5:$L$464,""),"$","")),""),"")</x:f>
        <x:v>33.275</x:v>
      </x:c>
      <x:c r="M409" s="50" t="n">
        <x:f>IF(OR(G409="",L409=""),"",ROUND(G409-L409,4))</x:f>
        <x:v>0</x:v>
      </x:c>
      <x:c r="N409" t="str">
        <x:f>IF(I409=0,"NO MATCH",IF(I409&gt;1,"AMBIGUOUS",IF(EXACT(TRIM(E409),TRIM(J409)),"EXACT","TITLE VARIANT")))</x:f>
        <x:v>EXACT</x:v>
      </x:c>
      <x:c r="O409" t="str">
        <x:f>IF(I409&lt;&gt;1,"NOT TESTED",IF(OR(G409="",L409=""),"MISSING",IF(ABS(M409)&lt;=Guide!$B$16,"PASS","REVIEW")))</x:f>
        <x:v>PASS</x:v>
      </x:c>
      <x:c r="P409" s="52" t="n">
        <x:f>IF(I409=1,IFERROR(VALUE(SUBSTITUTE(SUBSTITUTE(_xlfn.XLOOKUP(H409,Rates_Raw!$AF$5:$AF$464,Rates_Raw!$I$5:$I$464,""),"$",""),",","")),""),"")</x:f>
        <x:v>2662</x:v>
      </x:c>
      <x:c r="Q409" s="52" t="n">
        <x:f>IF(P409="","",P409*Guide!$B$15)</x:f>
        <x:v>69212</x:v>
      </x:c>
      <x:c r="R409" t="str">
        <x:f>IF(I409=0,"UNMATCHED",IF(I409&gt;1,"DUPLICATE KEY",IF(OR(N409="TITLE VARIANT",O409="REVIEW",O409="MISSING"),"REVIEW","VERIFIED")))</x:f>
        <x:v>VERIFIED</x:v>
      </x:c>
      <x:c r="S409" s="46" t="str">
        <x:v>Not Reviewed</x:v>
      </x:c>
      <x:c r="T409" s="48"/>
    </x:row>
    <x:row r="410">
      <x:c r="A410" t="n">
        <x:f>Plan_Raw!A410</x:f>
        <x:v>1967</x:v>
      </x:c>
      <x:c r="B410" t="str">
        <x:f>Plan_Raw!D410</x:f>
        <x:v>1362</x:v>
      </x:c>
      <x:c r="C410" t="str">
        <x:f>LEFT(Plan_Raw!B410,10)</x:f>
        <x:v>2026-01-03</x:v>
      </x:c>
      <x:c r="D410" t="str">
        <x:f>Plan_Raw!F410</x:f>
        <x:v>SFMTA</x:v>
      </x:c>
      <x:c r="E410" t="str">
        <x:f>Plan_Raw!E410</x:f>
        <x:v>Special Assistant 3</x:v>
      </x:c>
      <x:c r="F410" t="str">
        <x:f>Plan_Raw!C410</x:f>
        <x:v>1362C</x:v>
      </x:c>
      <x:c r="G410" s="50" t="n">
        <x:f>IF(Plan_Raw!G410="","",IFERROR(VALUE(Plan_Raw!G410),""))</x:f>
        <x:v>33.275</x:v>
      </x:c>
      <x:c r="H410" t="str">
        <x:f>Plan_Raw!AH410</x:f>
        <x:v>1362|SFMTA|2026-01-03</x:v>
      </x:c>
      <x:c r="I410" t="n">
        <x:f>COUNTIF(Rates_Raw!$AF$5:$AF$464,H410)</x:f>
        <x:v>1</x:v>
      </x:c>
      <x:c r="J410" t="str">
        <x:f>IF(I410=1,_xlfn.XLOOKUP(H410,Rates_Raw!$AF$5:$AF$464,Rates_Raw!$E$5:$E$464,""),"")</x:f>
        <x:v>Special Assistant 3</x:v>
      </x:c>
      <x:c r="K410" t="n">
        <x:f>IF(I410=1,_xlfn.XLOOKUP(H410,Rates_Raw!$AF$5:$AF$464,Rates_Raw!$F$5:$F$464,""),"")</x:f>
        <x:v>21</x:v>
      </x:c>
      <x:c r="L410" s="50" t="n">
        <x:f>IF(I410=1,IFERROR(VALUE(SUBSTITUTE(_xlfn.XLOOKUP(H410,Rates_Raw!$AF$5:$AF$464,Rates_Raw!$L$5:$L$464,""),"$","")),""),"")</x:f>
        <x:v>33.275</x:v>
      </x:c>
      <x:c r="M410" s="50" t="n">
        <x:f>IF(OR(G410="",L410=""),"",ROUND(G410-L410,4))</x:f>
        <x:v>0</x:v>
      </x:c>
      <x:c r="N410" t="str">
        <x:f>IF(I410=0,"NO MATCH",IF(I410&gt;1,"AMBIGUOUS",IF(EXACT(TRIM(E410),TRIM(J410)),"EXACT","TITLE VARIANT")))</x:f>
        <x:v>EXACT</x:v>
      </x:c>
      <x:c r="O410" t="str">
        <x:f>IF(I410&lt;&gt;1,"NOT TESTED",IF(OR(G410="",L410=""),"MISSING",IF(ABS(M410)&lt;=Guide!$B$16,"PASS","REVIEW")))</x:f>
        <x:v>PASS</x:v>
      </x:c>
      <x:c r="P410" s="52" t="n">
        <x:f>IF(I410=1,IFERROR(VALUE(SUBSTITUTE(SUBSTITUTE(_xlfn.XLOOKUP(H410,Rates_Raw!$AF$5:$AF$464,Rates_Raw!$I$5:$I$464,""),"$",""),",","")),""),"")</x:f>
        <x:v>2662</x:v>
      </x:c>
      <x:c r="Q410" s="52" t="n">
        <x:f>IF(P410="","",P410*Guide!$B$15)</x:f>
        <x:v>69212</x:v>
      </x:c>
      <x:c r="R410" t="str">
        <x:f>IF(I410=0,"UNMATCHED",IF(I410&gt;1,"DUPLICATE KEY",IF(OR(N410="TITLE VARIANT",O410="REVIEW",O410="MISSING"),"REVIEW","VERIFIED")))</x:f>
        <x:v>VERIFIED</x:v>
      </x:c>
      <x:c r="S410" s="46" t="str">
        <x:v>Not Reviewed</x:v>
      </x:c>
      <x:c r="T410" s="48"/>
    </x:row>
    <x:row r="411">
      <x:c r="A411" t="n">
        <x:f>Plan_Raw!A411</x:f>
        <x:v>1956</x:v>
      </x:c>
      <x:c r="B411" t="str">
        <x:f>Plan_Raw!D411</x:f>
        <x:v>1362</x:v>
      </x:c>
      <x:c r="C411" t="str">
        <x:f>LEFT(Plan_Raw!B411,10)</x:f>
        <x:v>2026-07-01</x:v>
      </x:c>
      <x:c r="D411" t="str">
        <x:f>Plan_Raw!F411</x:f>
        <x:v>COMMN</x:v>
      </x:c>
      <x:c r="E411" t="str">
        <x:f>Plan_Raw!E411</x:f>
        <x:v>Special Assistant 3</x:v>
      </x:c>
      <x:c r="F411" t="str">
        <x:f>Plan_Raw!C411</x:f>
        <x:v>1362D</x:v>
      </x:c>
      <x:c r="G411" s="50" t="n">
        <x:f>IF(Plan_Raw!G411="","",IFERROR(VALUE(Plan_Raw!G411),""))</x:f>
        <x:v>33.9375</x:v>
      </x:c>
      <x:c r="H411" t="str">
        <x:f>Plan_Raw!AH411</x:f>
        <x:v>1362|COMMN|2026-07-01</x:v>
      </x:c>
      <x:c r="I411" t="n">
        <x:f>COUNTIF(Rates_Raw!$AF$5:$AF$464,H411)</x:f>
        <x:v>0</x:v>
      </x:c>
      <x:c r="J411" t="str">
        <x:f>IF(I411=1,_xlfn.XLOOKUP(H411,Rates_Raw!$AF$5:$AF$464,Rates_Raw!$E$5:$E$464,""),"")</x:f>
      </x:c>
      <x:c r="K411" t="str">
        <x:f>IF(I411=1,_xlfn.XLOOKUP(H411,Rates_Raw!$AF$5:$AF$464,Rates_Raw!$F$5:$F$464,""),"")</x:f>
      </x:c>
      <x:c r="L411" s="50" t="str">
        <x:f>IF(I411=1,IFERROR(VALUE(SUBSTITUTE(_xlfn.XLOOKUP(H411,Rates_Raw!$AF$5:$AF$464,Rates_Raw!$L$5:$L$464,""),"$","")),""),"")</x:f>
      </x:c>
      <x:c r="M411" s="50" t="str">
        <x:f>IF(OR(G411="",L411=""),"",ROUND(G411-L411,4))</x:f>
      </x:c>
      <x:c r="N411" t="str">
        <x:f>IF(I411=0,"NO MATCH",IF(I411&gt;1,"AMBIGUOUS",IF(EXACT(TRIM(E411),TRIM(J411)),"EXACT","TITLE VARIANT")))</x:f>
        <x:v>NO MATCH</x:v>
      </x:c>
      <x:c r="O411" t="str">
        <x:f>IF(I411&lt;&gt;1,"NOT TESTED",IF(OR(G411="",L411=""),"MISSING",IF(ABS(M411)&lt;=Guide!$B$16,"PASS","REVIEW")))</x:f>
        <x:v>NOT TESTED</x:v>
      </x:c>
      <x:c r="P411" s="52" t="str">
        <x:f>IF(I411=1,IFERROR(VALUE(SUBSTITUTE(SUBSTITUTE(_xlfn.XLOOKUP(H411,Rates_Raw!$AF$5:$AF$464,Rates_Raw!$I$5:$I$464,""),"$",""),",","")),""),"")</x:f>
      </x:c>
      <x:c r="Q411" s="52" t="str">
        <x:f>IF(P411="","",P411*Guide!$B$15)</x:f>
      </x:c>
      <x:c r="R411" t="str">
        <x:f>IF(I411=0,"UNMATCHED",IF(I411&gt;1,"DUPLICATE KEY",IF(OR(N411="TITLE VARIANT",O411="REVIEW",O411="MISSING"),"REVIEW","VERIFIED")))</x:f>
        <x:v>UNMATCHED</x:v>
      </x:c>
      <x:c r="S411" s="46" t="str">
        <x:v>Not Reviewed</x:v>
      </x:c>
      <x:c r="T411" s="48"/>
    </x:row>
    <x:row r="412">
      <x:c r="A412" t="n">
        <x:f>Plan_Raw!A412</x:f>
        <x:v>1968</x:v>
      </x:c>
      <x:c r="B412" t="str">
        <x:f>Plan_Raw!D412</x:f>
        <x:v>1362</x:v>
      </x:c>
      <x:c r="C412" t="str">
        <x:f>LEFT(Plan_Raw!B412,10)</x:f>
        <x:v>2026-07-01</x:v>
      </x:c>
      <x:c r="D412" t="str">
        <x:f>Plan_Raw!F412</x:f>
        <x:v>SFMTA</x:v>
      </x:c>
      <x:c r="E412" t="str">
        <x:f>Plan_Raw!E412</x:f>
        <x:v>Special Assistant 3</x:v>
      </x:c>
      <x:c r="F412" t="str">
        <x:f>Plan_Raw!C412</x:f>
        <x:v>1362D</x:v>
      </x:c>
      <x:c r="G412" s="50" t="n">
        <x:f>IF(Plan_Raw!G412="","",IFERROR(VALUE(Plan_Raw!G412),""))</x:f>
        <x:v>33.9375</x:v>
      </x:c>
      <x:c r="H412" t="str">
        <x:f>Plan_Raw!AH412</x:f>
        <x:v>1362|SFMTA|2026-07-01</x:v>
      </x:c>
      <x:c r="I412" t="n">
        <x:f>COUNTIF(Rates_Raw!$AF$5:$AF$464,H412)</x:f>
        <x:v>0</x:v>
      </x:c>
      <x:c r="J412" t="str">
        <x:f>IF(I412=1,_xlfn.XLOOKUP(H412,Rates_Raw!$AF$5:$AF$464,Rates_Raw!$E$5:$E$464,""),"")</x:f>
      </x:c>
      <x:c r="K412" t="str">
        <x:f>IF(I412=1,_xlfn.XLOOKUP(H412,Rates_Raw!$AF$5:$AF$464,Rates_Raw!$F$5:$F$464,""),"")</x:f>
      </x:c>
      <x:c r="L412" s="50" t="str">
        <x:f>IF(I412=1,IFERROR(VALUE(SUBSTITUTE(_xlfn.XLOOKUP(H412,Rates_Raw!$AF$5:$AF$464,Rates_Raw!$L$5:$L$464,""),"$","")),""),"")</x:f>
      </x:c>
      <x:c r="M412" s="50" t="str">
        <x:f>IF(OR(G412="",L412=""),"",ROUND(G412-L412,4))</x:f>
      </x:c>
      <x:c r="N412" t="str">
        <x:f>IF(I412=0,"NO MATCH",IF(I412&gt;1,"AMBIGUOUS",IF(EXACT(TRIM(E412),TRIM(J412)),"EXACT","TITLE VARIANT")))</x:f>
        <x:v>NO MATCH</x:v>
      </x:c>
      <x:c r="O412" t="str">
        <x:f>IF(I412&lt;&gt;1,"NOT TESTED",IF(OR(G412="",L412=""),"MISSING",IF(ABS(M412)&lt;=Guide!$B$16,"PASS","REVIEW")))</x:f>
        <x:v>NOT TESTED</x:v>
      </x:c>
      <x:c r="P412" s="52" t="str">
        <x:f>IF(I412=1,IFERROR(VALUE(SUBSTITUTE(SUBSTITUTE(_xlfn.XLOOKUP(H412,Rates_Raw!$AF$5:$AF$464,Rates_Raw!$I$5:$I$464,""),"$",""),",","")),""),"")</x:f>
      </x:c>
      <x:c r="Q412" s="52" t="str">
        <x:f>IF(P412="","",P412*Guide!$B$15)</x:f>
      </x:c>
      <x:c r="R412" t="str">
        <x:f>IF(I412=0,"UNMATCHED",IF(I412&gt;1,"DUPLICATE KEY",IF(OR(N412="TITLE VARIANT",O412="REVIEW",O412="MISSING"),"REVIEW","VERIFIED")))</x:f>
        <x:v>UNMATCHED</x:v>
      </x:c>
      <x:c r="S412" s="46" t="str">
        <x:v>Not Reviewed</x:v>
      </x:c>
      <x:c r="T412" s="48"/>
    </x:row>
    <x:row r="413">
      <x:c r="A413" t="n">
        <x:f>Plan_Raw!A413</x:f>
        <x:v>1975</x:v>
      </x:c>
      <x:c r="B413" t="str">
        <x:f>Plan_Raw!D413</x:f>
        <x:v>1363</x:v>
      </x:c>
      <x:c r="C413" t="str">
        <x:f>LEFT(Plan_Raw!B413,10)</x:f>
        <x:v>2024-01-06</x:v>
      </x:c>
      <x:c r="D413" t="str">
        <x:f>Plan_Raw!F413</x:f>
        <x:v>COMMN</x:v>
      </x:c>
      <x:c r="E413" t="str">
        <x:f>Plan_Raw!E413</x:f>
        <x:v>Special Assistant IV</x:v>
      </x:c>
      <x:c r="F413" t="str">
        <x:f>Plan_Raw!C413</x:f>
        <x:v>1363Y</x:v>
      </x:c>
      <x:c r="G413" s="50" t="n">
        <x:f>IF(Plan_Raw!G413="","",IFERROR(VALUE(Plan_Raw!G413),""))</x:f>
        <x:v>33.575</x:v>
      </x:c>
      <x:c r="H413" t="str">
        <x:f>Plan_Raw!AH413</x:f>
        <x:v>1363|COMMN|2024-01-06</x:v>
      </x:c>
      <x:c r="I413" t="n">
        <x:f>COUNTIF(Rates_Raw!$AF$5:$AF$464,H413)</x:f>
        <x:v>1</x:v>
      </x:c>
      <x:c r="J413" t="str">
        <x:f>IF(I413=1,_xlfn.XLOOKUP(H413,Rates_Raw!$AF$5:$AF$464,Rates_Raw!$E$5:$E$464,""),"")</x:f>
        <x:v>Special Assistant IV</x:v>
      </x:c>
      <x:c r="K413" t="n">
        <x:f>IF(I413=1,_xlfn.XLOOKUP(H413,Rates_Raw!$AF$5:$AF$464,Rates_Raw!$F$5:$F$464,""),"")</x:f>
        <x:v>21</x:v>
      </x:c>
      <x:c r="L413" s="50" t="n">
        <x:f>IF(I413=1,IFERROR(VALUE(SUBSTITUTE(_xlfn.XLOOKUP(H413,Rates_Raw!$AF$5:$AF$464,Rates_Raw!$L$5:$L$464,""),"$","")),""),"")</x:f>
        <x:v>33.575</x:v>
      </x:c>
      <x:c r="M413" s="50" t="n">
        <x:f>IF(OR(G413="",L413=""),"",ROUND(G413-L413,4))</x:f>
        <x:v>0</x:v>
      </x:c>
      <x:c r="N413" t="str">
        <x:f>IF(I413=0,"NO MATCH",IF(I413&gt;1,"AMBIGUOUS",IF(EXACT(TRIM(E413),TRIM(J413)),"EXACT","TITLE VARIANT")))</x:f>
        <x:v>EXACT</x:v>
      </x:c>
      <x:c r="O413" t="str">
        <x:f>IF(I413&lt;&gt;1,"NOT TESTED",IF(OR(G413="",L413=""),"MISSING",IF(ABS(M413)&lt;=Guide!$B$16,"PASS","REVIEW")))</x:f>
        <x:v>PASS</x:v>
      </x:c>
      <x:c r="P413" s="52" t="n">
        <x:f>IF(I413=1,IFERROR(VALUE(SUBSTITUTE(SUBSTITUTE(_xlfn.XLOOKUP(H413,Rates_Raw!$AF$5:$AF$464,Rates_Raw!$I$5:$I$464,""),"$",""),",","")),""),"")</x:f>
        <x:v>2686</x:v>
      </x:c>
      <x:c r="Q413" s="52" t="n">
        <x:f>IF(P413="","",P413*Guide!$B$15)</x:f>
        <x:v>69836</x:v>
      </x:c>
      <x:c r="R413" t="str">
        <x:f>IF(I413=0,"UNMATCHED",IF(I413&gt;1,"DUPLICATE KEY",IF(OR(N413="TITLE VARIANT",O413="REVIEW",O413="MISSING"),"REVIEW","VERIFIED")))</x:f>
        <x:v>VERIFIED</x:v>
      </x:c>
      <x:c r="S413" s="46" t="str">
        <x:v>Not Reviewed</x:v>
      </x:c>
      <x:c r="T413" s="48"/>
    </x:row>
    <x:row r="414">
      <x:c r="A414" t="n">
        <x:f>Plan_Raw!A414</x:f>
        <x:v>1987</x:v>
      </x:c>
      <x:c r="B414" t="str">
        <x:f>Plan_Raw!D414</x:f>
        <x:v>1363</x:v>
      </x:c>
      <x:c r="C414" t="str">
        <x:f>LEFT(Plan_Raw!B414,10)</x:f>
        <x:v>2024-01-06</x:v>
      </x:c>
      <x:c r="D414" t="str">
        <x:f>Plan_Raw!F414</x:f>
        <x:v>SFMTA</x:v>
      </x:c>
      <x:c r="E414" t="str">
        <x:f>Plan_Raw!E414</x:f>
        <x:v>Special Assistant IV</x:v>
      </x:c>
      <x:c r="F414" t="str">
        <x:f>Plan_Raw!C414</x:f>
        <x:v>1363Y</x:v>
      </x:c>
      <x:c r="G414" s="50" t="n">
        <x:f>IF(Plan_Raw!G414="","",IFERROR(VALUE(Plan_Raw!G414),""))</x:f>
        <x:v>33.575</x:v>
      </x:c>
      <x:c r="H414" t="str">
        <x:f>Plan_Raw!AH414</x:f>
        <x:v>1363|SFMTA|2024-01-06</x:v>
      </x:c>
      <x:c r="I414" t="n">
        <x:f>COUNTIF(Rates_Raw!$AF$5:$AF$464,H414)</x:f>
        <x:v>1</x:v>
      </x:c>
      <x:c r="J414" t="str">
        <x:f>IF(I414=1,_xlfn.XLOOKUP(H414,Rates_Raw!$AF$5:$AF$464,Rates_Raw!$E$5:$E$464,""),"")</x:f>
        <x:v>Special Assistant IV</x:v>
      </x:c>
      <x:c r="K414" t="n">
        <x:f>IF(I414=1,_xlfn.XLOOKUP(H414,Rates_Raw!$AF$5:$AF$464,Rates_Raw!$F$5:$F$464,""),"")</x:f>
        <x:v>21</x:v>
      </x:c>
      <x:c r="L414" s="50" t="n">
        <x:f>IF(I414=1,IFERROR(VALUE(SUBSTITUTE(_xlfn.XLOOKUP(H414,Rates_Raw!$AF$5:$AF$464,Rates_Raw!$L$5:$L$464,""),"$","")),""),"")</x:f>
        <x:v>33.575</x:v>
      </x:c>
      <x:c r="M414" s="50" t="n">
        <x:f>IF(OR(G414="",L414=""),"",ROUND(G414-L414,4))</x:f>
        <x:v>0</x:v>
      </x:c>
      <x:c r="N414" t="str">
        <x:f>IF(I414=0,"NO MATCH",IF(I414&gt;1,"AMBIGUOUS",IF(EXACT(TRIM(E414),TRIM(J414)),"EXACT","TITLE VARIANT")))</x:f>
        <x:v>EXACT</x:v>
      </x:c>
      <x:c r="O414" t="str">
        <x:f>IF(I414&lt;&gt;1,"NOT TESTED",IF(OR(G414="",L414=""),"MISSING",IF(ABS(M414)&lt;=Guide!$B$16,"PASS","REVIEW")))</x:f>
        <x:v>PASS</x:v>
      </x:c>
      <x:c r="P414" s="52" t="n">
        <x:f>IF(I414=1,IFERROR(VALUE(SUBSTITUTE(SUBSTITUTE(_xlfn.XLOOKUP(H414,Rates_Raw!$AF$5:$AF$464,Rates_Raw!$I$5:$I$464,""),"$",""),",","")),""),"")</x:f>
        <x:v>2686</x:v>
      </x:c>
      <x:c r="Q414" s="52" t="n">
        <x:f>IF(P414="","",P414*Guide!$B$15)</x:f>
        <x:v>69836</x:v>
      </x:c>
      <x:c r="R414" t="str">
        <x:f>IF(I414=0,"UNMATCHED",IF(I414&gt;1,"DUPLICATE KEY",IF(OR(N414="TITLE VARIANT",O414="REVIEW",O414="MISSING"),"REVIEW","VERIFIED")))</x:f>
        <x:v>VERIFIED</x:v>
      </x:c>
      <x:c r="S414" s="46" t="str">
        <x:v>Not Reviewed</x:v>
      </x:c>
      <x:c r="T414" s="48"/>
    </x:row>
    <x:row r="415">
      <x:c r="A415" t="n">
        <x:f>Plan_Raw!A415</x:f>
        <x:v>1976</x:v>
      </x:c>
      <x:c r="B415" t="str">
        <x:f>Plan_Raw!D415</x:f>
        <x:v>1363</x:v>
      </x:c>
      <x:c r="C415" t="str">
        <x:f>LEFT(Plan_Raw!B415,10)</x:f>
        <x:v>2024-07-01</x:v>
      </x:c>
      <x:c r="D415" t="str">
        <x:f>Plan_Raw!F415</x:f>
        <x:v>COMMN</x:v>
      </x:c>
      <x:c r="E415" t="str">
        <x:f>Plan_Raw!E415</x:f>
        <x:v>Special Assistant IV</x:v>
      </x:c>
      <x:c r="F415" t="str">
        <x:f>Plan_Raw!C415</x:f>
        <x:v>1363Z</x:v>
      </x:c>
      <x:c r="G415" s="50" t="n">
        <x:f>IF(Plan_Raw!G415="","",IFERROR(VALUE(Plan_Raw!G415),""))</x:f>
        <x:v>34.075</x:v>
      </x:c>
      <x:c r="H415" t="str">
        <x:f>Plan_Raw!AH415</x:f>
        <x:v>1363|COMMN|2024-07-01</x:v>
      </x:c>
      <x:c r="I415" t="n">
        <x:f>COUNTIF(Rates_Raw!$AF$5:$AF$464,H415)</x:f>
        <x:v>1</x:v>
      </x:c>
      <x:c r="J415" t="str">
        <x:f>IF(I415=1,_xlfn.XLOOKUP(H415,Rates_Raw!$AF$5:$AF$464,Rates_Raw!$E$5:$E$464,""),"")</x:f>
        <x:v>Special Assistant IV</x:v>
      </x:c>
      <x:c r="K415" t="n">
        <x:f>IF(I415=1,_xlfn.XLOOKUP(H415,Rates_Raw!$AF$5:$AF$464,Rates_Raw!$F$5:$F$464,""),"")</x:f>
        <x:v>21</x:v>
      </x:c>
      <x:c r="L415" s="50" t="n">
        <x:f>IF(I415=1,IFERROR(VALUE(SUBSTITUTE(_xlfn.XLOOKUP(H415,Rates_Raw!$AF$5:$AF$464,Rates_Raw!$L$5:$L$464,""),"$","")),""),"")</x:f>
        <x:v>34.075</x:v>
      </x:c>
      <x:c r="M415" s="50" t="n">
        <x:f>IF(OR(G415="",L415=""),"",ROUND(G415-L415,4))</x:f>
        <x:v>0</x:v>
      </x:c>
      <x:c r="N415" t="str">
        <x:f>IF(I415=0,"NO MATCH",IF(I415&gt;1,"AMBIGUOUS",IF(EXACT(TRIM(E415),TRIM(J415)),"EXACT","TITLE VARIANT")))</x:f>
        <x:v>EXACT</x:v>
      </x:c>
      <x:c r="O415" t="str">
        <x:f>IF(I415&lt;&gt;1,"NOT TESTED",IF(OR(G415="",L415=""),"MISSING",IF(ABS(M415)&lt;=Guide!$B$16,"PASS","REVIEW")))</x:f>
        <x:v>PASS</x:v>
      </x:c>
      <x:c r="P415" s="52" t="n">
        <x:f>IF(I415=1,IFERROR(VALUE(SUBSTITUTE(SUBSTITUTE(_xlfn.XLOOKUP(H415,Rates_Raw!$AF$5:$AF$464,Rates_Raw!$I$5:$I$464,""),"$",""),",","")),""),"")</x:f>
        <x:v>2726</x:v>
      </x:c>
      <x:c r="Q415" s="52" t="n">
        <x:f>IF(P415="","",P415*Guide!$B$15)</x:f>
        <x:v>70876</x:v>
      </x:c>
      <x:c r="R415" t="str">
        <x:f>IF(I415=0,"UNMATCHED",IF(I415&gt;1,"DUPLICATE KEY",IF(OR(N415="TITLE VARIANT",O415="REVIEW",O415="MISSING"),"REVIEW","VERIFIED")))</x:f>
        <x:v>VERIFIED</x:v>
      </x:c>
      <x:c r="S415" s="46" t="str">
        <x:v>Not Reviewed</x:v>
      </x:c>
      <x:c r="T415" s="48"/>
    </x:row>
    <x:row r="416">
      <x:c r="A416" t="n">
        <x:f>Plan_Raw!A416</x:f>
        <x:v>1988</x:v>
      </x:c>
      <x:c r="B416" t="str">
        <x:f>Plan_Raw!D416</x:f>
        <x:v>1363</x:v>
      </x:c>
      <x:c r="C416" t="str">
        <x:f>LEFT(Plan_Raw!B416,10)</x:f>
        <x:v>2024-07-01</x:v>
      </x:c>
      <x:c r="D416" t="str">
        <x:f>Plan_Raw!F416</x:f>
        <x:v>SFMTA</x:v>
      </x:c>
      <x:c r="E416" t="str">
        <x:f>Plan_Raw!E416</x:f>
        <x:v>Special Assistant IV</x:v>
      </x:c>
      <x:c r="F416" t="str">
        <x:f>Plan_Raw!C416</x:f>
        <x:v>1363Z</x:v>
      </x:c>
      <x:c r="G416" s="50" t="n">
        <x:f>IF(Plan_Raw!G416="","",IFERROR(VALUE(Plan_Raw!G416),""))</x:f>
        <x:v>34.075</x:v>
      </x:c>
      <x:c r="H416" t="str">
        <x:f>Plan_Raw!AH416</x:f>
        <x:v>1363|SFMTA|2024-07-01</x:v>
      </x:c>
      <x:c r="I416" t="n">
        <x:f>COUNTIF(Rates_Raw!$AF$5:$AF$464,H416)</x:f>
        <x:v>1</x:v>
      </x:c>
      <x:c r="J416" t="str">
        <x:f>IF(I416=1,_xlfn.XLOOKUP(H416,Rates_Raw!$AF$5:$AF$464,Rates_Raw!$E$5:$E$464,""),"")</x:f>
        <x:v>Special Assistant IV</x:v>
      </x:c>
      <x:c r="K416" t="n">
        <x:f>IF(I416=1,_xlfn.XLOOKUP(H416,Rates_Raw!$AF$5:$AF$464,Rates_Raw!$F$5:$F$464,""),"")</x:f>
        <x:v>21</x:v>
      </x:c>
      <x:c r="L416" s="50" t="n">
        <x:f>IF(I416=1,IFERROR(VALUE(SUBSTITUTE(_xlfn.XLOOKUP(H416,Rates_Raw!$AF$5:$AF$464,Rates_Raw!$L$5:$L$464,""),"$","")),""),"")</x:f>
        <x:v>34.075</x:v>
      </x:c>
      <x:c r="M416" s="50" t="n">
        <x:f>IF(OR(G416="",L416=""),"",ROUND(G416-L416,4))</x:f>
        <x:v>0</x:v>
      </x:c>
      <x:c r="N416" t="str">
        <x:f>IF(I416=0,"NO MATCH",IF(I416&gt;1,"AMBIGUOUS",IF(EXACT(TRIM(E416),TRIM(J416)),"EXACT","TITLE VARIANT")))</x:f>
        <x:v>EXACT</x:v>
      </x:c>
      <x:c r="O416" t="str">
        <x:f>IF(I416&lt;&gt;1,"NOT TESTED",IF(OR(G416="",L416=""),"MISSING",IF(ABS(M416)&lt;=Guide!$B$16,"PASS","REVIEW")))</x:f>
        <x:v>PASS</x:v>
      </x:c>
      <x:c r="P416" s="52" t="n">
        <x:f>IF(I416=1,IFERROR(VALUE(SUBSTITUTE(SUBSTITUTE(_xlfn.XLOOKUP(H416,Rates_Raw!$AF$5:$AF$464,Rates_Raw!$I$5:$I$464,""),"$",""),",","")),""),"")</x:f>
        <x:v>2726</x:v>
      </x:c>
      <x:c r="Q416" s="52" t="n">
        <x:f>IF(P416="","",P416*Guide!$B$15)</x:f>
        <x:v>70876</x:v>
      </x:c>
      <x:c r="R416" t="str">
        <x:f>IF(I416=0,"UNMATCHED",IF(I416&gt;1,"DUPLICATE KEY",IF(OR(N416="TITLE VARIANT",O416="REVIEW",O416="MISSING"),"REVIEW","VERIFIED")))</x:f>
        <x:v>VERIFIED</x:v>
      </x:c>
      <x:c r="S416" s="46" t="str">
        <x:v>Not Reviewed</x:v>
      </x:c>
      <x:c r="T416" s="48"/>
    </x:row>
    <x:row r="417">
      <x:c r="A417" t="n">
        <x:f>Plan_Raw!A417</x:f>
        <x:v>1977</x:v>
      </x:c>
      <x:c r="B417" t="str">
        <x:f>Plan_Raw!D417</x:f>
        <x:v>1363</x:v>
      </x:c>
      <x:c r="C417" t="str">
        <x:f>LEFT(Plan_Raw!B417,10)</x:f>
        <x:v>2025-01-04</x:v>
      </x:c>
      <x:c r="D417" t="str">
        <x:f>Plan_Raw!F417</x:f>
        <x:v>COMMN</x:v>
      </x:c>
      <x:c r="E417" t="str">
        <x:f>Plan_Raw!E417</x:f>
        <x:v>Special Assistant IV</x:v>
      </x:c>
      <x:c r="F417" t="str">
        <x:f>Plan_Raw!C417</x:f>
        <x:v>1363A</x:v>
      </x:c>
      <x:c r="G417" s="50" t="n">
        <x:f>IF(Plan_Raw!G417="","",IFERROR(VALUE(Plan_Raw!G417),""))</x:f>
        <x:v>34.5875</x:v>
      </x:c>
      <x:c r="H417" t="str">
        <x:f>Plan_Raw!AH417</x:f>
        <x:v>1363|COMMN|2025-01-04</x:v>
      </x:c>
      <x:c r="I417" t="n">
        <x:f>COUNTIF(Rates_Raw!$AF$5:$AF$464,H417)</x:f>
        <x:v>1</x:v>
      </x:c>
      <x:c r="J417" t="str">
        <x:f>IF(I417=1,_xlfn.XLOOKUP(H417,Rates_Raw!$AF$5:$AF$464,Rates_Raw!$E$5:$E$464,""),"")</x:f>
        <x:v>Special Assistant IV</x:v>
      </x:c>
      <x:c r="K417" t="n">
        <x:f>IF(I417=1,_xlfn.XLOOKUP(H417,Rates_Raw!$AF$5:$AF$464,Rates_Raw!$F$5:$F$464,""),"")</x:f>
        <x:v>21</x:v>
      </x:c>
      <x:c r="L417" s="50" t="n">
        <x:f>IF(I417=1,IFERROR(VALUE(SUBSTITUTE(_xlfn.XLOOKUP(H417,Rates_Raw!$AF$5:$AF$464,Rates_Raw!$L$5:$L$464,""),"$","")),""),"")</x:f>
        <x:v>34.5875</x:v>
      </x:c>
      <x:c r="M417" s="50" t="n">
        <x:f>IF(OR(G417="",L417=""),"",ROUND(G417-L417,4))</x:f>
        <x:v>0</x:v>
      </x:c>
      <x:c r="N417" t="str">
        <x:f>IF(I417=0,"NO MATCH",IF(I417&gt;1,"AMBIGUOUS",IF(EXACT(TRIM(E417),TRIM(J417)),"EXACT","TITLE VARIANT")))</x:f>
        <x:v>EXACT</x:v>
      </x:c>
      <x:c r="O417" t="str">
        <x:f>IF(I417&lt;&gt;1,"NOT TESTED",IF(OR(G417="",L417=""),"MISSING",IF(ABS(M417)&lt;=Guide!$B$16,"PASS","REVIEW")))</x:f>
        <x:v>PASS</x:v>
      </x:c>
      <x:c r="P417" s="52" t="n">
        <x:f>IF(I417=1,IFERROR(VALUE(SUBSTITUTE(SUBSTITUTE(_xlfn.XLOOKUP(H417,Rates_Raw!$AF$5:$AF$464,Rates_Raw!$I$5:$I$464,""),"$",""),",","")),""),"")</x:f>
        <x:v>2767</x:v>
      </x:c>
      <x:c r="Q417" s="52" t="n">
        <x:f>IF(P417="","",P417*Guide!$B$15)</x:f>
        <x:v>71942</x:v>
      </x:c>
      <x:c r="R417" t="str">
        <x:f>IF(I417=0,"UNMATCHED",IF(I417&gt;1,"DUPLICATE KEY",IF(OR(N417="TITLE VARIANT",O417="REVIEW",O417="MISSING"),"REVIEW","VERIFIED")))</x:f>
        <x:v>VERIFIED</x:v>
      </x:c>
      <x:c r="S417" s="46" t="str">
        <x:v>Not Reviewed</x:v>
      </x:c>
      <x:c r="T417" s="48"/>
    </x:row>
    <x:row r="418">
      <x:c r="A418" t="n">
        <x:f>Plan_Raw!A418</x:f>
        <x:v>1989</x:v>
      </x:c>
      <x:c r="B418" t="str">
        <x:f>Plan_Raw!D418</x:f>
        <x:v>1363</x:v>
      </x:c>
      <x:c r="C418" t="str">
        <x:f>LEFT(Plan_Raw!B418,10)</x:f>
        <x:v>2025-01-04</x:v>
      </x:c>
      <x:c r="D418" t="str">
        <x:f>Plan_Raw!F418</x:f>
        <x:v>SFMTA</x:v>
      </x:c>
      <x:c r="E418" t="str">
        <x:f>Plan_Raw!E418</x:f>
        <x:v>Special Assistant IV</x:v>
      </x:c>
      <x:c r="F418" t="str">
        <x:f>Plan_Raw!C418</x:f>
        <x:v>1363A</x:v>
      </x:c>
      <x:c r="G418" s="50" t="n">
        <x:f>IF(Plan_Raw!G418="","",IFERROR(VALUE(Plan_Raw!G418),""))</x:f>
        <x:v>34.5875</x:v>
      </x:c>
      <x:c r="H418" t="str">
        <x:f>Plan_Raw!AH418</x:f>
        <x:v>1363|SFMTA|2025-01-04</x:v>
      </x:c>
      <x:c r="I418" t="n">
        <x:f>COUNTIF(Rates_Raw!$AF$5:$AF$464,H418)</x:f>
        <x:v>1</x:v>
      </x:c>
      <x:c r="J418" t="str">
        <x:f>IF(I418=1,_xlfn.XLOOKUP(H418,Rates_Raw!$AF$5:$AF$464,Rates_Raw!$E$5:$E$464,""),"")</x:f>
        <x:v>Special Assistant IV</x:v>
      </x:c>
      <x:c r="K418" t="n">
        <x:f>IF(I418=1,_xlfn.XLOOKUP(H418,Rates_Raw!$AF$5:$AF$464,Rates_Raw!$F$5:$F$464,""),"")</x:f>
        <x:v>21</x:v>
      </x:c>
      <x:c r="L418" s="50" t="n">
        <x:f>IF(I418=1,IFERROR(VALUE(SUBSTITUTE(_xlfn.XLOOKUP(H418,Rates_Raw!$AF$5:$AF$464,Rates_Raw!$L$5:$L$464,""),"$","")),""),"")</x:f>
        <x:v>34.5875</x:v>
      </x:c>
      <x:c r="M418" s="50" t="n">
        <x:f>IF(OR(G418="",L418=""),"",ROUND(G418-L418,4))</x:f>
        <x:v>0</x:v>
      </x:c>
      <x:c r="N418" t="str">
        <x:f>IF(I418=0,"NO MATCH",IF(I418&gt;1,"AMBIGUOUS",IF(EXACT(TRIM(E418),TRIM(J418)),"EXACT","TITLE VARIANT")))</x:f>
        <x:v>EXACT</x:v>
      </x:c>
      <x:c r="O418" t="str">
        <x:f>IF(I418&lt;&gt;1,"NOT TESTED",IF(OR(G418="",L418=""),"MISSING",IF(ABS(M418)&lt;=Guide!$B$16,"PASS","REVIEW")))</x:f>
        <x:v>PASS</x:v>
      </x:c>
      <x:c r="P418" s="52" t="n">
        <x:f>IF(I418=1,IFERROR(VALUE(SUBSTITUTE(SUBSTITUTE(_xlfn.XLOOKUP(H418,Rates_Raw!$AF$5:$AF$464,Rates_Raw!$I$5:$I$464,""),"$",""),",","")),""),"")</x:f>
        <x:v>2767</x:v>
      </x:c>
      <x:c r="Q418" s="52" t="n">
        <x:f>IF(P418="","",P418*Guide!$B$15)</x:f>
        <x:v>71942</x:v>
      </x:c>
      <x:c r="R418" t="str">
        <x:f>IF(I418=0,"UNMATCHED",IF(I418&gt;1,"DUPLICATE KEY",IF(OR(N418="TITLE VARIANT",O418="REVIEW",O418="MISSING"),"REVIEW","VERIFIED")))</x:f>
        <x:v>VERIFIED</x:v>
      </x:c>
      <x:c r="S418" s="46" t="str">
        <x:v>Not Reviewed</x:v>
      </x:c>
      <x:c r="T418" s="48"/>
    </x:row>
    <x:row r="419">
      <x:c r="A419" t="n">
        <x:f>Plan_Raw!A419</x:f>
        <x:v>1978</x:v>
      </x:c>
      <x:c r="B419" t="str">
        <x:f>Plan_Raw!D419</x:f>
        <x:v>1363</x:v>
      </x:c>
      <x:c r="C419" t="str">
        <x:f>LEFT(Plan_Raw!B419,10)</x:f>
        <x:v>2025-07-01</x:v>
      </x:c>
      <x:c r="D419" t="str">
        <x:f>Plan_Raw!F419</x:f>
        <x:v>COMMN</x:v>
      </x:c>
      <x:c r="E419" t="str">
        <x:f>Plan_Raw!E419</x:f>
        <x:v>Special Assistant 4</x:v>
      </x:c>
      <x:c r="F419" t="str">
        <x:f>Plan_Raw!C419</x:f>
        <x:v>1363B</x:v>
      </x:c>
      <x:c r="G419" s="50" t="n">
        <x:f>IF(Plan_Raw!G419="","",IFERROR(VALUE(Plan_Raw!G419),""))</x:f>
        <x:v>35.2875</x:v>
      </x:c>
      <x:c r="H419" t="str">
        <x:f>Plan_Raw!AH419</x:f>
        <x:v>1363|COMMN|2025-07-01</x:v>
      </x:c>
      <x:c r="I419" t="n">
        <x:f>COUNTIF(Rates_Raw!$AF$5:$AF$464,H419)</x:f>
        <x:v>1</x:v>
      </x:c>
      <x:c r="J419" t="str">
        <x:f>IF(I419=1,_xlfn.XLOOKUP(H419,Rates_Raw!$AF$5:$AF$464,Rates_Raw!$E$5:$E$464,""),"")</x:f>
        <x:v>Special Assistant 4</x:v>
      </x:c>
      <x:c r="K419" t="n">
        <x:f>IF(I419=1,_xlfn.XLOOKUP(H419,Rates_Raw!$AF$5:$AF$464,Rates_Raw!$F$5:$F$464,""),"")</x:f>
        <x:v>21</x:v>
      </x:c>
      <x:c r="L419" s="50" t="n">
        <x:f>IF(I419=1,IFERROR(VALUE(SUBSTITUTE(_xlfn.XLOOKUP(H419,Rates_Raw!$AF$5:$AF$464,Rates_Raw!$L$5:$L$464,""),"$","")),""),"")</x:f>
        <x:v>35.2875</x:v>
      </x:c>
      <x:c r="M419" s="50" t="n">
        <x:f>IF(OR(G419="",L419=""),"",ROUND(G419-L419,4))</x:f>
        <x:v>0</x:v>
      </x:c>
      <x:c r="N419" t="str">
        <x:f>IF(I419=0,"NO MATCH",IF(I419&gt;1,"AMBIGUOUS",IF(EXACT(TRIM(E419),TRIM(J419)),"EXACT","TITLE VARIANT")))</x:f>
        <x:v>EXACT</x:v>
      </x:c>
      <x:c r="O419" t="str">
        <x:f>IF(I419&lt;&gt;1,"NOT TESTED",IF(OR(G419="",L419=""),"MISSING",IF(ABS(M419)&lt;=Guide!$B$16,"PASS","REVIEW")))</x:f>
        <x:v>PASS</x:v>
      </x:c>
      <x:c r="P419" s="52" t="n">
        <x:f>IF(I419=1,IFERROR(VALUE(SUBSTITUTE(SUBSTITUTE(_xlfn.XLOOKUP(H419,Rates_Raw!$AF$5:$AF$464,Rates_Raw!$I$5:$I$464,""),"$",""),",","")),""),"")</x:f>
        <x:v>2823</x:v>
      </x:c>
      <x:c r="Q419" s="52" t="n">
        <x:f>IF(P419="","",P419*Guide!$B$15)</x:f>
        <x:v>73398</x:v>
      </x:c>
      <x:c r="R419" t="str">
        <x:f>IF(I419=0,"UNMATCHED",IF(I419&gt;1,"DUPLICATE KEY",IF(OR(N419="TITLE VARIANT",O419="REVIEW",O419="MISSING"),"REVIEW","VERIFIED")))</x:f>
        <x:v>VERIFIED</x:v>
      </x:c>
      <x:c r="S419" s="46" t="str">
        <x:v>Not Reviewed</x:v>
      </x:c>
      <x:c r="T419" s="48"/>
    </x:row>
    <x:row r="420">
      <x:c r="A420" t="n">
        <x:f>Plan_Raw!A420</x:f>
        <x:v>1990</x:v>
      </x:c>
      <x:c r="B420" t="str">
        <x:f>Plan_Raw!D420</x:f>
        <x:v>1363</x:v>
      </x:c>
      <x:c r="C420" t="str">
        <x:f>LEFT(Plan_Raw!B420,10)</x:f>
        <x:v>2025-07-01</x:v>
      </x:c>
      <x:c r="D420" t="str">
        <x:f>Plan_Raw!F420</x:f>
        <x:v>SFMTA</x:v>
      </x:c>
      <x:c r="E420" t="str">
        <x:f>Plan_Raw!E420</x:f>
        <x:v>Special Assistant 4</x:v>
      </x:c>
      <x:c r="F420" t="str">
        <x:f>Plan_Raw!C420</x:f>
        <x:v>1363B</x:v>
      </x:c>
      <x:c r="G420" s="50" t="n">
        <x:f>IF(Plan_Raw!G420="","",IFERROR(VALUE(Plan_Raw!G420),""))</x:f>
        <x:v>35.2875</x:v>
      </x:c>
      <x:c r="H420" t="str">
        <x:f>Plan_Raw!AH420</x:f>
        <x:v>1363|SFMTA|2025-07-01</x:v>
      </x:c>
      <x:c r="I420" t="n">
        <x:f>COUNTIF(Rates_Raw!$AF$5:$AF$464,H420)</x:f>
        <x:v>1</x:v>
      </x:c>
      <x:c r="J420" t="str">
        <x:f>IF(I420=1,_xlfn.XLOOKUP(H420,Rates_Raw!$AF$5:$AF$464,Rates_Raw!$E$5:$E$464,""),"")</x:f>
        <x:v>Special Assistant 4</x:v>
      </x:c>
      <x:c r="K420" t="n">
        <x:f>IF(I420=1,_xlfn.XLOOKUP(H420,Rates_Raw!$AF$5:$AF$464,Rates_Raw!$F$5:$F$464,""),"")</x:f>
        <x:v>21</x:v>
      </x:c>
      <x:c r="L420" s="50" t="n">
        <x:f>IF(I420=1,IFERROR(VALUE(SUBSTITUTE(_xlfn.XLOOKUP(H420,Rates_Raw!$AF$5:$AF$464,Rates_Raw!$L$5:$L$464,""),"$","")),""),"")</x:f>
        <x:v>35.2875</x:v>
      </x:c>
      <x:c r="M420" s="50" t="n">
        <x:f>IF(OR(G420="",L420=""),"",ROUND(G420-L420,4))</x:f>
        <x:v>0</x:v>
      </x:c>
      <x:c r="N420" t="str">
        <x:f>IF(I420=0,"NO MATCH",IF(I420&gt;1,"AMBIGUOUS",IF(EXACT(TRIM(E420),TRIM(J420)),"EXACT","TITLE VARIANT")))</x:f>
        <x:v>EXACT</x:v>
      </x:c>
      <x:c r="O420" t="str">
        <x:f>IF(I420&lt;&gt;1,"NOT TESTED",IF(OR(G420="",L420=""),"MISSING",IF(ABS(M420)&lt;=Guide!$B$16,"PASS","REVIEW")))</x:f>
        <x:v>PASS</x:v>
      </x:c>
      <x:c r="P420" s="52" t="n">
        <x:f>IF(I420=1,IFERROR(VALUE(SUBSTITUTE(SUBSTITUTE(_xlfn.XLOOKUP(H420,Rates_Raw!$AF$5:$AF$464,Rates_Raw!$I$5:$I$464,""),"$",""),",","")),""),"")</x:f>
        <x:v>2823</x:v>
      </x:c>
      <x:c r="Q420" s="52" t="n">
        <x:f>IF(P420="","",P420*Guide!$B$15)</x:f>
        <x:v>73398</x:v>
      </x:c>
      <x:c r="R420" t="str">
        <x:f>IF(I420=0,"UNMATCHED",IF(I420&gt;1,"DUPLICATE KEY",IF(OR(N420="TITLE VARIANT",O420="REVIEW",O420="MISSING"),"REVIEW","VERIFIED")))</x:f>
        <x:v>VERIFIED</x:v>
      </x:c>
      <x:c r="S420" s="46" t="str">
        <x:v>Not Reviewed</x:v>
      </x:c>
      <x:c r="T420" s="48"/>
    </x:row>
    <x:row r="421">
      <x:c r="A421" t="n">
        <x:f>Plan_Raw!A421</x:f>
        <x:v>1979</x:v>
      </x:c>
      <x:c r="B421" t="str">
        <x:f>Plan_Raw!D421</x:f>
        <x:v>1363</x:v>
      </x:c>
      <x:c r="C421" t="str">
        <x:f>LEFT(Plan_Raw!B421,10)</x:f>
        <x:v>2026-01-03</x:v>
      </x:c>
      <x:c r="D421" t="str">
        <x:f>Plan_Raw!F421</x:f>
        <x:v>COMMN</x:v>
      </x:c>
      <x:c r="E421" t="str">
        <x:f>Plan_Raw!E421</x:f>
        <x:v>Special Assistant 4</x:v>
      </x:c>
      <x:c r="F421" t="str">
        <x:f>Plan_Raw!C421</x:f>
        <x:v>1363C</x:v>
      </x:c>
      <x:c r="G421" s="50" t="n">
        <x:f>IF(Plan_Raw!G421="","",IFERROR(VALUE(Plan_Raw!G421),""))</x:f>
        <x:v>35.8125</x:v>
      </x:c>
      <x:c r="H421" t="str">
        <x:f>Plan_Raw!AH421</x:f>
        <x:v>1363|COMMN|2026-01-03</x:v>
      </x:c>
      <x:c r="I421" t="n">
        <x:f>COUNTIF(Rates_Raw!$AF$5:$AF$464,H421)</x:f>
        <x:v>1</x:v>
      </x:c>
      <x:c r="J421" t="str">
        <x:f>IF(I421=1,_xlfn.XLOOKUP(H421,Rates_Raw!$AF$5:$AF$464,Rates_Raw!$E$5:$E$464,""),"")</x:f>
        <x:v>Special Assistant 4</x:v>
      </x:c>
      <x:c r="K421" t="n">
        <x:f>IF(I421=1,_xlfn.XLOOKUP(H421,Rates_Raw!$AF$5:$AF$464,Rates_Raw!$F$5:$F$464,""),"")</x:f>
        <x:v>21</x:v>
      </x:c>
      <x:c r="L421" s="50" t="n">
        <x:f>IF(I421=1,IFERROR(VALUE(SUBSTITUTE(_xlfn.XLOOKUP(H421,Rates_Raw!$AF$5:$AF$464,Rates_Raw!$L$5:$L$464,""),"$","")),""),"")</x:f>
        <x:v>35.8125</x:v>
      </x:c>
      <x:c r="M421" s="50" t="n">
        <x:f>IF(OR(G421="",L421=""),"",ROUND(G421-L421,4))</x:f>
        <x:v>0</x:v>
      </x:c>
      <x:c r="N421" t="str">
        <x:f>IF(I421=0,"NO MATCH",IF(I421&gt;1,"AMBIGUOUS",IF(EXACT(TRIM(E421),TRIM(J421)),"EXACT","TITLE VARIANT")))</x:f>
        <x:v>EXACT</x:v>
      </x:c>
      <x:c r="O421" t="str">
        <x:f>IF(I421&lt;&gt;1,"NOT TESTED",IF(OR(G421="",L421=""),"MISSING",IF(ABS(M421)&lt;=Guide!$B$16,"PASS","REVIEW")))</x:f>
        <x:v>PASS</x:v>
      </x:c>
      <x:c r="P421" s="52" t="n">
        <x:f>IF(I421=1,IFERROR(VALUE(SUBSTITUTE(SUBSTITUTE(_xlfn.XLOOKUP(H421,Rates_Raw!$AF$5:$AF$464,Rates_Raw!$I$5:$I$464,""),"$",""),",","")),""),"")</x:f>
        <x:v>2865</x:v>
      </x:c>
      <x:c r="Q421" s="52" t="n">
        <x:f>IF(P421="","",P421*Guide!$B$15)</x:f>
        <x:v>74490</x:v>
      </x:c>
      <x:c r="R421" t="str">
        <x:f>IF(I421=0,"UNMATCHED",IF(I421&gt;1,"DUPLICATE KEY",IF(OR(N421="TITLE VARIANT",O421="REVIEW",O421="MISSING"),"REVIEW","VERIFIED")))</x:f>
        <x:v>VERIFIED</x:v>
      </x:c>
      <x:c r="S421" s="46" t="str">
        <x:v>Not Reviewed</x:v>
      </x:c>
      <x:c r="T421" s="48"/>
    </x:row>
    <x:row r="422">
      <x:c r="A422" t="n">
        <x:f>Plan_Raw!A422</x:f>
        <x:v>1991</x:v>
      </x:c>
      <x:c r="B422" t="str">
        <x:f>Plan_Raw!D422</x:f>
        <x:v>1363</x:v>
      </x:c>
      <x:c r="C422" t="str">
        <x:f>LEFT(Plan_Raw!B422,10)</x:f>
        <x:v>2026-01-03</x:v>
      </x:c>
      <x:c r="D422" t="str">
        <x:f>Plan_Raw!F422</x:f>
        <x:v>SFMTA</x:v>
      </x:c>
      <x:c r="E422" t="str">
        <x:f>Plan_Raw!E422</x:f>
        <x:v>Special Assistant 4</x:v>
      </x:c>
      <x:c r="F422" t="str">
        <x:f>Plan_Raw!C422</x:f>
        <x:v>1363C</x:v>
      </x:c>
      <x:c r="G422" s="50" t="n">
        <x:f>IF(Plan_Raw!G422="","",IFERROR(VALUE(Plan_Raw!G422),""))</x:f>
        <x:v>35.8125</x:v>
      </x:c>
      <x:c r="H422" t="str">
        <x:f>Plan_Raw!AH422</x:f>
        <x:v>1363|SFMTA|2026-01-03</x:v>
      </x:c>
      <x:c r="I422" t="n">
        <x:f>COUNTIF(Rates_Raw!$AF$5:$AF$464,H422)</x:f>
        <x:v>1</x:v>
      </x:c>
      <x:c r="J422" t="str">
        <x:f>IF(I422=1,_xlfn.XLOOKUP(H422,Rates_Raw!$AF$5:$AF$464,Rates_Raw!$E$5:$E$464,""),"")</x:f>
        <x:v>Special Assistant 4</x:v>
      </x:c>
      <x:c r="K422" t="n">
        <x:f>IF(I422=1,_xlfn.XLOOKUP(H422,Rates_Raw!$AF$5:$AF$464,Rates_Raw!$F$5:$F$464,""),"")</x:f>
        <x:v>21</x:v>
      </x:c>
      <x:c r="L422" s="50" t="n">
        <x:f>IF(I422=1,IFERROR(VALUE(SUBSTITUTE(_xlfn.XLOOKUP(H422,Rates_Raw!$AF$5:$AF$464,Rates_Raw!$L$5:$L$464,""),"$","")),""),"")</x:f>
        <x:v>35.8125</x:v>
      </x:c>
      <x:c r="M422" s="50" t="n">
        <x:f>IF(OR(G422="",L422=""),"",ROUND(G422-L422,4))</x:f>
        <x:v>0</x:v>
      </x:c>
      <x:c r="N422" t="str">
        <x:f>IF(I422=0,"NO MATCH",IF(I422&gt;1,"AMBIGUOUS",IF(EXACT(TRIM(E422),TRIM(J422)),"EXACT","TITLE VARIANT")))</x:f>
        <x:v>EXACT</x:v>
      </x:c>
      <x:c r="O422" t="str">
        <x:f>IF(I422&lt;&gt;1,"NOT TESTED",IF(OR(G422="",L422=""),"MISSING",IF(ABS(M422)&lt;=Guide!$B$16,"PASS","REVIEW")))</x:f>
        <x:v>PASS</x:v>
      </x:c>
      <x:c r="P422" s="52" t="n">
        <x:f>IF(I422=1,IFERROR(VALUE(SUBSTITUTE(SUBSTITUTE(_xlfn.XLOOKUP(H422,Rates_Raw!$AF$5:$AF$464,Rates_Raw!$I$5:$I$464,""),"$",""),",","")),""),"")</x:f>
        <x:v>2865</x:v>
      </x:c>
      <x:c r="Q422" s="52" t="n">
        <x:f>IF(P422="","",P422*Guide!$B$15)</x:f>
        <x:v>74490</x:v>
      </x:c>
      <x:c r="R422" t="str">
        <x:f>IF(I422=0,"UNMATCHED",IF(I422&gt;1,"DUPLICATE KEY",IF(OR(N422="TITLE VARIANT",O422="REVIEW",O422="MISSING"),"REVIEW","VERIFIED")))</x:f>
        <x:v>VERIFIED</x:v>
      </x:c>
      <x:c r="S422" s="46" t="str">
        <x:v>Not Reviewed</x:v>
      </x:c>
      <x:c r="T422" s="48"/>
    </x:row>
    <x:row r="423">
      <x:c r="A423" t="n">
        <x:f>Plan_Raw!A423</x:f>
        <x:v>1980</x:v>
      </x:c>
      <x:c r="B423" t="str">
        <x:f>Plan_Raw!D423</x:f>
        <x:v>1363</x:v>
      </x:c>
      <x:c r="C423" t="str">
        <x:f>LEFT(Plan_Raw!B423,10)</x:f>
        <x:v>2026-07-01</x:v>
      </x:c>
      <x:c r="D423" t="str">
        <x:f>Plan_Raw!F423</x:f>
        <x:v>COMMN</x:v>
      </x:c>
      <x:c r="E423" t="str">
        <x:f>Plan_Raw!E423</x:f>
        <x:v>Special Assistant 4</x:v>
      </x:c>
      <x:c r="F423" t="str">
        <x:f>Plan_Raw!C423</x:f>
        <x:v>1363D</x:v>
      </x:c>
      <x:c r="G423" s="50" t="n">
        <x:f>IF(Plan_Raw!G423="","",IFERROR(VALUE(Plan_Raw!G423),""))</x:f>
        <x:v>36.525</x:v>
      </x:c>
      <x:c r="H423" t="str">
        <x:f>Plan_Raw!AH423</x:f>
        <x:v>1363|COMMN|2026-07-01</x:v>
      </x:c>
      <x:c r="I423" t="n">
        <x:f>COUNTIF(Rates_Raw!$AF$5:$AF$464,H423)</x:f>
        <x:v>0</x:v>
      </x:c>
      <x:c r="J423" t="str">
        <x:f>IF(I423=1,_xlfn.XLOOKUP(H423,Rates_Raw!$AF$5:$AF$464,Rates_Raw!$E$5:$E$464,""),"")</x:f>
      </x:c>
      <x:c r="K423" t="str">
        <x:f>IF(I423=1,_xlfn.XLOOKUP(H423,Rates_Raw!$AF$5:$AF$464,Rates_Raw!$F$5:$F$464,""),"")</x:f>
      </x:c>
      <x:c r="L423" s="50" t="str">
        <x:f>IF(I423=1,IFERROR(VALUE(SUBSTITUTE(_xlfn.XLOOKUP(H423,Rates_Raw!$AF$5:$AF$464,Rates_Raw!$L$5:$L$464,""),"$","")),""),"")</x:f>
      </x:c>
      <x:c r="M423" s="50" t="str">
        <x:f>IF(OR(G423="",L423=""),"",ROUND(G423-L423,4))</x:f>
      </x:c>
      <x:c r="N423" t="str">
        <x:f>IF(I423=0,"NO MATCH",IF(I423&gt;1,"AMBIGUOUS",IF(EXACT(TRIM(E423),TRIM(J423)),"EXACT","TITLE VARIANT")))</x:f>
        <x:v>NO MATCH</x:v>
      </x:c>
      <x:c r="O423" t="str">
        <x:f>IF(I423&lt;&gt;1,"NOT TESTED",IF(OR(G423="",L423=""),"MISSING",IF(ABS(M423)&lt;=Guide!$B$16,"PASS","REVIEW")))</x:f>
        <x:v>NOT TESTED</x:v>
      </x:c>
      <x:c r="P423" s="52" t="str">
        <x:f>IF(I423=1,IFERROR(VALUE(SUBSTITUTE(SUBSTITUTE(_xlfn.XLOOKUP(H423,Rates_Raw!$AF$5:$AF$464,Rates_Raw!$I$5:$I$464,""),"$",""),",","")),""),"")</x:f>
      </x:c>
      <x:c r="Q423" s="52" t="str">
        <x:f>IF(P423="","",P423*Guide!$B$15)</x:f>
      </x:c>
      <x:c r="R423" t="str">
        <x:f>IF(I423=0,"UNMATCHED",IF(I423&gt;1,"DUPLICATE KEY",IF(OR(N423="TITLE VARIANT",O423="REVIEW",O423="MISSING"),"REVIEW","VERIFIED")))</x:f>
        <x:v>UNMATCHED</x:v>
      </x:c>
      <x:c r="S423" s="46" t="str">
        <x:v>Not Reviewed</x:v>
      </x:c>
      <x:c r="T423" s="48"/>
    </x:row>
    <x:row r="424">
      <x:c r="A424" t="n">
        <x:f>Plan_Raw!A424</x:f>
        <x:v>1992</x:v>
      </x:c>
      <x:c r="B424" t="str">
        <x:f>Plan_Raw!D424</x:f>
        <x:v>1363</x:v>
      </x:c>
      <x:c r="C424" t="str">
        <x:f>LEFT(Plan_Raw!B424,10)</x:f>
        <x:v>2026-07-01</x:v>
      </x:c>
      <x:c r="D424" t="str">
        <x:f>Plan_Raw!F424</x:f>
        <x:v>SFMTA</x:v>
      </x:c>
      <x:c r="E424" t="str">
        <x:f>Plan_Raw!E424</x:f>
        <x:v>Special Assistant 4</x:v>
      </x:c>
      <x:c r="F424" t="str">
        <x:f>Plan_Raw!C424</x:f>
        <x:v>1363D</x:v>
      </x:c>
      <x:c r="G424" s="50" t="n">
        <x:f>IF(Plan_Raw!G424="","",IFERROR(VALUE(Plan_Raw!G424),""))</x:f>
        <x:v>36.525</x:v>
      </x:c>
      <x:c r="H424" t="str">
        <x:f>Plan_Raw!AH424</x:f>
        <x:v>1363|SFMTA|2026-07-01</x:v>
      </x:c>
      <x:c r="I424" t="n">
        <x:f>COUNTIF(Rates_Raw!$AF$5:$AF$464,H424)</x:f>
        <x:v>0</x:v>
      </x:c>
      <x:c r="J424" t="str">
        <x:f>IF(I424=1,_xlfn.XLOOKUP(H424,Rates_Raw!$AF$5:$AF$464,Rates_Raw!$E$5:$E$464,""),"")</x:f>
      </x:c>
      <x:c r="K424" t="str">
        <x:f>IF(I424=1,_xlfn.XLOOKUP(H424,Rates_Raw!$AF$5:$AF$464,Rates_Raw!$F$5:$F$464,""),"")</x:f>
      </x:c>
      <x:c r="L424" s="50" t="str">
        <x:f>IF(I424=1,IFERROR(VALUE(SUBSTITUTE(_xlfn.XLOOKUP(H424,Rates_Raw!$AF$5:$AF$464,Rates_Raw!$L$5:$L$464,""),"$","")),""),"")</x:f>
      </x:c>
      <x:c r="M424" s="50" t="str">
        <x:f>IF(OR(G424="",L424=""),"",ROUND(G424-L424,4))</x:f>
      </x:c>
      <x:c r="N424" t="str">
        <x:f>IF(I424=0,"NO MATCH",IF(I424&gt;1,"AMBIGUOUS",IF(EXACT(TRIM(E424),TRIM(J424)),"EXACT","TITLE VARIANT")))</x:f>
        <x:v>NO MATCH</x:v>
      </x:c>
      <x:c r="O424" t="str">
        <x:f>IF(I424&lt;&gt;1,"NOT TESTED",IF(OR(G424="",L424=""),"MISSING",IF(ABS(M424)&lt;=Guide!$B$16,"PASS","REVIEW")))</x:f>
        <x:v>NOT TESTED</x:v>
      </x:c>
      <x:c r="P424" s="52" t="str">
        <x:f>IF(I424=1,IFERROR(VALUE(SUBSTITUTE(SUBSTITUTE(_xlfn.XLOOKUP(H424,Rates_Raw!$AF$5:$AF$464,Rates_Raw!$I$5:$I$464,""),"$",""),",","")),""),"")</x:f>
      </x:c>
      <x:c r="Q424" s="52" t="str">
        <x:f>IF(P424="","",P424*Guide!$B$15)</x:f>
      </x:c>
      <x:c r="R424" t="str">
        <x:f>IF(I424=0,"UNMATCHED",IF(I424&gt;1,"DUPLICATE KEY",IF(OR(N424="TITLE VARIANT",O424="REVIEW",O424="MISSING"),"REVIEW","VERIFIED")))</x:f>
        <x:v>UNMATCHED</x:v>
      </x:c>
      <x:c r="S424" s="46" t="str">
        <x:v>Not Reviewed</x:v>
      </x:c>
      <x:c r="T424" s="48"/>
    </x:row>
    <x:row r="425">
      <x:c r="A425" t="n">
        <x:f>Plan_Raw!A425</x:f>
        <x:v>1999</x:v>
      </x:c>
      <x:c r="B425" t="str">
        <x:f>Plan_Raw!D425</x:f>
        <x:v>1364</x:v>
      </x:c>
      <x:c r="C425" t="str">
        <x:f>LEFT(Plan_Raw!B425,10)</x:f>
        <x:v>2024-01-06</x:v>
      </x:c>
      <x:c r="D425" t="str">
        <x:f>Plan_Raw!F425</x:f>
        <x:v>COMMN</x:v>
      </x:c>
      <x:c r="E425" t="str">
        <x:f>Plan_Raw!E425</x:f>
        <x:v>Special Assistant V</x:v>
      </x:c>
      <x:c r="F425" t="str">
        <x:f>Plan_Raw!C425</x:f>
        <x:v>1364Y</x:v>
      </x:c>
      <x:c r="G425" s="50" t="n">
        <x:f>IF(Plan_Raw!G425="","",IFERROR(VALUE(Plan_Raw!G425),""))</x:f>
        <x:v>36.0875</x:v>
      </x:c>
      <x:c r="H425" t="str">
        <x:f>Plan_Raw!AH425</x:f>
        <x:v>1364|COMMN|2024-01-06</x:v>
      </x:c>
      <x:c r="I425" t="n">
        <x:f>COUNTIF(Rates_Raw!$AF$5:$AF$464,H425)</x:f>
        <x:v>1</x:v>
      </x:c>
      <x:c r="J425" t="str">
        <x:f>IF(I425=1,_xlfn.XLOOKUP(H425,Rates_Raw!$AF$5:$AF$464,Rates_Raw!$E$5:$E$464,""),"")</x:f>
        <x:v>Special Assistant V</x:v>
      </x:c>
      <x:c r="K425" t="n">
        <x:f>IF(I425=1,_xlfn.XLOOKUP(H425,Rates_Raw!$AF$5:$AF$464,Rates_Raw!$F$5:$F$464,""),"")</x:f>
        <x:v>21</x:v>
      </x:c>
      <x:c r="L425" s="50" t="n">
        <x:f>IF(I425=1,IFERROR(VALUE(SUBSTITUTE(_xlfn.XLOOKUP(H425,Rates_Raw!$AF$5:$AF$464,Rates_Raw!$L$5:$L$464,""),"$","")),""),"")</x:f>
        <x:v>36.0875</x:v>
      </x:c>
      <x:c r="M425" s="50" t="n">
        <x:f>IF(OR(G425="",L425=""),"",ROUND(G425-L425,4))</x:f>
        <x:v>0</x:v>
      </x:c>
      <x:c r="N425" t="str">
        <x:f>IF(I425=0,"NO MATCH",IF(I425&gt;1,"AMBIGUOUS",IF(EXACT(TRIM(E425),TRIM(J425)),"EXACT","TITLE VARIANT")))</x:f>
        <x:v>EXACT</x:v>
      </x:c>
      <x:c r="O425" t="str">
        <x:f>IF(I425&lt;&gt;1,"NOT TESTED",IF(OR(G425="",L425=""),"MISSING",IF(ABS(M425)&lt;=Guide!$B$16,"PASS","REVIEW")))</x:f>
        <x:v>PASS</x:v>
      </x:c>
      <x:c r="P425" s="52" t="n">
        <x:f>IF(I425=1,IFERROR(VALUE(SUBSTITUTE(SUBSTITUTE(_xlfn.XLOOKUP(H425,Rates_Raw!$AF$5:$AF$464,Rates_Raw!$I$5:$I$464,""),"$",""),",","")),""),"")</x:f>
        <x:v>2887</x:v>
      </x:c>
      <x:c r="Q425" s="52" t="n">
        <x:f>IF(P425="","",P425*Guide!$B$15)</x:f>
        <x:v>75062</x:v>
      </x:c>
      <x:c r="R425" t="str">
        <x:f>IF(I425=0,"UNMATCHED",IF(I425&gt;1,"DUPLICATE KEY",IF(OR(N425="TITLE VARIANT",O425="REVIEW",O425="MISSING"),"REVIEW","VERIFIED")))</x:f>
        <x:v>VERIFIED</x:v>
      </x:c>
      <x:c r="S425" s="46" t="str">
        <x:v>Not Reviewed</x:v>
      </x:c>
      <x:c r="T425" s="48"/>
    </x:row>
    <x:row r="426">
      <x:c r="A426" t="n">
        <x:f>Plan_Raw!A426</x:f>
        <x:v>2011</x:v>
      </x:c>
      <x:c r="B426" t="str">
        <x:f>Plan_Raw!D426</x:f>
        <x:v>1364</x:v>
      </x:c>
      <x:c r="C426" t="str">
        <x:f>LEFT(Plan_Raw!B426,10)</x:f>
        <x:v>2024-01-06</x:v>
      </x:c>
      <x:c r="D426" t="str">
        <x:f>Plan_Raw!F426</x:f>
        <x:v>SFMTA</x:v>
      </x:c>
      <x:c r="E426" t="str">
        <x:f>Plan_Raw!E426</x:f>
        <x:v>Special Assistant V</x:v>
      </x:c>
      <x:c r="F426" t="str">
        <x:f>Plan_Raw!C426</x:f>
        <x:v>1364Y</x:v>
      </x:c>
      <x:c r="G426" s="50" t="n">
        <x:f>IF(Plan_Raw!G426="","",IFERROR(VALUE(Plan_Raw!G426),""))</x:f>
        <x:v>36.0875</x:v>
      </x:c>
      <x:c r="H426" t="str">
        <x:f>Plan_Raw!AH426</x:f>
        <x:v>1364|SFMTA|2024-01-06</x:v>
      </x:c>
      <x:c r="I426" t="n">
        <x:f>COUNTIF(Rates_Raw!$AF$5:$AF$464,H426)</x:f>
        <x:v>1</x:v>
      </x:c>
      <x:c r="J426" t="str">
        <x:f>IF(I426=1,_xlfn.XLOOKUP(H426,Rates_Raw!$AF$5:$AF$464,Rates_Raw!$E$5:$E$464,""),"")</x:f>
        <x:v>Special Assistant V</x:v>
      </x:c>
      <x:c r="K426" t="n">
        <x:f>IF(I426=1,_xlfn.XLOOKUP(H426,Rates_Raw!$AF$5:$AF$464,Rates_Raw!$F$5:$F$464,""),"")</x:f>
        <x:v>21</x:v>
      </x:c>
      <x:c r="L426" s="50" t="n">
        <x:f>IF(I426=1,IFERROR(VALUE(SUBSTITUTE(_xlfn.XLOOKUP(H426,Rates_Raw!$AF$5:$AF$464,Rates_Raw!$L$5:$L$464,""),"$","")),""),"")</x:f>
        <x:v>36.0875</x:v>
      </x:c>
      <x:c r="M426" s="50" t="n">
        <x:f>IF(OR(G426="",L426=""),"",ROUND(G426-L426,4))</x:f>
        <x:v>0</x:v>
      </x:c>
      <x:c r="N426" t="str">
        <x:f>IF(I426=0,"NO MATCH",IF(I426&gt;1,"AMBIGUOUS",IF(EXACT(TRIM(E426),TRIM(J426)),"EXACT","TITLE VARIANT")))</x:f>
        <x:v>EXACT</x:v>
      </x:c>
      <x:c r="O426" t="str">
        <x:f>IF(I426&lt;&gt;1,"NOT TESTED",IF(OR(G426="",L426=""),"MISSING",IF(ABS(M426)&lt;=Guide!$B$16,"PASS","REVIEW")))</x:f>
        <x:v>PASS</x:v>
      </x:c>
      <x:c r="P426" s="52" t="n">
        <x:f>IF(I426=1,IFERROR(VALUE(SUBSTITUTE(SUBSTITUTE(_xlfn.XLOOKUP(H426,Rates_Raw!$AF$5:$AF$464,Rates_Raw!$I$5:$I$464,""),"$",""),",","")),""),"")</x:f>
        <x:v>2887</x:v>
      </x:c>
      <x:c r="Q426" s="52" t="n">
        <x:f>IF(P426="","",P426*Guide!$B$15)</x:f>
        <x:v>75062</x:v>
      </x:c>
      <x:c r="R426" t="str">
        <x:f>IF(I426=0,"UNMATCHED",IF(I426&gt;1,"DUPLICATE KEY",IF(OR(N426="TITLE VARIANT",O426="REVIEW",O426="MISSING"),"REVIEW","VERIFIED")))</x:f>
        <x:v>VERIFIED</x:v>
      </x:c>
      <x:c r="S426" s="46" t="str">
        <x:v>Not Reviewed</x:v>
      </x:c>
      <x:c r="T426" s="48"/>
    </x:row>
    <x:row r="427">
      <x:c r="A427" t="n">
        <x:f>Plan_Raw!A427</x:f>
        <x:v>2000</x:v>
      </x:c>
      <x:c r="B427" t="str">
        <x:f>Plan_Raw!D427</x:f>
        <x:v>1364</x:v>
      </x:c>
      <x:c r="C427" t="str">
        <x:f>LEFT(Plan_Raw!B427,10)</x:f>
        <x:v>2024-07-01</x:v>
      </x:c>
      <x:c r="D427" t="str">
        <x:f>Plan_Raw!F427</x:f>
        <x:v>COMMN</x:v>
      </x:c>
      <x:c r="E427" t="str">
        <x:f>Plan_Raw!E427</x:f>
        <x:v>Special Assistant V</x:v>
      </x:c>
      <x:c r="F427" t="str">
        <x:f>Plan_Raw!C427</x:f>
        <x:v>1364Z</x:v>
      </x:c>
      <x:c r="G427" s="50" t="n">
        <x:f>IF(Plan_Raw!G427="","",IFERROR(VALUE(Plan_Raw!G427),""))</x:f>
        <x:v>36.625</x:v>
      </x:c>
      <x:c r="H427" t="str">
        <x:f>Plan_Raw!AH427</x:f>
        <x:v>1364|COMMN|2024-07-01</x:v>
      </x:c>
      <x:c r="I427" t="n">
        <x:f>COUNTIF(Rates_Raw!$AF$5:$AF$464,H427)</x:f>
        <x:v>1</x:v>
      </x:c>
      <x:c r="J427" t="str">
        <x:f>IF(I427=1,_xlfn.XLOOKUP(H427,Rates_Raw!$AF$5:$AF$464,Rates_Raw!$E$5:$E$464,""),"")</x:f>
        <x:v>Special Assistant V</x:v>
      </x:c>
      <x:c r="K427" t="n">
        <x:f>IF(I427=1,_xlfn.XLOOKUP(H427,Rates_Raw!$AF$5:$AF$464,Rates_Raw!$F$5:$F$464,""),"")</x:f>
        <x:v>21</x:v>
      </x:c>
      <x:c r="L427" s="50" t="n">
        <x:f>IF(I427=1,IFERROR(VALUE(SUBSTITUTE(_xlfn.XLOOKUP(H427,Rates_Raw!$AF$5:$AF$464,Rates_Raw!$L$5:$L$464,""),"$","")),""),"")</x:f>
        <x:v>36.625</x:v>
      </x:c>
      <x:c r="M427" s="50" t="n">
        <x:f>IF(OR(G427="",L427=""),"",ROUND(G427-L427,4))</x:f>
        <x:v>0</x:v>
      </x:c>
      <x:c r="N427" t="str">
        <x:f>IF(I427=0,"NO MATCH",IF(I427&gt;1,"AMBIGUOUS",IF(EXACT(TRIM(E427),TRIM(J427)),"EXACT","TITLE VARIANT")))</x:f>
        <x:v>EXACT</x:v>
      </x:c>
      <x:c r="O427" t="str">
        <x:f>IF(I427&lt;&gt;1,"NOT TESTED",IF(OR(G427="",L427=""),"MISSING",IF(ABS(M427)&lt;=Guide!$B$16,"PASS","REVIEW")))</x:f>
        <x:v>PASS</x:v>
      </x:c>
      <x:c r="P427" s="52" t="n">
        <x:f>IF(I427=1,IFERROR(VALUE(SUBSTITUTE(SUBSTITUTE(_xlfn.XLOOKUP(H427,Rates_Raw!$AF$5:$AF$464,Rates_Raw!$I$5:$I$464,""),"$",""),",","")),""),"")</x:f>
        <x:v>2930</x:v>
      </x:c>
      <x:c r="Q427" s="52" t="n">
        <x:f>IF(P427="","",P427*Guide!$B$15)</x:f>
        <x:v>76180</x:v>
      </x:c>
      <x:c r="R427" t="str">
        <x:f>IF(I427=0,"UNMATCHED",IF(I427&gt;1,"DUPLICATE KEY",IF(OR(N427="TITLE VARIANT",O427="REVIEW",O427="MISSING"),"REVIEW","VERIFIED")))</x:f>
        <x:v>VERIFIED</x:v>
      </x:c>
      <x:c r="S427" s="46" t="str">
        <x:v>Not Reviewed</x:v>
      </x:c>
      <x:c r="T427" s="48"/>
    </x:row>
    <x:row r="428">
      <x:c r="A428" t="n">
        <x:f>Plan_Raw!A428</x:f>
        <x:v>2012</x:v>
      </x:c>
      <x:c r="B428" t="str">
        <x:f>Plan_Raw!D428</x:f>
        <x:v>1364</x:v>
      </x:c>
      <x:c r="C428" t="str">
        <x:f>LEFT(Plan_Raw!B428,10)</x:f>
        <x:v>2024-07-01</x:v>
      </x:c>
      <x:c r="D428" t="str">
        <x:f>Plan_Raw!F428</x:f>
        <x:v>SFMTA</x:v>
      </x:c>
      <x:c r="E428" t="str">
        <x:f>Plan_Raw!E428</x:f>
        <x:v>Special Assistant V</x:v>
      </x:c>
      <x:c r="F428" t="str">
        <x:f>Plan_Raw!C428</x:f>
        <x:v>1364Z</x:v>
      </x:c>
      <x:c r="G428" s="50" t="n">
        <x:f>IF(Plan_Raw!G428="","",IFERROR(VALUE(Plan_Raw!G428),""))</x:f>
        <x:v>36.625</x:v>
      </x:c>
      <x:c r="H428" t="str">
        <x:f>Plan_Raw!AH428</x:f>
        <x:v>1364|SFMTA|2024-07-01</x:v>
      </x:c>
      <x:c r="I428" t="n">
        <x:f>COUNTIF(Rates_Raw!$AF$5:$AF$464,H428)</x:f>
        <x:v>1</x:v>
      </x:c>
      <x:c r="J428" t="str">
        <x:f>IF(I428=1,_xlfn.XLOOKUP(H428,Rates_Raw!$AF$5:$AF$464,Rates_Raw!$E$5:$E$464,""),"")</x:f>
        <x:v>Special Assistant V</x:v>
      </x:c>
      <x:c r="K428" t="n">
        <x:f>IF(I428=1,_xlfn.XLOOKUP(H428,Rates_Raw!$AF$5:$AF$464,Rates_Raw!$F$5:$F$464,""),"")</x:f>
        <x:v>21</x:v>
      </x:c>
      <x:c r="L428" s="50" t="n">
        <x:f>IF(I428=1,IFERROR(VALUE(SUBSTITUTE(_xlfn.XLOOKUP(H428,Rates_Raw!$AF$5:$AF$464,Rates_Raw!$L$5:$L$464,""),"$","")),""),"")</x:f>
        <x:v>36.625</x:v>
      </x:c>
      <x:c r="M428" s="50" t="n">
        <x:f>IF(OR(G428="",L428=""),"",ROUND(G428-L428,4))</x:f>
        <x:v>0</x:v>
      </x:c>
      <x:c r="N428" t="str">
        <x:f>IF(I428=0,"NO MATCH",IF(I428&gt;1,"AMBIGUOUS",IF(EXACT(TRIM(E428),TRIM(J428)),"EXACT","TITLE VARIANT")))</x:f>
        <x:v>EXACT</x:v>
      </x:c>
      <x:c r="O428" t="str">
        <x:f>IF(I428&lt;&gt;1,"NOT TESTED",IF(OR(G428="",L428=""),"MISSING",IF(ABS(M428)&lt;=Guide!$B$16,"PASS","REVIEW")))</x:f>
        <x:v>PASS</x:v>
      </x:c>
      <x:c r="P428" s="52" t="n">
        <x:f>IF(I428=1,IFERROR(VALUE(SUBSTITUTE(SUBSTITUTE(_xlfn.XLOOKUP(H428,Rates_Raw!$AF$5:$AF$464,Rates_Raw!$I$5:$I$464,""),"$",""),",","")),""),"")</x:f>
        <x:v>2930</x:v>
      </x:c>
      <x:c r="Q428" s="52" t="n">
        <x:f>IF(P428="","",P428*Guide!$B$15)</x:f>
        <x:v>76180</x:v>
      </x:c>
      <x:c r="R428" t="str">
        <x:f>IF(I428=0,"UNMATCHED",IF(I428&gt;1,"DUPLICATE KEY",IF(OR(N428="TITLE VARIANT",O428="REVIEW",O428="MISSING"),"REVIEW","VERIFIED")))</x:f>
        <x:v>VERIFIED</x:v>
      </x:c>
      <x:c r="S428" s="46" t="str">
        <x:v>Not Reviewed</x:v>
      </x:c>
      <x:c r="T428" s="48"/>
    </x:row>
    <x:row r="429">
      <x:c r="A429" t="n">
        <x:f>Plan_Raw!A429</x:f>
        <x:v>2001</x:v>
      </x:c>
      <x:c r="B429" t="str">
        <x:f>Plan_Raw!D429</x:f>
        <x:v>1364</x:v>
      </x:c>
      <x:c r="C429" t="str">
        <x:f>LEFT(Plan_Raw!B429,10)</x:f>
        <x:v>2025-01-04</x:v>
      </x:c>
      <x:c r="D429" t="str">
        <x:f>Plan_Raw!F429</x:f>
        <x:v>COMMN</x:v>
      </x:c>
      <x:c r="E429" t="str">
        <x:f>Plan_Raw!E429</x:f>
        <x:v>Special Assistant V</x:v>
      </x:c>
      <x:c r="F429" t="str">
        <x:f>Plan_Raw!C429</x:f>
        <x:v>1364A</x:v>
      </x:c>
      <x:c r="G429" s="50" t="n">
        <x:f>IF(Plan_Raw!G429="","",IFERROR(VALUE(Plan_Raw!G429),""))</x:f>
        <x:v>37.175</x:v>
      </x:c>
      <x:c r="H429" t="str">
        <x:f>Plan_Raw!AH429</x:f>
        <x:v>1364|COMMN|2025-01-04</x:v>
      </x:c>
      <x:c r="I429" t="n">
        <x:f>COUNTIF(Rates_Raw!$AF$5:$AF$464,H429)</x:f>
        <x:v>1</x:v>
      </x:c>
      <x:c r="J429" t="str">
        <x:f>IF(I429=1,_xlfn.XLOOKUP(H429,Rates_Raw!$AF$5:$AF$464,Rates_Raw!$E$5:$E$464,""),"")</x:f>
        <x:v>Special Assistant V</x:v>
      </x:c>
      <x:c r="K429" t="n">
        <x:f>IF(I429=1,_xlfn.XLOOKUP(H429,Rates_Raw!$AF$5:$AF$464,Rates_Raw!$F$5:$F$464,""),"")</x:f>
        <x:v>21</x:v>
      </x:c>
      <x:c r="L429" s="50" t="n">
        <x:f>IF(I429=1,IFERROR(VALUE(SUBSTITUTE(_xlfn.XLOOKUP(H429,Rates_Raw!$AF$5:$AF$464,Rates_Raw!$L$5:$L$464,""),"$","")),""),"")</x:f>
        <x:v>37.175</x:v>
      </x:c>
      <x:c r="M429" s="50" t="n">
        <x:f>IF(OR(G429="",L429=""),"",ROUND(G429-L429,4))</x:f>
        <x:v>0</x:v>
      </x:c>
      <x:c r="N429" t="str">
        <x:f>IF(I429=0,"NO MATCH",IF(I429&gt;1,"AMBIGUOUS",IF(EXACT(TRIM(E429),TRIM(J429)),"EXACT","TITLE VARIANT")))</x:f>
        <x:v>EXACT</x:v>
      </x:c>
      <x:c r="O429" t="str">
        <x:f>IF(I429&lt;&gt;1,"NOT TESTED",IF(OR(G429="",L429=""),"MISSING",IF(ABS(M429)&lt;=Guide!$B$16,"PASS","REVIEW")))</x:f>
        <x:v>PASS</x:v>
      </x:c>
      <x:c r="P429" s="52" t="n">
        <x:f>IF(I429=1,IFERROR(VALUE(SUBSTITUTE(SUBSTITUTE(_xlfn.XLOOKUP(H429,Rates_Raw!$AF$5:$AF$464,Rates_Raw!$I$5:$I$464,""),"$",""),",","")),""),"")</x:f>
        <x:v>2974</x:v>
      </x:c>
      <x:c r="Q429" s="52" t="n">
        <x:f>IF(P429="","",P429*Guide!$B$15)</x:f>
        <x:v>77324</x:v>
      </x:c>
      <x:c r="R429" t="str">
        <x:f>IF(I429=0,"UNMATCHED",IF(I429&gt;1,"DUPLICATE KEY",IF(OR(N429="TITLE VARIANT",O429="REVIEW",O429="MISSING"),"REVIEW","VERIFIED")))</x:f>
        <x:v>VERIFIED</x:v>
      </x:c>
      <x:c r="S429" s="46" t="str">
        <x:v>Not Reviewed</x:v>
      </x:c>
      <x:c r="T429" s="48"/>
    </x:row>
    <x:row r="430">
      <x:c r="A430" t="n">
        <x:f>Plan_Raw!A430</x:f>
        <x:v>2013</x:v>
      </x:c>
      <x:c r="B430" t="str">
        <x:f>Plan_Raw!D430</x:f>
        <x:v>1364</x:v>
      </x:c>
      <x:c r="C430" t="str">
        <x:f>LEFT(Plan_Raw!B430,10)</x:f>
        <x:v>2025-01-04</x:v>
      </x:c>
      <x:c r="D430" t="str">
        <x:f>Plan_Raw!F430</x:f>
        <x:v>SFMTA</x:v>
      </x:c>
      <x:c r="E430" t="str">
        <x:f>Plan_Raw!E430</x:f>
        <x:v>Special Assistant V</x:v>
      </x:c>
      <x:c r="F430" t="str">
        <x:f>Plan_Raw!C430</x:f>
        <x:v>1364A</x:v>
      </x:c>
      <x:c r="G430" s="50" t="n">
        <x:f>IF(Plan_Raw!G430="","",IFERROR(VALUE(Plan_Raw!G430),""))</x:f>
        <x:v>37.175</x:v>
      </x:c>
      <x:c r="H430" t="str">
        <x:f>Plan_Raw!AH430</x:f>
        <x:v>1364|SFMTA|2025-01-04</x:v>
      </x:c>
      <x:c r="I430" t="n">
        <x:f>COUNTIF(Rates_Raw!$AF$5:$AF$464,H430)</x:f>
        <x:v>1</x:v>
      </x:c>
      <x:c r="J430" t="str">
        <x:f>IF(I430=1,_xlfn.XLOOKUP(H430,Rates_Raw!$AF$5:$AF$464,Rates_Raw!$E$5:$E$464,""),"")</x:f>
        <x:v>Special Assistant V</x:v>
      </x:c>
      <x:c r="K430" t="n">
        <x:f>IF(I430=1,_xlfn.XLOOKUP(H430,Rates_Raw!$AF$5:$AF$464,Rates_Raw!$F$5:$F$464,""),"")</x:f>
        <x:v>21</x:v>
      </x:c>
      <x:c r="L430" s="50" t="n">
        <x:f>IF(I430=1,IFERROR(VALUE(SUBSTITUTE(_xlfn.XLOOKUP(H430,Rates_Raw!$AF$5:$AF$464,Rates_Raw!$L$5:$L$464,""),"$","")),""),"")</x:f>
        <x:v>37.175</x:v>
      </x:c>
      <x:c r="M430" s="50" t="n">
        <x:f>IF(OR(G430="",L430=""),"",ROUND(G430-L430,4))</x:f>
        <x:v>0</x:v>
      </x:c>
      <x:c r="N430" t="str">
        <x:f>IF(I430=0,"NO MATCH",IF(I430&gt;1,"AMBIGUOUS",IF(EXACT(TRIM(E430),TRIM(J430)),"EXACT","TITLE VARIANT")))</x:f>
        <x:v>EXACT</x:v>
      </x:c>
      <x:c r="O430" t="str">
        <x:f>IF(I430&lt;&gt;1,"NOT TESTED",IF(OR(G430="",L430=""),"MISSING",IF(ABS(M430)&lt;=Guide!$B$16,"PASS","REVIEW")))</x:f>
        <x:v>PASS</x:v>
      </x:c>
      <x:c r="P430" s="52" t="n">
        <x:f>IF(I430=1,IFERROR(VALUE(SUBSTITUTE(SUBSTITUTE(_xlfn.XLOOKUP(H430,Rates_Raw!$AF$5:$AF$464,Rates_Raw!$I$5:$I$464,""),"$",""),",","")),""),"")</x:f>
        <x:v>2974</x:v>
      </x:c>
      <x:c r="Q430" s="52" t="n">
        <x:f>IF(P430="","",P430*Guide!$B$15)</x:f>
        <x:v>77324</x:v>
      </x:c>
      <x:c r="R430" t="str">
        <x:f>IF(I430=0,"UNMATCHED",IF(I430&gt;1,"DUPLICATE KEY",IF(OR(N430="TITLE VARIANT",O430="REVIEW",O430="MISSING"),"REVIEW","VERIFIED")))</x:f>
        <x:v>VERIFIED</x:v>
      </x:c>
      <x:c r="S430" s="46" t="str">
        <x:v>Not Reviewed</x:v>
      </x:c>
      <x:c r="T430" s="48"/>
    </x:row>
    <x:row r="431">
      <x:c r="A431" t="n">
        <x:f>Plan_Raw!A431</x:f>
        <x:v>2002</x:v>
      </x:c>
      <x:c r="B431" t="str">
        <x:f>Plan_Raw!D431</x:f>
        <x:v>1364</x:v>
      </x:c>
      <x:c r="C431" t="str">
        <x:f>LEFT(Plan_Raw!B431,10)</x:f>
        <x:v>2025-07-01</x:v>
      </x:c>
      <x:c r="D431" t="str">
        <x:f>Plan_Raw!F431</x:f>
        <x:v>COMMN</x:v>
      </x:c>
      <x:c r="E431" t="str">
        <x:f>Plan_Raw!E431</x:f>
        <x:v>Special Assistant 5</x:v>
      </x:c>
      <x:c r="F431" t="str">
        <x:f>Plan_Raw!C431</x:f>
        <x:v>1364B</x:v>
      </x:c>
      <x:c r="G431" s="50" t="n">
        <x:f>IF(Plan_Raw!G431="","",IFERROR(VALUE(Plan_Raw!G431),""))</x:f>
        <x:v>37.925</x:v>
      </x:c>
      <x:c r="H431" t="str">
        <x:f>Plan_Raw!AH431</x:f>
        <x:v>1364|COMMN|2025-07-01</x:v>
      </x:c>
      <x:c r="I431" t="n">
        <x:f>COUNTIF(Rates_Raw!$AF$5:$AF$464,H431)</x:f>
        <x:v>1</x:v>
      </x:c>
      <x:c r="J431" t="str">
        <x:f>IF(I431=1,_xlfn.XLOOKUP(H431,Rates_Raw!$AF$5:$AF$464,Rates_Raw!$E$5:$E$464,""),"")</x:f>
        <x:v>Special Assistant 5</x:v>
      </x:c>
      <x:c r="K431" t="n">
        <x:f>IF(I431=1,_xlfn.XLOOKUP(H431,Rates_Raw!$AF$5:$AF$464,Rates_Raw!$F$5:$F$464,""),"")</x:f>
        <x:v>21</x:v>
      </x:c>
      <x:c r="L431" s="50" t="n">
        <x:f>IF(I431=1,IFERROR(VALUE(SUBSTITUTE(_xlfn.XLOOKUP(H431,Rates_Raw!$AF$5:$AF$464,Rates_Raw!$L$5:$L$464,""),"$","")),""),"")</x:f>
        <x:v>37.925</x:v>
      </x:c>
      <x:c r="M431" s="50" t="n">
        <x:f>IF(OR(G431="",L431=""),"",ROUND(G431-L431,4))</x:f>
        <x:v>0</x:v>
      </x:c>
      <x:c r="N431" t="str">
        <x:f>IF(I431=0,"NO MATCH",IF(I431&gt;1,"AMBIGUOUS",IF(EXACT(TRIM(E431),TRIM(J431)),"EXACT","TITLE VARIANT")))</x:f>
        <x:v>EXACT</x:v>
      </x:c>
      <x:c r="O431" t="str">
        <x:f>IF(I431&lt;&gt;1,"NOT TESTED",IF(OR(G431="",L431=""),"MISSING",IF(ABS(M431)&lt;=Guide!$B$16,"PASS","REVIEW")))</x:f>
        <x:v>PASS</x:v>
      </x:c>
      <x:c r="P431" s="52" t="n">
        <x:f>IF(I431=1,IFERROR(VALUE(SUBSTITUTE(SUBSTITUTE(_xlfn.XLOOKUP(H431,Rates_Raw!$AF$5:$AF$464,Rates_Raw!$I$5:$I$464,""),"$",""),",","")),""),"")</x:f>
        <x:v>3034</x:v>
      </x:c>
      <x:c r="Q431" s="52" t="n">
        <x:f>IF(P431="","",P431*Guide!$B$15)</x:f>
        <x:v>78884</x:v>
      </x:c>
      <x:c r="R431" t="str">
        <x:f>IF(I431=0,"UNMATCHED",IF(I431&gt;1,"DUPLICATE KEY",IF(OR(N431="TITLE VARIANT",O431="REVIEW",O431="MISSING"),"REVIEW","VERIFIED")))</x:f>
        <x:v>VERIFIED</x:v>
      </x:c>
      <x:c r="S431" s="46" t="str">
        <x:v>Not Reviewed</x:v>
      </x:c>
      <x:c r="T431" s="48"/>
    </x:row>
    <x:row r="432">
      <x:c r="A432" t="n">
        <x:f>Plan_Raw!A432</x:f>
        <x:v>2014</x:v>
      </x:c>
      <x:c r="B432" t="str">
        <x:f>Plan_Raw!D432</x:f>
        <x:v>1364</x:v>
      </x:c>
      <x:c r="C432" t="str">
        <x:f>LEFT(Plan_Raw!B432,10)</x:f>
        <x:v>2025-07-01</x:v>
      </x:c>
      <x:c r="D432" t="str">
        <x:f>Plan_Raw!F432</x:f>
        <x:v>SFMTA</x:v>
      </x:c>
      <x:c r="E432" t="str">
        <x:f>Plan_Raw!E432</x:f>
        <x:v>Special Assistant 5</x:v>
      </x:c>
      <x:c r="F432" t="str">
        <x:f>Plan_Raw!C432</x:f>
        <x:v>1364B</x:v>
      </x:c>
      <x:c r="G432" s="50" t="n">
        <x:f>IF(Plan_Raw!G432="","",IFERROR(VALUE(Plan_Raw!G432),""))</x:f>
        <x:v>37.925</x:v>
      </x:c>
      <x:c r="H432" t="str">
        <x:f>Plan_Raw!AH432</x:f>
        <x:v>1364|SFMTA|2025-07-01</x:v>
      </x:c>
      <x:c r="I432" t="n">
        <x:f>COUNTIF(Rates_Raw!$AF$5:$AF$464,H432)</x:f>
        <x:v>1</x:v>
      </x:c>
      <x:c r="J432" t="str">
        <x:f>IF(I432=1,_xlfn.XLOOKUP(H432,Rates_Raw!$AF$5:$AF$464,Rates_Raw!$E$5:$E$464,""),"")</x:f>
        <x:v>Special Assistant 5</x:v>
      </x:c>
      <x:c r="K432" t="n">
        <x:f>IF(I432=1,_xlfn.XLOOKUP(H432,Rates_Raw!$AF$5:$AF$464,Rates_Raw!$F$5:$F$464,""),"")</x:f>
        <x:v>21</x:v>
      </x:c>
      <x:c r="L432" s="50" t="n">
        <x:f>IF(I432=1,IFERROR(VALUE(SUBSTITUTE(_xlfn.XLOOKUP(H432,Rates_Raw!$AF$5:$AF$464,Rates_Raw!$L$5:$L$464,""),"$","")),""),"")</x:f>
        <x:v>37.925</x:v>
      </x:c>
      <x:c r="M432" s="50" t="n">
        <x:f>IF(OR(G432="",L432=""),"",ROUND(G432-L432,4))</x:f>
        <x:v>0</x:v>
      </x:c>
      <x:c r="N432" t="str">
        <x:f>IF(I432=0,"NO MATCH",IF(I432&gt;1,"AMBIGUOUS",IF(EXACT(TRIM(E432),TRIM(J432)),"EXACT","TITLE VARIANT")))</x:f>
        <x:v>EXACT</x:v>
      </x:c>
      <x:c r="O432" t="str">
        <x:f>IF(I432&lt;&gt;1,"NOT TESTED",IF(OR(G432="",L432=""),"MISSING",IF(ABS(M432)&lt;=Guide!$B$16,"PASS","REVIEW")))</x:f>
        <x:v>PASS</x:v>
      </x:c>
      <x:c r="P432" s="52" t="n">
        <x:f>IF(I432=1,IFERROR(VALUE(SUBSTITUTE(SUBSTITUTE(_xlfn.XLOOKUP(H432,Rates_Raw!$AF$5:$AF$464,Rates_Raw!$I$5:$I$464,""),"$",""),",","")),""),"")</x:f>
        <x:v>3034</x:v>
      </x:c>
      <x:c r="Q432" s="52" t="n">
        <x:f>IF(P432="","",P432*Guide!$B$15)</x:f>
        <x:v>78884</x:v>
      </x:c>
      <x:c r="R432" t="str">
        <x:f>IF(I432=0,"UNMATCHED",IF(I432&gt;1,"DUPLICATE KEY",IF(OR(N432="TITLE VARIANT",O432="REVIEW",O432="MISSING"),"REVIEW","VERIFIED")))</x:f>
        <x:v>VERIFIED</x:v>
      </x:c>
      <x:c r="S432" s="46" t="str">
        <x:v>Not Reviewed</x:v>
      </x:c>
      <x:c r="T432" s="48"/>
    </x:row>
    <x:row r="433">
      <x:c r="A433" t="n">
        <x:f>Plan_Raw!A433</x:f>
        <x:v>2003</x:v>
      </x:c>
      <x:c r="B433" t="str">
        <x:f>Plan_Raw!D433</x:f>
        <x:v>1364</x:v>
      </x:c>
      <x:c r="C433" t="str">
        <x:f>LEFT(Plan_Raw!B433,10)</x:f>
        <x:v>2026-01-03</x:v>
      </x:c>
      <x:c r="D433" t="str">
        <x:f>Plan_Raw!F433</x:f>
        <x:v>COMMN</x:v>
      </x:c>
      <x:c r="E433" t="str">
        <x:f>Plan_Raw!E433</x:f>
        <x:v>Special Assistant 5</x:v>
      </x:c>
      <x:c r="F433" t="str">
        <x:f>Plan_Raw!C433</x:f>
        <x:v>1364C</x:v>
      </x:c>
      <x:c r="G433" s="50" t="n">
        <x:f>IF(Plan_Raw!G433="","",IFERROR(VALUE(Plan_Raw!G433),""))</x:f>
        <x:v>38.5</x:v>
      </x:c>
      <x:c r="H433" t="str">
        <x:f>Plan_Raw!AH433</x:f>
        <x:v>1364|COMMN|2026-01-03</x:v>
      </x:c>
      <x:c r="I433" t="n">
        <x:f>COUNTIF(Rates_Raw!$AF$5:$AF$464,H433)</x:f>
        <x:v>1</x:v>
      </x:c>
      <x:c r="J433" t="str">
        <x:f>IF(I433=1,_xlfn.XLOOKUP(H433,Rates_Raw!$AF$5:$AF$464,Rates_Raw!$E$5:$E$464,""),"")</x:f>
        <x:v>Special Assistant 5</x:v>
      </x:c>
      <x:c r="K433" t="n">
        <x:f>IF(I433=1,_xlfn.XLOOKUP(H433,Rates_Raw!$AF$5:$AF$464,Rates_Raw!$F$5:$F$464,""),"")</x:f>
        <x:v>21</x:v>
      </x:c>
      <x:c r="L433" s="50" t="n">
        <x:f>IF(I433=1,IFERROR(VALUE(SUBSTITUTE(_xlfn.XLOOKUP(H433,Rates_Raw!$AF$5:$AF$464,Rates_Raw!$L$5:$L$464,""),"$","")),""),"")</x:f>
        <x:v>38.5</x:v>
      </x:c>
      <x:c r="M433" s="50" t="n">
        <x:f>IF(OR(G433="",L433=""),"",ROUND(G433-L433,4))</x:f>
        <x:v>0</x:v>
      </x:c>
      <x:c r="N433" t="str">
        <x:f>IF(I433=0,"NO MATCH",IF(I433&gt;1,"AMBIGUOUS",IF(EXACT(TRIM(E433),TRIM(J433)),"EXACT","TITLE VARIANT")))</x:f>
        <x:v>EXACT</x:v>
      </x:c>
      <x:c r="O433" t="str">
        <x:f>IF(I433&lt;&gt;1,"NOT TESTED",IF(OR(G433="",L433=""),"MISSING",IF(ABS(M433)&lt;=Guide!$B$16,"PASS","REVIEW")))</x:f>
        <x:v>PASS</x:v>
      </x:c>
      <x:c r="P433" s="52" t="n">
        <x:f>IF(I433=1,IFERROR(VALUE(SUBSTITUTE(SUBSTITUTE(_xlfn.XLOOKUP(H433,Rates_Raw!$AF$5:$AF$464,Rates_Raw!$I$5:$I$464,""),"$",""),",","")),""),"")</x:f>
        <x:v>3080</x:v>
      </x:c>
      <x:c r="Q433" s="52" t="n">
        <x:f>IF(P433="","",P433*Guide!$B$15)</x:f>
        <x:v>80080</x:v>
      </x:c>
      <x:c r="R433" t="str">
        <x:f>IF(I433=0,"UNMATCHED",IF(I433&gt;1,"DUPLICATE KEY",IF(OR(N433="TITLE VARIANT",O433="REVIEW",O433="MISSING"),"REVIEW","VERIFIED")))</x:f>
        <x:v>VERIFIED</x:v>
      </x:c>
      <x:c r="S433" s="46" t="str">
        <x:v>Not Reviewed</x:v>
      </x:c>
      <x:c r="T433" s="48"/>
    </x:row>
    <x:row r="434">
      <x:c r="A434" t="n">
        <x:f>Plan_Raw!A434</x:f>
        <x:v>2015</x:v>
      </x:c>
      <x:c r="B434" t="str">
        <x:f>Plan_Raw!D434</x:f>
        <x:v>1364</x:v>
      </x:c>
      <x:c r="C434" t="str">
        <x:f>LEFT(Plan_Raw!B434,10)</x:f>
        <x:v>2026-01-03</x:v>
      </x:c>
      <x:c r="D434" t="str">
        <x:f>Plan_Raw!F434</x:f>
        <x:v>SFMTA</x:v>
      </x:c>
      <x:c r="E434" t="str">
        <x:f>Plan_Raw!E434</x:f>
        <x:v>Special Assistant 5</x:v>
      </x:c>
      <x:c r="F434" t="str">
        <x:f>Plan_Raw!C434</x:f>
        <x:v>1364C</x:v>
      </x:c>
      <x:c r="G434" s="50" t="n">
        <x:f>IF(Plan_Raw!G434="","",IFERROR(VALUE(Plan_Raw!G434),""))</x:f>
        <x:v>38.5</x:v>
      </x:c>
      <x:c r="H434" t="str">
        <x:f>Plan_Raw!AH434</x:f>
        <x:v>1364|SFMTA|2026-01-03</x:v>
      </x:c>
      <x:c r="I434" t="n">
        <x:f>COUNTIF(Rates_Raw!$AF$5:$AF$464,H434)</x:f>
        <x:v>1</x:v>
      </x:c>
      <x:c r="J434" t="str">
        <x:f>IF(I434=1,_xlfn.XLOOKUP(H434,Rates_Raw!$AF$5:$AF$464,Rates_Raw!$E$5:$E$464,""),"")</x:f>
        <x:v>Special Assistant 5</x:v>
      </x:c>
      <x:c r="K434" t="n">
        <x:f>IF(I434=1,_xlfn.XLOOKUP(H434,Rates_Raw!$AF$5:$AF$464,Rates_Raw!$F$5:$F$464,""),"")</x:f>
        <x:v>21</x:v>
      </x:c>
      <x:c r="L434" s="50" t="n">
        <x:f>IF(I434=1,IFERROR(VALUE(SUBSTITUTE(_xlfn.XLOOKUP(H434,Rates_Raw!$AF$5:$AF$464,Rates_Raw!$L$5:$L$464,""),"$","")),""),"")</x:f>
        <x:v>38.5</x:v>
      </x:c>
      <x:c r="M434" s="50" t="n">
        <x:f>IF(OR(G434="",L434=""),"",ROUND(G434-L434,4))</x:f>
        <x:v>0</x:v>
      </x:c>
      <x:c r="N434" t="str">
        <x:f>IF(I434=0,"NO MATCH",IF(I434&gt;1,"AMBIGUOUS",IF(EXACT(TRIM(E434),TRIM(J434)),"EXACT","TITLE VARIANT")))</x:f>
        <x:v>EXACT</x:v>
      </x:c>
      <x:c r="O434" t="str">
        <x:f>IF(I434&lt;&gt;1,"NOT TESTED",IF(OR(G434="",L434=""),"MISSING",IF(ABS(M434)&lt;=Guide!$B$16,"PASS","REVIEW")))</x:f>
        <x:v>PASS</x:v>
      </x:c>
      <x:c r="P434" s="52" t="n">
        <x:f>IF(I434=1,IFERROR(VALUE(SUBSTITUTE(SUBSTITUTE(_xlfn.XLOOKUP(H434,Rates_Raw!$AF$5:$AF$464,Rates_Raw!$I$5:$I$464,""),"$",""),",","")),""),"")</x:f>
        <x:v>3080</x:v>
      </x:c>
      <x:c r="Q434" s="52" t="n">
        <x:f>IF(P434="","",P434*Guide!$B$15)</x:f>
        <x:v>80080</x:v>
      </x:c>
      <x:c r="R434" t="str">
        <x:f>IF(I434=0,"UNMATCHED",IF(I434&gt;1,"DUPLICATE KEY",IF(OR(N434="TITLE VARIANT",O434="REVIEW",O434="MISSING"),"REVIEW","VERIFIED")))</x:f>
        <x:v>VERIFIED</x:v>
      </x:c>
      <x:c r="S434" s="46" t="str">
        <x:v>Not Reviewed</x:v>
      </x:c>
      <x:c r="T434" s="48"/>
    </x:row>
    <x:row r="435">
      <x:c r="A435" t="n">
        <x:f>Plan_Raw!A435</x:f>
        <x:v>2004</x:v>
      </x:c>
      <x:c r="B435" t="str">
        <x:f>Plan_Raw!D435</x:f>
        <x:v>1364</x:v>
      </x:c>
      <x:c r="C435" t="str">
        <x:f>LEFT(Plan_Raw!B435,10)</x:f>
        <x:v>2026-07-01</x:v>
      </x:c>
      <x:c r="D435" t="str">
        <x:f>Plan_Raw!F435</x:f>
        <x:v>COMMN</x:v>
      </x:c>
      <x:c r="E435" t="str">
        <x:f>Plan_Raw!E435</x:f>
        <x:v>Special Assistant 5</x:v>
      </x:c>
      <x:c r="F435" t="str">
        <x:f>Plan_Raw!C435</x:f>
        <x:v>1364D</x:v>
      </x:c>
      <x:c r="G435" s="50" t="n">
        <x:f>IF(Plan_Raw!G435="","",IFERROR(VALUE(Plan_Raw!G435),""))</x:f>
        <x:v>39.275</x:v>
      </x:c>
      <x:c r="H435" t="str">
        <x:f>Plan_Raw!AH435</x:f>
        <x:v>1364|COMMN|2026-07-01</x:v>
      </x:c>
      <x:c r="I435" t="n">
        <x:f>COUNTIF(Rates_Raw!$AF$5:$AF$464,H435)</x:f>
        <x:v>0</x:v>
      </x:c>
      <x:c r="J435" t="str">
        <x:f>IF(I435=1,_xlfn.XLOOKUP(H435,Rates_Raw!$AF$5:$AF$464,Rates_Raw!$E$5:$E$464,""),"")</x:f>
      </x:c>
      <x:c r="K435" t="str">
        <x:f>IF(I435=1,_xlfn.XLOOKUP(H435,Rates_Raw!$AF$5:$AF$464,Rates_Raw!$F$5:$F$464,""),"")</x:f>
      </x:c>
      <x:c r="L435" s="50" t="str">
        <x:f>IF(I435=1,IFERROR(VALUE(SUBSTITUTE(_xlfn.XLOOKUP(H435,Rates_Raw!$AF$5:$AF$464,Rates_Raw!$L$5:$L$464,""),"$","")),""),"")</x:f>
      </x:c>
      <x:c r="M435" s="50" t="str">
        <x:f>IF(OR(G435="",L435=""),"",ROUND(G435-L435,4))</x:f>
      </x:c>
      <x:c r="N435" t="str">
        <x:f>IF(I435=0,"NO MATCH",IF(I435&gt;1,"AMBIGUOUS",IF(EXACT(TRIM(E435),TRIM(J435)),"EXACT","TITLE VARIANT")))</x:f>
        <x:v>NO MATCH</x:v>
      </x:c>
      <x:c r="O435" t="str">
        <x:f>IF(I435&lt;&gt;1,"NOT TESTED",IF(OR(G435="",L435=""),"MISSING",IF(ABS(M435)&lt;=Guide!$B$16,"PASS","REVIEW")))</x:f>
        <x:v>NOT TESTED</x:v>
      </x:c>
      <x:c r="P435" s="52" t="str">
        <x:f>IF(I435=1,IFERROR(VALUE(SUBSTITUTE(SUBSTITUTE(_xlfn.XLOOKUP(H435,Rates_Raw!$AF$5:$AF$464,Rates_Raw!$I$5:$I$464,""),"$",""),",","")),""),"")</x:f>
      </x:c>
      <x:c r="Q435" s="52" t="str">
        <x:f>IF(P435="","",P435*Guide!$B$15)</x:f>
      </x:c>
      <x:c r="R435" t="str">
        <x:f>IF(I435=0,"UNMATCHED",IF(I435&gt;1,"DUPLICATE KEY",IF(OR(N435="TITLE VARIANT",O435="REVIEW",O435="MISSING"),"REVIEW","VERIFIED")))</x:f>
        <x:v>UNMATCHED</x:v>
      </x:c>
      <x:c r="S435" s="46" t="str">
        <x:v>Not Reviewed</x:v>
      </x:c>
      <x:c r="T435" s="48"/>
    </x:row>
    <x:row r="436">
      <x:c r="A436" t="n">
        <x:f>Plan_Raw!A436</x:f>
        <x:v>2016</x:v>
      </x:c>
      <x:c r="B436" t="str">
        <x:f>Plan_Raw!D436</x:f>
        <x:v>1364</x:v>
      </x:c>
      <x:c r="C436" t="str">
        <x:f>LEFT(Plan_Raw!B436,10)</x:f>
        <x:v>2026-07-01</x:v>
      </x:c>
      <x:c r="D436" t="str">
        <x:f>Plan_Raw!F436</x:f>
        <x:v>SFMTA</x:v>
      </x:c>
      <x:c r="E436" t="str">
        <x:f>Plan_Raw!E436</x:f>
        <x:v>Special Assistant 5</x:v>
      </x:c>
      <x:c r="F436" t="str">
        <x:f>Plan_Raw!C436</x:f>
        <x:v>1364D</x:v>
      </x:c>
      <x:c r="G436" s="50" t="n">
        <x:f>IF(Plan_Raw!G436="","",IFERROR(VALUE(Plan_Raw!G436),""))</x:f>
        <x:v>39.275</x:v>
      </x:c>
      <x:c r="H436" t="str">
        <x:f>Plan_Raw!AH436</x:f>
        <x:v>1364|SFMTA|2026-07-01</x:v>
      </x:c>
      <x:c r="I436" t="n">
        <x:f>COUNTIF(Rates_Raw!$AF$5:$AF$464,H436)</x:f>
        <x:v>0</x:v>
      </x:c>
      <x:c r="J436" t="str">
        <x:f>IF(I436=1,_xlfn.XLOOKUP(H436,Rates_Raw!$AF$5:$AF$464,Rates_Raw!$E$5:$E$464,""),"")</x:f>
      </x:c>
      <x:c r="K436" t="str">
        <x:f>IF(I436=1,_xlfn.XLOOKUP(H436,Rates_Raw!$AF$5:$AF$464,Rates_Raw!$F$5:$F$464,""),"")</x:f>
      </x:c>
      <x:c r="L436" s="50" t="str">
        <x:f>IF(I436=1,IFERROR(VALUE(SUBSTITUTE(_xlfn.XLOOKUP(H436,Rates_Raw!$AF$5:$AF$464,Rates_Raw!$L$5:$L$464,""),"$","")),""),"")</x:f>
      </x:c>
      <x:c r="M436" s="50" t="str">
        <x:f>IF(OR(G436="",L436=""),"",ROUND(G436-L436,4))</x:f>
      </x:c>
      <x:c r="N436" t="str">
        <x:f>IF(I436=0,"NO MATCH",IF(I436&gt;1,"AMBIGUOUS",IF(EXACT(TRIM(E436),TRIM(J436)),"EXACT","TITLE VARIANT")))</x:f>
        <x:v>NO MATCH</x:v>
      </x:c>
      <x:c r="O436" t="str">
        <x:f>IF(I436&lt;&gt;1,"NOT TESTED",IF(OR(G436="",L436=""),"MISSING",IF(ABS(M436)&lt;=Guide!$B$16,"PASS","REVIEW")))</x:f>
        <x:v>NOT TESTED</x:v>
      </x:c>
      <x:c r="P436" s="52" t="str">
        <x:f>IF(I436=1,IFERROR(VALUE(SUBSTITUTE(SUBSTITUTE(_xlfn.XLOOKUP(H436,Rates_Raw!$AF$5:$AF$464,Rates_Raw!$I$5:$I$464,""),"$",""),",","")),""),"")</x:f>
      </x:c>
      <x:c r="Q436" s="52" t="str">
        <x:f>IF(P436="","",P436*Guide!$B$15)</x:f>
      </x:c>
      <x:c r="R436" t="str">
        <x:f>IF(I436=0,"UNMATCHED",IF(I436&gt;1,"DUPLICATE KEY",IF(OR(N436="TITLE VARIANT",O436="REVIEW",O436="MISSING"),"REVIEW","VERIFIED")))</x:f>
        <x:v>UNMATCHED</x:v>
      </x:c>
      <x:c r="S436" s="46" t="str">
        <x:v>Not Reviewed</x:v>
      </x:c>
      <x:c r="T436" s="48"/>
    </x:row>
    <x:row r="437">
      <x:c r="A437" t="n">
        <x:f>Plan_Raw!A437</x:f>
        <x:v>2023</x:v>
      </x:c>
      <x:c r="B437" t="str">
        <x:f>Plan_Raw!D437</x:f>
        <x:v>1365</x:v>
      </x:c>
      <x:c r="C437" t="str">
        <x:f>LEFT(Plan_Raw!B437,10)</x:f>
        <x:v>2024-01-06</x:v>
      </x:c>
      <x:c r="D437" t="str">
        <x:f>Plan_Raw!F437</x:f>
        <x:v>COMMN</x:v>
      </x:c>
      <x:c r="E437" t="str">
        <x:f>Plan_Raw!E437</x:f>
        <x:v>Special Assistant VI</x:v>
      </x:c>
      <x:c r="F437" t="str">
        <x:f>Plan_Raw!C437</x:f>
        <x:v>1365Y</x:v>
      </x:c>
      <x:c r="G437" s="50" t="n">
        <x:f>IF(Plan_Raw!G437="","",IFERROR(VALUE(Plan_Raw!G437),""))</x:f>
        <x:v>38.65</x:v>
      </x:c>
      <x:c r="H437" t="str">
        <x:f>Plan_Raw!AH437</x:f>
        <x:v>1365|COMMN|2024-01-06</x:v>
      </x:c>
      <x:c r="I437" t="n">
        <x:f>COUNTIF(Rates_Raw!$AF$5:$AF$464,H437)</x:f>
        <x:v>1</x:v>
      </x:c>
      <x:c r="J437" t="str">
        <x:f>IF(I437=1,_xlfn.XLOOKUP(H437,Rates_Raw!$AF$5:$AF$464,Rates_Raw!$E$5:$E$464,""),"")</x:f>
        <x:v>Special Assistant VI</x:v>
      </x:c>
      <x:c r="K437" t="n">
        <x:f>IF(I437=1,_xlfn.XLOOKUP(H437,Rates_Raw!$AF$5:$AF$464,Rates_Raw!$F$5:$F$464,""),"")</x:f>
        <x:v>21</x:v>
      </x:c>
      <x:c r="L437" s="50" t="n">
        <x:f>IF(I437=1,IFERROR(VALUE(SUBSTITUTE(_xlfn.XLOOKUP(H437,Rates_Raw!$AF$5:$AF$464,Rates_Raw!$L$5:$L$464,""),"$","")),""),"")</x:f>
        <x:v>38.65</x:v>
      </x:c>
      <x:c r="M437" s="50" t="n">
        <x:f>IF(OR(G437="",L437=""),"",ROUND(G437-L437,4))</x:f>
        <x:v>0</x:v>
      </x:c>
      <x:c r="N437" t="str">
        <x:f>IF(I437=0,"NO MATCH",IF(I437&gt;1,"AMBIGUOUS",IF(EXACT(TRIM(E437),TRIM(J437)),"EXACT","TITLE VARIANT")))</x:f>
        <x:v>EXACT</x:v>
      </x:c>
      <x:c r="O437" t="str">
        <x:f>IF(I437&lt;&gt;1,"NOT TESTED",IF(OR(G437="",L437=""),"MISSING",IF(ABS(M437)&lt;=Guide!$B$16,"PASS","REVIEW")))</x:f>
        <x:v>PASS</x:v>
      </x:c>
      <x:c r="P437" s="52" t="n">
        <x:f>IF(I437=1,IFERROR(VALUE(SUBSTITUTE(SUBSTITUTE(_xlfn.XLOOKUP(H437,Rates_Raw!$AF$5:$AF$464,Rates_Raw!$I$5:$I$464,""),"$",""),",","")),""),"")</x:f>
        <x:v>3092</x:v>
      </x:c>
      <x:c r="Q437" s="52" t="n">
        <x:f>IF(P437="","",P437*Guide!$B$15)</x:f>
        <x:v>80392</x:v>
      </x:c>
      <x:c r="R437" t="str">
        <x:f>IF(I437=0,"UNMATCHED",IF(I437&gt;1,"DUPLICATE KEY",IF(OR(N437="TITLE VARIANT",O437="REVIEW",O437="MISSING"),"REVIEW","VERIFIED")))</x:f>
        <x:v>VERIFIED</x:v>
      </x:c>
      <x:c r="S437" s="46" t="str">
        <x:v>Not Reviewed</x:v>
      </x:c>
      <x:c r="T437" s="48"/>
    </x:row>
    <x:row r="438">
      <x:c r="A438" t="n">
        <x:f>Plan_Raw!A438</x:f>
        <x:v>2035</x:v>
      </x:c>
      <x:c r="B438" t="str">
        <x:f>Plan_Raw!D438</x:f>
        <x:v>1365</x:v>
      </x:c>
      <x:c r="C438" t="str">
        <x:f>LEFT(Plan_Raw!B438,10)</x:f>
        <x:v>2024-01-06</x:v>
      </x:c>
      <x:c r="D438" t="str">
        <x:f>Plan_Raw!F438</x:f>
        <x:v>SFMTA</x:v>
      </x:c>
      <x:c r="E438" t="str">
        <x:f>Plan_Raw!E438</x:f>
        <x:v>Special Assistant VI</x:v>
      </x:c>
      <x:c r="F438" t="str">
        <x:f>Plan_Raw!C438</x:f>
        <x:v>1365Y</x:v>
      </x:c>
      <x:c r="G438" s="50" t="n">
        <x:f>IF(Plan_Raw!G438="","",IFERROR(VALUE(Plan_Raw!G438),""))</x:f>
        <x:v>38.65</x:v>
      </x:c>
      <x:c r="H438" t="str">
        <x:f>Plan_Raw!AH438</x:f>
        <x:v>1365|SFMTA|2024-01-06</x:v>
      </x:c>
      <x:c r="I438" t="n">
        <x:f>COUNTIF(Rates_Raw!$AF$5:$AF$464,H438)</x:f>
        <x:v>1</x:v>
      </x:c>
      <x:c r="J438" t="str">
        <x:f>IF(I438=1,_xlfn.XLOOKUP(H438,Rates_Raw!$AF$5:$AF$464,Rates_Raw!$E$5:$E$464,""),"")</x:f>
        <x:v>Special Assistant VI</x:v>
      </x:c>
      <x:c r="K438" t="n">
        <x:f>IF(I438=1,_xlfn.XLOOKUP(H438,Rates_Raw!$AF$5:$AF$464,Rates_Raw!$F$5:$F$464,""),"")</x:f>
        <x:v>21</x:v>
      </x:c>
      <x:c r="L438" s="50" t="n">
        <x:f>IF(I438=1,IFERROR(VALUE(SUBSTITUTE(_xlfn.XLOOKUP(H438,Rates_Raw!$AF$5:$AF$464,Rates_Raw!$L$5:$L$464,""),"$","")),""),"")</x:f>
        <x:v>38.65</x:v>
      </x:c>
      <x:c r="M438" s="50" t="n">
        <x:f>IF(OR(G438="",L438=""),"",ROUND(G438-L438,4))</x:f>
        <x:v>0</x:v>
      </x:c>
      <x:c r="N438" t="str">
        <x:f>IF(I438=0,"NO MATCH",IF(I438&gt;1,"AMBIGUOUS",IF(EXACT(TRIM(E438),TRIM(J438)),"EXACT","TITLE VARIANT")))</x:f>
        <x:v>EXACT</x:v>
      </x:c>
      <x:c r="O438" t="str">
        <x:f>IF(I438&lt;&gt;1,"NOT TESTED",IF(OR(G438="",L438=""),"MISSING",IF(ABS(M438)&lt;=Guide!$B$16,"PASS","REVIEW")))</x:f>
        <x:v>PASS</x:v>
      </x:c>
      <x:c r="P438" s="52" t="n">
        <x:f>IF(I438=1,IFERROR(VALUE(SUBSTITUTE(SUBSTITUTE(_xlfn.XLOOKUP(H438,Rates_Raw!$AF$5:$AF$464,Rates_Raw!$I$5:$I$464,""),"$",""),",","")),""),"")</x:f>
        <x:v>3092</x:v>
      </x:c>
      <x:c r="Q438" s="52" t="n">
        <x:f>IF(P438="","",P438*Guide!$B$15)</x:f>
        <x:v>80392</x:v>
      </x:c>
      <x:c r="R438" t="str">
        <x:f>IF(I438=0,"UNMATCHED",IF(I438&gt;1,"DUPLICATE KEY",IF(OR(N438="TITLE VARIANT",O438="REVIEW",O438="MISSING"),"REVIEW","VERIFIED")))</x:f>
        <x:v>VERIFIED</x:v>
      </x:c>
      <x:c r="S438" s="46" t="str">
        <x:v>Not Reviewed</x:v>
      </x:c>
      <x:c r="T438" s="48"/>
    </x:row>
    <x:row r="439">
      <x:c r="A439" t="n">
        <x:f>Plan_Raw!A439</x:f>
        <x:v>2024</x:v>
      </x:c>
      <x:c r="B439" t="str">
        <x:f>Plan_Raw!D439</x:f>
        <x:v>1365</x:v>
      </x:c>
      <x:c r="C439" t="str">
        <x:f>LEFT(Plan_Raw!B439,10)</x:f>
        <x:v>2024-07-01</x:v>
      </x:c>
      <x:c r="D439" t="str">
        <x:f>Plan_Raw!F439</x:f>
        <x:v>COMMN</x:v>
      </x:c>
      <x:c r="E439" t="str">
        <x:f>Plan_Raw!E439</x:f>
        <x:v>Special Assistant VI</x:v>
      </x:c>
      <x:c r="F439" t="str">
        <x:f>Plan_Raw!C439</x:f>
        <x:v>1365Z</x:v>
      </x:c>
      <x:c r="G439" s="50" t="n">
        <x:f>IF(Plan_Raw!G439="","",IFERROR(VALUE(Plan_Raw!G439),""))</x:f>
        <x:v>39.225</x:v>
      </x:c>
      <x:c r="H439" t="str">
        <x:f>Plan_Raw!AH439</x:f>
        <x:v>1365|COMMN|2024-07-01</x:v>
      </x:c>
      <x:c r="I439" t="n">
        <x:f>COUNTIF(Rates_Raw!$AF$5:$AF$464,H439)</x:f>
        <x:v>1</x:v>
      </x:c>
      <x:c r="J439" t="str">
        <x:f>IF(I439=1,_xlfn.XLOOKUP(H439,Rates_Raw!$AF$5:$AF$464,Rates_Raw!$E$5:$E$464,""),"")</x:f>
        <x:v>Special Assistant VI</x:v>
      </x:c>
      <x:c r="K439" t="n">
        <x:f>IF(I439=1,_xlfn.XLOOKUP(H439,Rates_Raw!$AF$5:$AF$464,Rates_Raw!$F$5:$F$464,""),"")</x:f>
        <x:v>21</x:v>
      </x:c>
      <x:c r="L439" s="50" t="n">
        <x:f>IF(I439=1,IFERROR(VALUE(SUBSTITUTE(_xlfn.XLOOKUP(H439,Rates_Raw!$AF$5:$AF$464,Rates_Raw!$L$5:$L$464,""),"$","")),""),"")</x:f>
        <x:v>39.225</x:v>
      </x:c>
      <x:c r="M439" s="50" t="n">
        <x:f>IF(OR(G439="",L439=""),"",ROUND(G439-L439,4))</x:f>
        <x:v>0</x:v>
      </x:c>
      <x:c r="N439" t="str">
        <x:f>IF(I439=0,"NO MATCH",IF(I439&gt;1,"AMBIGUOUS",IF(EXACT(TRIM(E439),TRIM(J439)),"EXACT","TITLE VARIANT")))</x:f>
        <x:v>EXACT</x:v>
      </x:c>
      <x:c r="O439" t="str">
        <x:f>IF(I439&lt;&gt;1,"NOT TESTED",IF(OR(G439="",L439=""),"MISSING",IF(ABS(M439)&lt;=Guide!$B$16,"PASS","REVIEW")))</x:f>
        <x:v>PASS</x:v>
      </x:c>
      <x:c r="P439" s="52" t="n">
        <x:f>IF(I439=1,IFERROR(VALUE(SUBSTITUTE(SUBSTITUTE(_xlfn.XLOOKUP(H439,Rates_Raw!$AF$5:$AF$464,Rates_Raw!$I$5:$I$464,""),"$",""),",","")),""),"")</x:f>
        <x:v>3138</x:v>
      </x:c>
      <x:c r="Q439" s="52" t="n">
        <x:f>IF(P439="","",P439*Guide!$B$15)</x:f>
        <x:v>81588</x:v>
      </x:c>
      <x:c r="R439" t="str">
        <x:f>IF(I439=0,"UNMATCHED",IF(I439&gt;1,"DUPLICATE KEY",IF(OR(N439="TITLE VARIANT",O439="REVIEW",O439="MISSING"),"REVIEW","VERIFIED")))</x:f>
        <x:v>VERIFIED</x:v>
      </x:c>
      <x:c r="S439" s="46" t="str">
        <x:v>Not Reviewed</x:v>
      </x:c>
      <x:c r="T439" s="48"/>
    </x:row>
    <x:row r="440">
      <x:c r="A440" t="n">
        <x:f>Plan_Raw!A440</x:f>
        <x:v>2036</x:v>
      </x:c>
      <x:c r="B440" t="str">
        <x:f>Plan_Raw!D440</x:f>
        <x:v>1365</x:v>
      </x:c>
      <x:c r="C440" t="str">
        <x:f>LEFT(Plan_Raw!B440,10)</x:f>
        <x:v>2024-07-01</x:v>
      </x:c>
      <x:c r="D440" t="str">
        <x:f>Plan_Raw!F440</x:f>
        <x:v>SFMTA</x:v>
      </x:c>
      <x:c r="E440" t="str">
        <x:f>Plan_Raw!E440</x:f>
        <x:v>Special Assistant VI</x:v>
      </x:c>
      <x:c r="F440" t="str">
        <x:f>Plan_Raw!C440</x:f>
        <x:v>1365Z</x:v>
      </x:c>
      <x:c r="G440" s="50" t="n">
        <x:f>IF(Plan_Raw!G440="","",IFERROR(VALUE(Plan_Raw!G440),""))</x:f>
        <x:v>39.225</x:v>
      </x:c>
      <x:c r="H440" t="str">
        <x:f>Plan_Raw!AH440</x:f>
        <x:v>1365|SFMTA|2024-07-01</x:v>
      </x:c>
      <x:c r="I440" t="n">
        <x:f>COUNTIF(Rates_Raw!$AF$5:$AF$464,H440)</x:f>
        <x:v>1</x:v>
      </x:c>
      <x:c r="J440" t="str">
        <x:f>IF(I440=1,_xlfn.XLOOKUP(H440,Rates_Raw!$AF$5:$AF$464,Rates_Raw!$E$5:$E$464,""),"")</x:f>
        <x:v>Special Assistant VI</x:v>
      </x:c>
      <x:c r="K440" t="n">
        <x:f>IF(I440=1,_xlfn.XLOOKUP(H440,Rates_Raw!$AF$5:$AF$464,Rates_Raw!$F$5:$F$464,""),"")</x:f>
        <x:v>21</x:v>
      </x:c>
      <x:c r="L440" s="50" t="n">
        <x:f>IF(I440=1,IFERROR(VALUE(SUBSTITUTE(_xlfn.XLOOKUP(H440,Rates_Raw!$AF$5:$AF$464,Rates_Raw!$L$5:$L$464,""),"$","")),""),"")</x:f>
        <x:v>39.225</x:v>
      </x:c>
      <x:c r="M440" s="50" t="n">
        <x:f>IF(OR(G440="",L440=""),"",ROUND(G440-L440,4))</x:f>
        <x:v>0</x:v>
      </x:c>
      <x:c r="N440" t="str">
        <x:f>IF(I440=0,"NO MATCH",IF(I440&gt;1,"AMBIGUOUS",IF(EXACT(TRIM(E440),TRIM(J440)),"EXACT","TITLE VARIANT")))</x:f>
        <x:v>EXACT</x:v>
      </x:c>
      <x:c r="O440" t="str">
        <x:f>IF(I440&lt;&gt;1,"NOT TESTED",IF(OR(G440="",L440=""),"MISSING",IF(ABS(M440)&lt;=Guide!$B$16,"PASS","REVIEW")))</x:f>
        <x:v>PASS</x:v>
      </x:c>
      <x:c r="P440" s="52" t="n">
        <x:f>IF(I440=1,IFERROR(VALUE(SUBSTITUTE(SUBSTITUTE(_xlfn.XLOOKUP(H440,Rates_Raw!$AF$5:$AF$464,Rates_Raw!$I$5:$I$464,""),"$",""),",","")),""),"")</x:f>
        <x:v>3138</x:v>
      </x:c>
      <x:c r="Q440" s="52" t="n">
        <x:f>IF(P440="","",P440*Guide!$B$15)</x:f>
        <x:v>81588</x:v>
      </x:c>
      <x:c r="R440" t="str">
        <x:f>IF(I440=0,"UNMATCHED",IF(I440&gt;1,"DUPLICATE KEY",IF(OR(N440="TITLE VARIANT",O440="REVIEW",O440="MISSING"),"REVIEW","VERIFIED")))</x:f>
        <x:v>VERIFIED</x:v>
      </x:c>
      <x:c r="S440" s="46" t="str">
        <x:v>Not Reviewed</x:v>
      </x:c>
      <x:c r="T440" s="48"/>
    </x:row>
    <x:row r="441">
      <x:c r="A441" t="n">
        <x:f>Plan_Raw!A441</x:f>
        <x:v>2025</x:v>
      </x:c>
      <x:c r="B441" t="str">
        <x:f>Plan_Raw!D441</x:f>
        <x:v>1365</x:v>
      </x:c>
      <x:c r="C441" t="str">
        <x:f>LEFT(Plan_Raw!B441,10)</x:f>
        <x:v>2025-01-04</x:v>
      </x:c>
      <x:c r="D441" t="str">
        <x:f>Plan_Raw!F441</x:f>
        <x:v>COMMN</x:v>
      </x:c>
      <x:c r="E441" t="str">
        <x:f>Plan_Raw!E441</x:f>
        <x:v>Special Assistant VI</x:v>
      </x:c>
      <x:c r="F441" t="str">
        <x:f>Plan_Raw!C441</x:f>
        <x:v>1365A</x:v>
      </x:c>
      <x:c r="G441" s="50" t="n">
        <x:f>IF(Plan_Raw!G441="","",IFERROR(VALUE(Plan_Raw!G441),""))</x:f>
        <x:v>39.8125</x:v>
      </x:c>
      <x:c r="H441" t="str">
        <x:f>Plan_Raw!AH441</x:f>
        <x:v>1365|COMMN|2025-01-04</x:v>
      </x:c>
      <x:c r="I441" t="n">
        <x:f>COUNTIF(Rates_Raw!$AF$5:$AF$464,H441)</x:f>
        <x:v>1</x:v>
      </x:c>
      <x:c r="J441" t="str">
        <x:f>IF(I441=1,_xlfn.XLOOKUP(H441,Rates_Raw!$AF$5:$AF$464,Rates_Raw!$E$5:$E$464,""),"")</x:f>
        <x:v>Special Assistant VI</x:v>
      </x:c>
      <x:c r="K441" t="n">
        <x:f>IF(I441=1,_xlfn.XLOOKUP(H441,Rates_Raw!$AF$5:$AF$464,Rates_Raw!$F$5:$F$464,""),"")</x:f>
        <x:v>21</x:v>
      </x:c>
      <x:c r="L441" s="50" t="n">
        <x:f>IF(I441=1,IFERROR(VALUE(SUBSTITUTE(_xlfn.XLOOKUP(H441,Rates_Raw!$AF$5:$AF$464,Rates_Raw!$L$5:$L$464,""),"$","")),""),"")</x:f>
        <x:v>39.8125</x:v>
      </x:c>
      <x:c r="M441" s="50" t="n">
        <x:f>IF(OR(G441="",L441=""),"",ROUND(G441-L441,4))</x:f>
        <x:v>0</x:v>
      </x:c>
      <x:c r="N441" t="str">
        <x:f>IF(I441=0,"NO MATCH",IF(I441&gt;1,"AMBIGUOUS",IF(EXACT(TRIM(E441),TRIM(J441)),"EXACT","TITLE VARIANT")))</x:f>
        <x:v>EXACT</x:v>
      </x:c>
      <x:c r="O441" t="str">
        <x:f>IF(I441&lt;&gt;1,"NOT TESTED",IF(OR(G441="",L441=""),"MISSING",IF(ABS(M441)&lt;=Guide!$B$16,"PASS","REVIEW")))</x:f>
        <x:v>PASS</x:v>
      </x:c>
      <x:c r="P441" s="52" t="n">
        <x:f>IF(I441=1,IFERROR(VALUE(SUBSTITUTE(SUBSTITUTE(_xlfn.XLOOKUP(H441,Rates_Raw!$AF$5:$AF$464,Rates_Raw!$I$5:$I$464,""),"$",""),",","")),""),"")</x:f>
        <x:v>3185</x:v>
      </x:c>
      <x:c r="Q441" s="52" t="n">
        <x:f>IF(P441="","",P441*Guide!$B$15)</x:f>
        <x:v>82810</x:v>
      </x:c>
      <x:c r="R441" t="str">
        <x:f>IF(I441=0,"UNMATCHED",IF(I441&gt;1,"DUPLICATE KEY",IF(OR(N441="TITLE VARIANT",O441="REVIEW",O441="MISSING"),"REVIEW","VERIFIED")))</x:f>
        <x:v>VERIFIED</x:v>
      </x:c>
      <x:c r="S441" s="46" t="str">
        <x:v>Not Reviewed</x:v>
      </x:c>
      <x:c r="T441" s="48"/>
    </x:row>
    <x:row r="442">
      <x:c r="A442" t="n">
        <x:f>Plan_Raw!A442</x:f>
        <x:v>2037</x:v>
      </x:c>
      <x:c r="B442" t="str">
        <x:f>Plan_Raw!D442</x:f>
        <x:v>1365</x:v>
      </x:c>
      <x:c r="C442" t="str">
        <x:f>LEFT(Plan_Raw!B442,10)</x:f>
        <x:v>2025-01-04</x:v>
      </x:c>
      <x:c r="D442" t="str">
        <x:f>Plan_Raw!F442</x:f>
        <x:v>SFMTA</x:v>
      </x:c>
      <x:c r="E442" t="str">
        <x:f>Plan_Raw!E442</x:f>
        <x:v>Special Assistant VI</x:v>
      </x:c>
      <x:c r="F442" t="str">
        <x:f>Plan_Raw!C442</x:f>
        <x:v>1365A</x:v>
      </x:c>
      <x:c r="G442" s="50" t="n">
        <x:f>IF(Plan_Raw!G442="","",IFERROR(VALUE(Plan_Raw!G442),""))</x:f>
        <x:v>39.8125</x:v>
      </x:c>
      <x:c r="H442" t="str">
        <x:f>Plan_Raw!AH442</x:f>
        <x:v>1365|SFMTA|2025-01-04</x:v>
      </x:c>
      <x:c r="I442" t="n">
        <x:f>COUNTIF(Rates_Raw!$AF$5:$AF$464,H442)</x:f>
        <x:v>1</x:v>
      </x:c>
      <x:c r="J442" t="str">
        <x:f>IF(I442=1,_xlfn.XLOOKUP(H442,Rates_Raw!$AF$5:$AF$464,Rates_Raw!$E$5:$E$464,""),"")</x:f>
        <x:v>Special Assistant VI</x:v>
      </x:c>
      <x:c r="K442" t="n">
        <x:f>IF(I442=1,_xlfn.XLOOKUP(H442,Rates_Raw!$AF$5:$AF$464,Rates_Raw!$F$5:$F$464,""),"")</x:f>
        <x:v>21</x:v>
      </x:c>
      <x:c r="L442" s="50" t="n">
        <x:f>IF(I442=1,IFERROR(VALUE(SUBSTITUTE(_xlfn.XLOOKUP(H442,Rates_Raw!$AF$5:$AF$464,Rates_Raw!$L$5:$L$464,""),"$","")),""),"")</x:f>
        <x:v>39.8125</x:v>
      </x:c>
      <x:c r="M442" s="50" t="n">
        <x:f>IF(OR(G442="",L442=""),"",ROUND(G442-L442,4))</x:f>
        <x:v>0</x:v>
      </x:c>
      <x:c r="N442" t="str">
        <x:f>IF(I442=0,"NO MATCH",IF(I442&gt;1,"AMBIGUOUS",IF(EXACT(TRIM(E442),TRIM(J442)),"EXACT","TITLE VARIANT")))</x:f>
        <x:v>EXACT</x:v>
      </x:c>
      <x:c r="O442" t="str">
        <x:f>IF(I442&lt;&gt;1,"NOT TESTED",IF(OR(G442="",L442=""),"MISSING",IF(ABS(M442)&lt;=Guide!$B$16,"PASS","REVIEW")))</x:f>
        <x:v>PASS</x:v>
      </x:c>
      <x:c r="P442" s="52" t="n">
        <x:f>IF(I442=1,IFERROR(VALUE(SUBSTITUTE(SUBSTITUTE(_xlfn.XLOOKUP(H442,Rates_Raw!$AF$5:$AF$464,Rates_Raw!$I$5:$I$464,""),"$",""),",","")),""),"")</x:f>
        <x:v>3185</x:v>
      </x:c>
      <x:c r="Q442" s="52" t="n">
        <x:f>IF(P442="","",P442*Guide!$B$15)</x:f>
        <x:v>82810</x:v>
      </x:c>
      <x:c r="R442" t="str">
        <x:f>IF(I442=0,"UNMATCHED",IF(I442&gt;1,"DUPLICATE KEY",IF(OR(N442="TITLE VARIANT",O442="REVIEW",O442="MISSING"),"REVIEW","VERIFIED")))</x:f>
        <x:v>VERIFIED</x:v>
      </x:c>
      <x:c r="S442" s="46" t="str">
        <x:v>Not Reviewed</x:v>
      </x:c>
      <x:c r="T442" s="48"/>
    </x:row>
    <x:row r="443">
      <x:c r="A443" t="n">
        <x:f>Plan_Raw!A443</x:f>
        <x:v>2026</x:v>
      </x:c>
      <x:c r="B443" t="str">
        <x:f>Plan_Raw!D443</x:f>
        <x:v>1365</x:v>
      </x:c>
      <x:c r="C443" t="str">
        <x:f>LEFT(Plan_Raw!B443,10)</x:f>
        <x:v>2025-07-01</x:v>
      </x:c>
      <x:c r="D443" t="str">
        <x:f>Plan_Raw!F443</x:f>
        <x:v>COMMN</x:v>
      </x:c>
      <x:c r="E443" t="str">
        <x:f>Plan_Raw!E443</x:f>
        <x:v>Special Assistant 6</x:v>
      </x:c>
      <x:c r="F443" t="str">
        <x:f>Plan_Raw!C443</x:f>
        <x:v>1365B</x:v>
      </x:c>
      <x:c r="G443" s="50" t="n">
        <x:f>IF(Plan_Raw!G443="","",IFERROR(VALUE(Plan_Raw!G443),""))</x:f>
        <x:v>40.6125</x:v>
      </x:c>
      <x:c r="H443" t="str">
        <x:f>Plan_Raw!AH443</x:f>
        <x:v>1365|COMMN|2025-07-01</x:v>
      </x:c>
      <x:c r="I443" t="n">
        <x:f>COUNTIF(Rates_Raw!$AF$5:$AF$464,H443)</x:f>
        <x:v>1</x:v>
      </x:c>
      <x:c r="J443" t="str">
        <x:f>IF(I443=1,_xlfn.XLOOKUP(H443,Rates_Raw!$AF$5:$AF$464,Rates_Raw!$E$5:$E$464,""),"")</x:f>
        <x:v>Special Assistant 6</x:v>
      </x:c>
      <x:c r="K443" t="n">
        <x:f>IF(I443=1,_xlfn.XLOOKUP(H443,Rates_Raw!$AF$5:$AF$464,Rates_Raw!$F$5:$F$464,""),"")</x:f>
        <x:v>21</x:v>
      </x:c>
      <x:c r="L443" s="50" t="n">
        <x:f>IF(I443=1,IFERROR(VALUE(SUBSTITUTE(_xlfn.XLOOKUP(H443,Rates_Raw!$AF$5:$AF$464,Rates_Raw!$L$5:$L$464,""),"$","")),""),"")</x:f>
        <x:v>40.6125</x:v>
      </x:c>
      <x:c r="M443" s="50" t="n">
        <x:f>IF(OR(G443="",L443=""),"",ROUND(G443-L443,4))</x:f>
        <x:v>0</x:v>
      </x:c>
      <x:c r="N443" t="str">
        <x:f>IF(I443=0,"NO MATCH",IF(I443&gt;1,"AMBIGUOUS",IF(EXACT(TRIM(E443),TRIM(J443)),"EXACT","TITLE VARIANT")))</x:f>
        <x:v>EXACT</x:v>
      </x:c>
      <x:c r="O443" t="str">
        <x:f>IF(I443&lt;&gt;1,"NOT TESTED",IF(OR(G443="",L443=""),"MISSING",IF(ABS(M443)&lt;=Guide!$B$16,"PASS","REVIEW")))</x:f>
        <x:v>PASS</x:v>
      </x:c>
      <x:c r="P443" s="52" t="n">
        <x:f>IF(I443=1,IFERROR(VALUE(SUBSTITUTE(SUBSTITUTE(_xlfn.XLOOKUP(H443,Rates_Raw!$AF$5:$AF$464,Rates_Raw!$I$5:$I$464,""),"$",""),",","")),""),"")</x:f>
        <x:v>3249</x:v>
      </x:c>
      <x:c r="Q443" s="52" t="n">
        <x:f>IF(P443="","",P443*Guide!$B$15)</x:f>
        <x:v>84474</x:v>
      </x:c>
      <x:c r="R443" t="str">
        <x:f>IF(I443=0,"UNMATCHED",IF(I443&gt;1,"DUPLICATE KEY",IF(OR(N443="TITLE VARIANT",O443="REVIEW",O443="MISSING"),"REVIEW","VERIFIED")))</x:f>
        <x:v>VERIFIED</x:v>
      </x:c>
      <x:c r="S443" s="46" t="str">
        <x:v>Not Reviewed</x:v>
      </x:c>
      <x:c r="T443" s="48"/>
    </x:row>
    <x:row r="444">
      <x:c r="A444" t="n">
        <x:f>Plan_Raw!A444</x:f>
        <x:v>2038</x:v>
      </x:c>
      <x:c r="B444" t="str">
        <x:f>Plan_Raw!D444</x:f>
        <x:v>1365</x:v>
      </x:c>
      <x:c r="C444" t="str">
        <x:f>LEFT(Plan_Raw!B444,10)</x:f>
        <x:v>2025-07-01</x:v>
      </x:c>
      <x:c r="D444" t="str">
        <x:f>Plan_Raw!F444</x:f>
        <x:v>SFMTA</x:v>
      </x:c>
      <x:c r="E444" t="str">
        <x:f>Plan_Raw!E444</x:f>
        <x:v>Special Assistant 6</x:v>
      </x:c>
      <x:c r="F444" t="str">
        <x:f>Plan_Raw!C444</x:f>
        <x:v>1365B</x:v>
      </x:c>
      <x:c r="G444" s="50" t="n">
        <x:f>IF(Plan_Raw!G444="","",IFERROR(VALUE(Plan_Raw!G444),""))</x:f>
        <x:v>40.6125</x:v>
      </x:c>
      <x:c r="H444" t="str">
        <x:f>Plan_Raw!AH444</x:f>
        <x:v>1365|SFMTA|2025-07-01</x:v>
      </x:c>
      <x:c r="I444" t="n">
        <x:f>COUNTIF(Rates_Raw!$AF$5:$AF$464,H444)</x:f>
        <x:v>1</x:v>
      </x:c>
      <x:c r="J444" t="str">
        <x:f>IF(I444=1,_xlfn.XLOOKUP(H444,Rates_Raw!$AF$5:$AF$464,Rates_Raw!$E$5:$E$464,""),"")</x:f>
        <x:v>Special Assistant 6</x:v>
      </x:c>
      <x:c r="K444" t="n">
        <x:f>IF(I444=1,_xlfn.XLOOKUP(H444,Rates_Raw!$AF$5:$AF$464,Rates_Raw!$F$5:$F$464,""),"")</x:f>
        <x:v>21</x:v>
      </x:c>
      <x:c r="L444" s="50" t="n">
        <x:f>IF(I444=1,IFERROR(VALUE(SUBSTITUTE(_xlfn.XLOOKUP(H444,Rates_Raw!$AF$5:$AF$464,Rates_Raw!$L$5:$L$464,""),"$","")),""),"")</x:f>
        <x:v>40.6125</x:v>
      </x:c>
      <x:c r="M444" s="50" t="n">
        <x:f>IF(OR(G444="",L444=""),"",ROUND(G444-L444,4))</x:f>
        <x:v>0</x:v>
      </x:c>
      <x:c r="N444" t="str">
        <x:f>IF(I444=0,"NO MATCH",IF(I444&gt;1,"AMBIGUOUS",IF(EXACT(TRIM(E444),TRIM(J444)),"EXACT","TITLE VARIANT")))</x:f>
        <x:v>EXACT</x:v>
      </x:c>
      <x:c r="O444" t="str">
        <x:f>IF(I444&lt;&gt;1,"NOT TESTED",IF(OR(G444="",L444=""),"MISSING",IF(ABS(M444)&lt;=Guide!$B$16,"PASS","REVIEW")))</x:f>
        <x:v>PASS</x:v>
      </x:c>
      <x:c r="P444" s="52" t="n">
        <x:f>IF(I444=1,IFERROR(VALUE(SUBSTITUTE(SUBSTITUTE(_xlfn.XLOOKUP(H444,Rates_Raw!$AF$5:$AF$464,Rates_Raw!$I$5:$I$464,""),"$",""),",","")),""),"")</x:f>
        <x:v>3249</x:v>
      </x:c>
      <x:c r="Q444" s="52" t="n">
        <x:f>IF(P444="","",P444*Guide!$B$15)</x:f>
        <x:v>84474</x:v>
      </x:c>
      <x:c r="R444" t="str">
        <x:f>IF(I444=0,"UNMATCHED",IF(I444&gt;1,"DUPLICATE KEY",IF(OR(N444="TITLE VARIANT",O444="REVIEW",O444="MISSING"),"REVIEW","VERIFIED")))</x:f>
        <x:v>VERIFIED</x:v>
      </x:c>
      <x:c r="S444" s="46" t="str">
        <x:v>Not Reviewed</x:v>
      </x:c>
      <x:c r="T444" s="48"/>
    </x:row>
    <x:row r="445">
      <x:c r="A445" t="n">
        <x:f>Plan_Raw!A445</x:f>
        <x:v>2027</x:v>
      </x:c>
      <x:c r="B445" t="str">
        <x:f>Plan_Raw!D445</x:f>
        <x:v>1365</x:v>
      </x:c>
      <x:c r="C445" t="str">
        <x:f>LEFT(Plan_Raw!B445,10)</x:f>
        <x:v>2026-01-03</x:v>
      </x:c>
      <x:c r="D445" t="str">
        <x:f>Plan_Raw!F445</x:f>
        <x:v>COMMN</x:v>
      </x:c>
      <x:c r="E445" t="str">
        <x:f>Plan_Raw!E445</x:f>
        <x:v>Special Assistant 6</x:v>
      </x:c>
      <x:c r="F445" t="str">
        <x:f>Plan_Raw!C445</x:f>
        <x:v>1365C</x:v>
      </x:c>
      <x:c r="G445" s="50" t="n">
        <x:f>IF(Plan_Raw!G445="","",IFERROR(VALUE(Plan_Raw!G445),""))</x:f>
        <x:v>41.225</x:v>
      </x:c>
      <x:c r="H445" t="str">
        <x:f>Plan_Raw!AH445</x:f>
        <x:v>1365|COMMN|2026-01-03</x:v>
      </x:c>
      <x:c r="I445" t="n">
        <x:f>COUNTIF(Rates_Raw!$AF$5:$AF$464,H445)</x:f>
        <x:v>1</x:v>
      </x:c>
      <x:c r="J445" t="str">
        <x:f>IF(I445=1,_xlfn.XLOOKUP(H445,Rates_Raw!$AF$5:$AF$464,Rates_Raw!$E$5:$E$464,""),"")</x:f>
        <x:v>Special Assistant 6</x:v>
      </x:c>
      <x:c r="K445" t="n">
        <x:f>IF(I445=1,_xlfn.XLOOKUP(H445,Rates_Raw!$AF$5:$AF$464,Rates_Raw!$F$5:$F$464,""),"")</x:f>
        <x:v>21</x:v>
      </x:c>
      <x:c r="L445" s="50" t="n">
        <x:f>IF(I445=1,IFERROR(VALUE(SUBSTITUTE(_xlfn.XLOOKUP(H445,Rates_Raw!$AF$5:$AF$464,Rates_Raw!$L$5:$L$464,""),"$","")),""),"")</x:f>
        <x:v>41.225</x:v>
      </x:c>
      <x:c r="M445" s="50" t="n">
        <x:f>IF(OR(G445="",L445=""),"",ROUND(G445-L445,4))</x:f>
        <x:v>0</x:v>
      </x:c>
      <x:c r="N445" t="str">
        <x:f>IF(I445=0,"NO MATCH",IF(I445&gt;1,"AMBIGUOUS",IF(EXACT(TRIM(E445),TRIM(J445)),"EXACT","TITLE VARIANT")))</x:f>
        <x:v>EXACT</x:v>
      </x:c>
      <x:c r="O445" t="str">
        <x:f>IF(I445&lt;&gt;1,"NOT TESTED",IF(OR(G445="",L445=""),"MISSING",IF(ABS(M445)&lt;=Guide!$B$16,"PASS","REVIEW")))</x:f>
        <x:v>PASS</x:v>
      </x:c>
      <x:c r="P445" s="52" t="n">
        <x:f>IF(I445=1,IFERROR(VALUE(SUBSTITUTE(SUBSTITUTE(_xlfn.XLOOKUP(H445,Rates_Raw!$AF$5:$AF$464,Rates_Raw!$I$5:$I$464,""),"$",""),",","")),""),"")</x:f>
        <x:v>3298</x:v>
      </x:c>
      <x:c r="Q445" s="52" t="n">
        <x:f>IF(P445="","",P445*Guide!$B$15)</x:f>
        <x:v>85748</x:v>
      </x:c>
      <x:c r="R445" t="str">
        <x:f>IF(I445=0,"UNMATCHED",IF(I445&gt;1,"DUPLICATE KEY",IF(OR(N445="TITLE VARIANT",O445="REVIEW",O445="MISSING"),"REVIEW","VERIFIED")))</x:f>
        <x:v>VERIFIED</x:v>
      </x:c>
      <x:c r="S445" s="46" t="str">
        <x:v>Not Reviewed</x:v>
      </x:c>
      <x:c r="T445" s="48"/>
    </x:row>
    <x:row r="446">
      <x:c r="A446" t="n">
        <x:f>Plan_Raw!A446</x:f>
        <x:v>2039</x:v>
      </x:c>
      <x:c r="B446" t="str">
        <x:f>Plan_Raw!D446</x:f>
        <x:v>1365</x:v>
      </x:c>
      <x:c r="C446" t="str">
        <x:f>LEFT(Plan_Raw!B446,10)</x:f>
        <x:v>2026-01-03</x:v>
      </x:c>
      <x:c r="D446" t="str">
        <x:f>Plan_Raw!F446</x:f>
        <x:v>SFMTA</x:v>
      </x:c>
      <x:c r="E446" t="str">
        <x:f>Plan_Raw!E446</x:f>
        <x:v>Special Assistant 6</x:v>
      </x:c>
      <x:c r="F446" t="str">
        <x:f>Plan_Raw!C446</x:f>
        <x:v>1365C</x:v>
      </x:c>
      <x:c r="G446" s="50" t="n">
        <x:f>IF(Plan_Raw!G446="","",IFERROR(VALUE(Plan_Raw!G446),""))</x:f>
        <x:v>41.225</x:v>
      </x:c>
      <x:c r="H446" t="str">
        <x:f>Plan_Raw!AH446</x:f>
        <x:v>1365|SFMTA|2026-01-03</x:v>
      </x:c>
      <x:c r="I446" t="n">
        <x:f>COUNTIF(Rates_Raw!$AF$5:$AF$464,H446)</x:f>
        <x:v>1</x:v>
      </x:c>
      <x:c r="J446" t="str">
        <x:f>IF(I446=1,_xlfn.XLOOKUP(H446,Rates_Raw!$AF$5:$AF$464,Rates_Raw!$E$5:$E$464,""),"")</x:f>
        <x:v>Special Assistant 6</x:v>
      </x:c>
      <x:c r="K446" t="n">
        <x:f>IF(I446=1,_xlfn.XLOOKUP(H446,Rates_Raw!$AF$5:$AF$464,Rates_Raw!$F$5:$F$464,""),"")</x:f>
        <x:v>21</x:v>
      </x:c>
      <x:c r="L446" s="50" t="n">
        <x:f>IF(I446=1,IFERROR(VALUE(SUBSTITUTE(_xlfn.XLOOKUP(H446,Rates_Raw!$AF$5:$AF$464,Rates_Raw!$L$5:$L$464,""),"$","")),""),"")</x:f>
        <x:v>41.225</x:v>
      </x:c>
      <x:c r="M446" s="50" t="n">
        <x:f>IF(OR(G446="",L446=""),"",ROUND(G446-L446,4))</x:f>
        <x:v>0</x:v>
      </x:c>
      <x:c r="N446" t="str">
        <x:f>IF(I446=0,"NO MATCH",IF(I446&gt;1,"AMBIGUOUS",IF(EXACT(TRIM(E446),TRIM(J446)),"EXACT","TITLE VARIANT")))</x:f>
        <x:v>EXACT</x:v>
      </x:c>
      <x:c r="O446" t="str">
        <x:f>IF(I446&lt;&gt;1,"NOT TESTED",IF(OR(G446="",L446=""),"MISSING",IF(ABS(M446)&lt;=Guide!$B$16,"PASS","REVIEW")))</x:f>
        <x:v>PASS</x:v>
      </x:c>
      <x:c r="P446" s="52" t="n">
        <x:f>IF(I446=1,IFERROR(VALUE(SUBSTITUTE(SUBSTITUTE(_xlfn.XLOOKUP(H446,Rates_Raw!$AF$5:$AF$464,Rates_Raw!$I$5:$I$464,""),"$",""),",","")),""),"")</x:f>
        <x:v>3298</x:v>
      </x:c>
      <x:c r="Q446" s="52" t="n">
        <x:f>IF(P446="","",P446*Guide!$B$15)</x:f>
        <x:v>85748</x:v>
      </x:c>
      <x:c r="R446" t="str">
        <x:f>IF(I446=0,"UNMATCHED",IF(I446&gt;1,"DUPLICATE KEY",IF(OR(N446="TITLE VARIANT",O446="REVIEW",O446="MISSING"),"REVIEW","VERIFIED")))</x:f>
        <x:v>VERIFIED</x:v>
      </x:c>
      <x:c r="S446" s="46" t="str">
        <x:v>Not Reviewed</x:v>
      </x:c>
      <x:c r="T446" s="48"/>
    </x:row>
    <x:row r="447">
      <x:c r="A447" t="n">
        <x:f>Plan_Raw!A447</x:f>
        <x:v>2028</x:v>
      </x:c>
      <x:c r="B447" t="str">
        <x:f>Plan_Raw!D447</x:f>
        <x:v>1365</x:v>
      </x:c>
      <x:c r="C447" t="str">
        <x:f>LEFT(Plan_Raw!B447,10)</x:f>
        <x:v>2026-07-01</x:v>
      </x:c>
      <x:c r="D447" t="str">
        <x:f>Plan_Raw!F447</x:f>
        <x:v>COMMN</x:v>
      </x:c>
      <x:c r="E447" t="str">
        <x:f>Plan_Raw!E447</x:f>
        <x:v>Special Assistant 6</x:v>
      </x:c>
      <x:c r="F447" t="str">
        <x:f>Plan_Raw!C447</x:f>
        <x:v>1365D</x:v>
      </x:c>
      <x:c r="G447" s="50" t="n">
        <x:f>IF(Plan_Raw!G447="","",IFERROR(VALUE(Plan_Raw!G447),""))</x:f>
        <x:v>42.05</x:v>
      </x:c>
      <x:c r="H447" t="str">
        <x:f>Plan_Raw!AH447</x:f>
        <x:v>1365|COMMN|2026-07-01</x:v>
      </x:c>
      <x:c r="I447" t="n">
        <x:f>COUNTIF(Rates_Raw!$AF$5:$AF$464,H447)</x:f>
        <x:v>0</x:v>
      </x:c>
      <x:c r="J447" t="str">
        <x:f>IF(I447=1,_xlfn.XLOOKUP(H447,Rates_Raw!$AF$5:$AF$464,Rates_Raw!$E$5:$E$464,""),"")</x:f>
      </x:c>
      <x:c r="K447" t="str">
        <x:f>IF(I447=1,_xlfn.XLOOKUP(H447,Rates_Raw!$AF$5:$AF$464,Rates_Raw!$F$5:$F$464,""),"")</x:f>
      </x:c>
      <x:c r="L447" s="50" t="str">
        <x:f>IF(I447=1,IFERROR(VALUE(SUBSTITUTE(_xlfn.XLOOKUP(H447,Rates_Raw!$AF$5:$AF$464,Rates_Raw!$L$5:$L$464,""),"$","")),""),"")</x:f>
      </x:c>
      <x:c r="M447" s="50" t="str">
        <x:f>IF(OR(G447="",L447=""),"",ROUND(G447-L447,4))</x:f>
      </x:c>
      <x:c r="N447" t="str">
        <x:f>IF(I447=0,"NO MATCH",IF(I447&gt;1,"AMBIGUOUS",IF(EXACT(TRIM(E447),TRIM(J447)),"EXACT","TITLE VARIANT")))</x:f>
        <x:v>NO MATCH</x:v>
      </x:c>
      <x:c r="O447" t="str">
        <x:f>IF(I447&lt;&gt;1,"NOT TESTED",IF(OR(G447="",L447=""),"MISSING",IF(ABS(M447)&lt;=Guide!$B$16,"PASS","REVIEW")))</x:f>
        <x:v>NOT TESTED</x:v>
      </x:c>
      <x:c r="P447" s="52" t="str">
        <x:f>IF(I447=1,IFERROR(VALUE(SUBSTITUTE(SUBSTITUTE(_xlfn.XLOOKUP(H447,Rates_Raw!$AF$5:$AF$464,Rates_Raw!$I$5:$I$464,""),"$",""),",","")),""),"")</x:f>
      </x:c>
      <x:c r="Q447" s="52" t="str">
        <x:f>IF(P447="","",P447*Guide!$B$15)</x:f>
      </x:c>
      <x:c r="R447" t="str">
        <x:f>IF(I447=0,"UNMATCHED",IF(I447&gt;1,"DUPLICATE KEY",IF(OR(N447="TITLE VARIANT",O447="REVIEW",O447="MISSING"),"REVIEW","VERIFIED")))</x:f>
        <x:v>UNMATCHED</x:v>
      </x:c>
      <x:c r="S447" s="46" t="str">
        <x:v>Not Reviewed</x:v>
      </x:c>
      <x:c r="T447" s="48"/>
    </x:row>
    <x:row r="448">
      <x:c r="A448" t="n">
        <x:f>Plan_Raw!A448</x:f>
        <x:v>2040</x:v>
      </x:c>
      <x:c r="B448" t="str">
        <x:f>Plan_Raw!D448</x:f>
        <x:v>1365</x:v>
      </x:c>
      <x:c r="C448" t="str">
        <x:f>LEFT(Plan_Raw!B448,10)</x:f>
        <x:v>2026-07-01</x:v>
      </x:c>
      <x:c r="D448" t="str">
        <x:f>Plan_Raw!F448</x:f>
        <x:v>SFMTA</x:v>
      </x:c>
      <x:c r="E448" t="str">
        <x:f>Plan_Raw!E448</x:f>
        <x:v>Special Assistant 6</x:v>
      </x:c>
      <x:c r="F448" t="str">
        <x:f>Plan_Raw!C448</x:f>
        <x:v>1365D</x:v>
      </x:c>
      <x:c r="G448" s="50" t="n">
        <x:f>IF(Plan_Raw!G448="","",IFERROR(VALUE(Plan_Raw!G448),""))</x:f>
        <x:v>42.05</x:v>
      </x:c>
      <x:c r="H448" t="str">
        <x:f>Plan_Raw!AH448</x:f>
        <x:v>1365|SFMTA|2026-07-01</x:v>
      </x:c>
      <x:c r="I448" t="n">
        <x:f>COUNTIF(Rates_Raw!$AF$5:$AF$464,H448)</x:f>
        <x:v>0</x:v>
      </x:c>
      <x:c r="J448" t="str">
        <x:f>IF(I448=1,_xlfn.XLOOKUP(H448,Rates_Raw!$AF$5:$AF$464,Rates_Raw!$E$5:$E$464,""),"")</x:f>
      </x:c>
      <x:c r="K448" t="str">
        <x:f>IF(I448=1,_xlfn.XLOOKUP(H448,Rates_Raw!$AF$5:$AF$464,Rates_Raw!$F$5:$F$464,""),"")</x:f>
      </x:c>
      <x:c r="L448" s="50" t="str">
        <x:f>IF(I448=1,IFERROR(VALUE(SUBSTITUTE(_xlfn.XLOOKUP(H448,Rates_Raw!$AF$5:$AF$464,Rates_Raw!$L$5:$L$464,""),"$","")),""),"")</x:f>
      </x:c>
      <x:c r="M448" s="50" t="str">
        <x:f>IF(OR(G448="",L448=""),"",ROUND(G448-L448,4))</x:f>
      </x:c>
      <x:c r="N448" t="str">
        <x:f>IF(I448=0,"NO MATCH",IF(I448&gt;1,"AMBIGUOUS",IF(EXACT(TRIM(E448),TRIM(J448)),"EXACT","TITLE VARIANT")))</x:f>
        <x:v>NO MATCH</x:v>
      </x:c>
      <x:c r="O448" t="str">
        <x:f>IF(I448&lt;&gt;1,"NOT TESTED",IF(OR(G448="",L448=""),"MISSING",IF(ABS(M448)&lt;=Guide!$B$16,"PASS","REVIEW")))</x:f>
        <x:v>NOT TESTED</x:v>
      </x:c>
      <x:c r="P448" s="52" t="str">
        <x:f>IF(I448=1,IFERROR(VALUE(SUBSTITUTE(SUBSTITUTE(_xlfn.XLOOKUP(H448,Rates_Raw!$AF$5:$AF$464,Rates_Raw!$I$5:$I$464,""),"$",""),",","")),""),"")</x:f>
      </x:c>
      <x:c r="Q448" s="52" t="str">
        <x:f>IF(P448="","",P448*Guide!$B$15)</x:f>
      </x:c>
      <x:c r="R448" t="str">
        <x:f>IF(I448=0,"UNMATCHED",IF(I448&gt;1,"DUPLICATE KEY",IF(OR(N448="TITLE VARIANT",O448="REVIEW",O448="MISSING"),"REVIEW","VERIFIED")))</x:f>
        <x:v>UNMATCHED</x:v>
      </x:c>
      <x:c r="S448" s="46" t="str">
        <x:v>Not Reviewed</x:v>
      </x:c>
      <x:c r="T448" s="48"/>
    </x:row>
    <x:row r="449">
      <x:c r="A449" t="n">
        <x:f>Plan_Raw!A449</x:f>
        <x:v>2047</x:v>
      </x:c>
      <x:c r="B449" t="str">
        <x:f>Plan_Raw!D449</x:f>
        <x:v>1366</x:v>
      </x:c>
      <x:c r="C449" t="str">
        <x:f>LEFT(Plan_Raw!B449,10)</x:f>
        <x:v>2024-01-06</x:v>
      </x:c>
      <x:c r="D449" t="str">
        <x:f>Plan_Raw!F449</x:f>
        <x:v>COMMN</x:v>
      </x:c>
      <x:c r="E449" t="str">
        <x:f>Plan_Raw!E449</x:f>
        <x:v>Special Assistant VII</x:v>
      </x:c>
      <x:c r="F449" t="str">
        <x:f>Plan_Raw!C449</x:f>
        <x:v>1366Y</x:v>
      </x:c>
      <x:c r="G449" s="50" t="n">
        <x:f>IF(Plan_Raw!G449="","",IFERROR(VALUE(Plan_Raw!G449),""))</x:f>
        <x:v>41.5875</x:v>
      </x:c>
      <x:c r="H449" t="str">
        <x:f>Plan_Raw!AH449</x:f>
        <x:v>1366|COMMN|2024-01-06</x:v>
      </x:c>
      <x:c r="I449" t="n">
        <x:f>COUNTIF(Rates_Raw!$AF$5:$AF$464,H449)</x:f>
        <x:v>1</x:v>
      </x:c>
      <x:c r="J449" t="str">
        <x:f>IF(I449=1,_xlfn.XLOOKUP(H449,Rates_Raw!$AF$5:$AF$464,Rates_Raw!$E$5:$E$464,""),"")</x:f>
        <x:v>Special Assistant VII</x:v>
      </x:c>
      <x:c r="K449" t="n">
        <x:f>IF(I449=1,_xlfn.XLOOKUP(H449,Rates_Raw!$AF$5:$AF$464,Rates_Raw!$F$5:$F$464,""),"")</x:f>
        <x:v>21</x:v>
      </x:c>
      <x:c r="L449" s="50" t="n">
        <x:f>IF(I449=1,IFERROR(VALUE(SUBSTITUTE(_xlfn.XLOOKUP(H449,Rates_Raw!$AF$5:$AF$464,Rates_Raw!$L$5:$L$464,""),"$","")),""),"")</x:f>
        <x:v>41.5875</x:v>
      </x:c>
      <x:c r="M449" s="50" t="n">
        <x:f>IF(OR(G449="",L449=""),"",ROUND(G449-L449,4))</x:f>
        <x:v>0</x:v>
      </x:c>
      <x:c r="N449" t="str">
        <x:f>IF(I449=0,"NO MATCH",IF(I449&gt;1,"AMBIGUOUS",IF(EXACT(TRIM(E449),TRIM(J449)),"EXACT","TITLE VARIANT")))</x:f>
        <x:v>EXACT</x:v>
      </x:c>
      <x:c r="O449" t="str">
        <x:f>IF(I449&lt;&gt;1,"NOT TESTED",IF(OR(G449="",L449=""),"MISSING",IF(ABS(M449)&lt;=Guide!$B$16,"PASS","REVIEW")))</x:f>
        <x:v>PASS</x:v>
      </x:c>
      <x:c r="P449" s="52" t="n">
        <x:f>IF(I449=1,IFERROR(VALUE(SUBSTITUTE(SUBSTITUTE(_xlfn.XLOOKUP(H449,Rates_Raw!$AF$5:$AF$464,Rates_Raw!$I$5:$I$464,""),"$",""),",","")),""),"")</x:f>
        <x:v>3327</x:v>
      </x:c>
      <x:c r="Q449" s="52" t="n">
        <x:f>IF(P449="","",P449*Guide!$B$15)</x:f>
        <x:v>86502</x:v>
      </x:c>
      <x:c r="R449" t="str">
        <x:f>IF(I449=0,"UNMATCHED",IF(I449&gt;1,"DUPLICATE KEY",IF(OR(N449="TITLE VARIANT",O449="REVIEW",O449="MISSING"),"REVIEW","VERIFIED")))</x:f>
        <x:v>VERIFIED</x:v>
      </x:c>
      <x:c r="S449" s="46" t="str">
        <x:v>Not Reviewed</x:v>
      </x:c>
      <x:c r="T449" s="48"/>
    </x:row>
    <x:row r="450">
      <x:c r="A450" t="n">
        <x:f>Plan_Raw!A450</x:f>
        <x:v>2059</x:v>
      </x:c>
      <x:c r="B450" t="str">
        <x:f>Plan_Raw!D450</x:f>
        <x:v>1366</x:v>
      </x:c>
      <x:c r="C450" t="str">
        <x:f>LEFT(Plan_Raw!B450,10)</x:f>
        <x:v>2024-01-06</x:v>
      </x:c>
      <x:c r="D450" t="str">
        <x:f>Plan_Raw!F450</x:f>
        <x:v>SFMTA</x:v>
      </x:c>
      <x:c r="E450" t="str">
        <x:f>Plan_Raw!E450</x:f>
        <x:v>Special Assistant VII</x:v>
      </x:c>
      <x:c r="F450" t="str">
        <x:f>Plan_Raw!C450</x:f>
        <x:v>1366Y</x:v>
      </x:c>
      <x:c r="G450" s="50" t="n">
        <x:f>IF(Plan_Raw!G450="","",IFERROR(VALUE(Plan_Raw!G450),""))</x:f>
        <x:v>41.5875</x:v>
      </x:c>
      <x:c r="H450" t="str">
        <x:f>Plan_Raw!AH450</x:f>
        <x:v>1366|SFMTA|2024-01-06</x:v>
      </x:c>
      <x:c r="I450" t="n">
        <x:f>COUNTIF(Rates_Raw!$AF$5:$AF$464,H450)</x:f>
        <x:v>1</x:v>
      </x:c>
      <x:c r="J450" t="str">
        <x:f>IF(I450=1,_xlfn.XLOOKUP(H450,Rates_Raw!$AF$5:$AF$464,Rates_Raw!$E$5:$E$464,""),"")</x:f>
        <x:v>Special Assistant VII</x:v>
      </x:c>
      <x:c r="K450" t="n">
        <x:f>IF(I450=1,_xlfn.XLOOKUP(H450,Rates_Raw!$AF$5:$AF$464,Rates_Raw!$F$5:$F$464,""),"")</x:f>
        <x:v>21</x:v>
      </x:c>
      <x:c r="L450" s="50" t="n">
        <x:f>IF(I450=1,IFERROR(VALUE(SUBSTITUTE(_xlfn.XLOOKUP(H450,Rates_Raw!$AF$5:$AF$464,Rates_Raw!$L$5:$L$464,""),"$","")),""),"")</x:f>
        <x:v>41.5875</x:v>
      </x:c>
      <x:c r="M450" s="50" t="n">
        <x:f>IF(OR(G450="",L450=""),"",ROUND(G450-L450,4))</x:f>
        <x:v>0</x:v>
      </x:c>
      <x:c r="N450" t="str">
        <x:f>IF(I450=0,"NO MATCH",IF(I450&gt;1,"AMBIGUOUS",IF(EXACT(TRIM(E450),TRIM(J450)),"EXACT","TITLE VARIANT")))</x:f>
        <x:v>EXACT</x:v>
      </x:c>
      <x:c r="O450" t="str">
        <x:f>IF(I450&lt;&gt;1,"NOT TESTED",IF(OR(G450="",L450=""),"MISSING",IF(ABS(M450)&lt;=Guide!$B$16,"PASS","REVIEW")))</x:f>
        <x:v>PASS</x:v>
      </x:c>
      <x:c r="P450" s="52" t="n">
        <x:f>IF(I450=1,IFERROR(VALUE(SUBSTITUTE(SUBSTITUTE(_xlfn.XLOOKUP(H450,Rates_Raw!$AF$5:$AF$464,Rates_Raw!$I$5:$I$464,""),"$",""),",","")),""),"")</x:f>
        <x:v>3327</x:v>
      </x:c>
      <x:c r="Q450" s="52" t="n">
        <x:f>IF(P450="","",P450*Guide!$B$15)</x:f>
        <x:v>86502</x:v>
      </x:c>
      <x:c r="R450" t="str">
        <x:f>IF(I450=0,"UNMATCHED",IF(I450&gt;1,"DUPLICATE KEY",IF(OR(N450="TITLE VARIANT",O450="REVIEW",O450="MISSING"),"REVIEW","VERIFIED")))</x:f>
        <x:v>VERIFIED</x:v>
      </x:c>
      <x:c r="S450" s="46" t="str">
        <x:v>Not Reviewed</x:v>
      </x:c>
      <x:c r="T450" s="48"/>
    </x:row>
    <x:row r="451">
      <x:c r="A451" t="n">
        <x:f>Plan_Raw!A451</x:f>
        <x:v>2048</x:v>
      </x:c>
      <x:c r="B451" t="str">
        <x:f>Plan_Raw!D451</x:f>
        <x:v>1366</x:v>
      </x:c>
      <x:c r="C451" t="str">
        <x:f>LEFT(Plan_Raw!B451,10)</x:f>
        <x:v>2024-07-01</x:v>
      </x:c>
      <x:c r="D451" t="str">
        <x:f>Plan_Raw!F451</x:f>
        <x:v>COMMN</x:v>
      </x:c>
      <x:c r="E451" t="str">
        <x:f>Plan_Raw!E451</x:f>
        <x:v>Special Assistant VII</x:v>
      </x:c>
      <x:c r="F451" t="str">
        <x:f>Plan_Raw!C451</x:f>
        <x:v>1366Z</x:v>
      </x:c>
      <x:c r="G451" s="50" t="n">
        <x:f>IF(Plan_Raw!G451="","",IFERROR(VALUE(Plan_Raw!G451),""))</x:f>
        <x:v>42.2125</x:v>
      </x:c>
      <x:c r="H451" t="str">
        <x:f>Plan_Raw!AH451</x:f>
        <x:v>1366|COMMN|2024-07-01</x:v>
      </x:c>
      <x:c r="I451" t="n">
        <x:f>COUNTIF(Rates_Raw!$AF$5:$AF$464,H451)</x:f>
        <x:v>1</x:v>
      </x:c>
      <x:c r="J451" t="str">
        <x:f>IF(I451=1,_xlfn.XLOOKUP(H451,Rates_Raw!$AF$5:$AF$464,Rates_Raw!$E$5:$E$464,""),"")</x:f>
        <x:v>Special Assistant VII</x:v>
      </x:c>
      <x:c r="K451" t="n">
        <x:f>IF(I451=1,_xlfn.XLOOKUP(H451,Rates_Raw!$AF$5:$AF$464,Rates_Raw!$F$5:$F$464,""),"")</x:f>
        <x:v>21</x:v>
      </x:c>
      <x:c r="L451" s="50" t="n">
        <x:f>IF(I451=1,IFERROR(VALUE(SUBSTITUTE(_xlfn.XLOOKUP(H451,Rates_Raw!$AF$5:$AF$464,Rates_Raw!$L$5:$L$464,""),"$","")),""),"")</x:f>
        <x:v>42.2125</x:v>
      </x:c>
      <x:c r="M451" s="50" t="n">
        <x:f>IF(OR(G451="",L451=""),"",ROUND(G451-L451,4))</x:f>
        <x:v>0</x:v>
      </x:c>
      <x:c r="N451" t="str">
        <x:f>IF(I451=0,"NO MATCH",IF(I451&gt;1,"AMBIGUOUS",IF(EXACT(TRIM(E451),TRIM(J451)),"EXACT","TITLE VARIANT")))</x:f>
        <x:v>EXACT</x:v>
      </x:c>
      <x:c r="O451" t="str">
        <x:f>IF(I451&lt;&gt;1,"NOT TESTED",IF(OR(G451="",L451=""),"MISSING",IF(ABS(M451)&lt;=Guide!$B$16,"PASS","REVIEW")))</x:f>
        <x:v>PASS</x:v>
      </x:c>
      <x:c r="P451" s="52" t="n">
        <x:f>IF(I451=1,IFERROR(VALUE(SUBSTITUTE(SUBSTITUTE(_xlfn.XLOOKUP(H451,Rates_Raw!$AF$5:$AF$464,Rates_Raw!$I$5:$I$464,""),"$",""),",","")),""),"")</x:f>
        <x:v>3377</x:v>
      </x:c>
      <x:c r="Q451" s="52" t="n">
        <x:f>IF(P451="","",P451*Guide!$B$15)</x:f>
        <x:v>87802</x:v>
      </x:c>
      <x:c r="R451" t="str">
        <x:f>IF(I451=0,"UNMATCHED",IF(I451&gt;1,"DUPLICATE KEY",IF(OR(N451="TITLE VARIANT",O451="REVIEW",O451="MISSING"),"REVIEW","VERIFIED")))</x:f>
        <x:v>VERIFIED</x:v>
      </x:c>
      <x:c r="S451" s="46" t="str">
        <x:v>Not Reviewed</x:v>
      </x:c>
      <x:c r="T451" s="48"/>
    </x:row>
    <x:row r="452">
      <x:c r="A452" t="n">
        <x:f>Plan_Raw!A452</x:f>
        <x:v>2060</x:v>
      </x:c>
      <x:c r="B452" t="str">
        <x:f>Plan_Raw!D452</x:f>
        <x:v>1366</x:v>
      </x:c>
      <x:c r="C452" t="str">
        <x:f>LEFT(Plan_Raw!B452,10)</x:f>
        <x:v>2024-07-01</x:v>
      </x:c>
      <x:c r="D452" t="str">
        <x:f>Plan_Raw!F452</x:f>
        <x:v>SFMTA</x:v>
      </x:c>
      <x:c r="E452" t="str">
        <x:f>Plan_Raw!E452</x:f>
        <x:v>Special Assistant VII</x:v>
      </x:c>
      <x:c r="F452" t="str">
        <x:f>Plan_Raw!C452</x:f>
        <x:v>1366Z</x:v>
      </x:c>
      <x:c r="G452" s="50" t="n">
        <x:f>IF(Plan_Raw!G452="","",IFERROR(VALUE(Plan_Raw!G452),""))</x:f>
        <x:v>42.2125</x:v>
      </x:c>
      <x:c r="H452" t="str">
        <x:f>Plan_Raw!AH452</x:f>
        <x:v>1366|SFMTA|2024-07-01</x:v>
      </x:c>
      <x:c r="I452" t="n">
        <x:f>COUNTIF(Rates_Raw!$AF$5:$AF$464,H452)</x:f>
        <x:v>1</x:v>
      </x:c>
      <x:c r="J452" t="str">
        <x:f>IF(I452=1,_xlfn.XLOOKUP(H452,Rates_Raw!$AF$5:$AF$464,Rates_Raw!$E$5:$E$464,""),"")</x:f>
        <x:v>Special Assistant VII</x:v>
      </x:c>
      <x:c r="K452" t="n">
        <x:f>IF(I452=1,_xlfn.XLOOKUP(H452,Rates_Raw!$AF$5:$AF$464,Rates_Raw!$F$5:$F$464,""),"")</x:f>
        <x:v>21</x:v>
      </x:c>
      <x:c r="L452" s="50" t="n">
        <x:f>IF(I452=1,IFERROR(VALUE(SUBSTITUTE(_xlfn.XLOOKUP(H452,Rates_Raw!$AF$5:$AF$464,Rates_Raw!$L$5:$L$464,""),"$","")),""),"")</x:f>
        <x:v>42.2125</x:v>
      </x:c>
      <x:c r="M452" s="50" t="n">
        <x:f>IF(OR(G452="",L452=""),"",ROUND(G452-L452,4))</x:f>
        <x:v>0</x:v>
      </x:c>
      <x:c r="N452" t="str">
        <x:f>IF(I452=0,"NO MATCH",IF(I452&gt;1,"AMBIGUOUS",IF(EXACT(TRIM(E452),TRIM(J452)),"EXACT","TITLE VARIANT")))</x:f>
        <x:v>EXACT</x:v>
      </x:c>
      <x:c r="O452" t="str">
        <x:f>IF(I452&lt;&gt;1,"NOT TESTED",IF(OR(G452="",L452=""),"MISSING",IF(ABS(M452)&lt;=Guide!$B$16,"PASS","REVIEW")))</x:f>
        <x:v>PASS</x:v>
      </x:c>
      <x:c r="P452" s="52" t="n">
        <x:f>IF(I452=1,IFERROR(VALUE(SUBSTITUTE(SUBSTITUTE(_xlfn.XLOOKUP(H452,Rates_Raw!$AF$5:$AF$464,Rates_Raw!$I$5:$I$464,""),"$",""),",","")),""),"")</x:f>
        <x:v>3377</x:v>
      </x:c>
      <x:c r="Q452" s="52" t="n">
        <x:f>IF(P452="","",P452*Guide!$B$15)</x:f>
        <x:v>87802</x:v>
      </x:c>
      <x:c r="R452" t="str">
        <x:f>IF(I452=0,"UNMATCHED",IF(I452&gt;1,"DUPLICATE KEY",IF(OR(N452="TITLE VARIANT",O452="REVIEW",O452="MISSING"),"REVIEW","VERIFIED")))</x:f>
        <x:v>VERIFIED</x:v>
      </x:c>
      <x:c r="S452" s="46" t="str">
        <x:v>Not Reviewed</x:v>
      </x:c>
      <x:c r="T452" s="48"/>
    </x:row>
    <x:row r="453">
      <x:c r="A453" t="n">
        <x:f>Plan_Raw!A453</x:f>
        <x:v>2049</x:v>
      </x:c>
      <x:c r="B453" t="str">
        <x:f>Plan_Raw!D453</x:f>
        <x:v>1366</x:v>
      </x:c>
      <x:c r="C453" t="str">
        <x:f>LEFT(Plan_Raw!B453,10)</x:f>
        <x:v>2025-01-04</x:v>
      </x:c>
      <x:c r="D453" t="str">
        <x:f>Plan_Raw!F453</x:f>
        <x:v>COMMN</x:v>
      </x:c>
      <x:c r="E453" t="str">
        <x:f>Plan_Raw!E453</x:f>
        <x:v>Special Assistant VII</x:v>
      </x:c>
      <x:c r="F453" t="str">
        <x:f>Plan_Raw!C453</x:f>
        <x:v>1366A</x:v>
      </x:c>
      <x:c r="G453" s="50" t="n">
        <x:f>IF(Plan_Raw!G453="","",IFERROR(VALUE(Plan_Raw!G453),""))</x:f>
        <x:v>42.85</x:v>
      </x:c>
      <x:c r="H453" t="str">
        <x:f>Plan_Raw!AH453</x:f>
        <x:v>1366|COMMN|2025-01-04</x:v>
      </x:c>
      <x:c r="I453" t="n">
        <x:f>COUNTIF(Rates_Raw!$AF$5:$AF$464,H453)</x:f>
        <x:v>1</x:v>
      </x:c>
      <x:c r="J453" t="str">
        <x:f>IF(I453=1,_xlfn.XLOOKUP(H453,Rates_Raw!$AF$5:$AF$464,Rates_Raw!$E$5:$E$464,""),"")</x:f>
        <x:v>Special Assistant VII</x:v>
      </x:c>
      <x:c r="K453" t="n">
        <x:f>IF(I453=1,_xlfn.XLOOKUP(H453,Rates_Raw!$AF$5:$AF$464,Rates_Raw!$F$5:$F$464,""),"")</x:f>
        <x:v>21</x:v>
      </x:c>
      <x:c r="L453" s="50" t="n">
        <x:f>IF(I453=1,IFERROR(VALUE(SUBSTITUTE(_xlfn.XLOOKUP(H453,Rates_Raw!$AF$5:$AF$464,Rates_Raw!$L$5:$L$464,""),"$","")),""),"")</x:f>
        <x:v>42.85</x:v>
      </x:c>
      <x:c r="M453" s="50" t="n">
        <x:f>IF(OR(G453="",L453=""),"",ROUND(G453-L453,4))</x:f>
        <x:v>0</x:v>
      </x:c>
      <x:c r="N453" t="str">
        <x:f>IF(I453=0,"NO MATCH",IF(I453&gt;1,"AMBIGUOUS",IF(EXACT(TRIM(E453),TRIM(J453)),"EXACT","TITLE VARIANT")))</x:f>
        <x:v>EXACT</x:v>
      </x:c>
      <x:c r="O453" t="str">
        <x:f>IF(I453&lt;&gt;1,"NOT TESTED",IF(OR(G453="",L453=""),"MISSING",IF(ABS(M453)&lt;=Guide!$B$16,"PASS","REVIEW")))</x:f>
        <x:v>PASS</x:v>
      </x:c>
      <x:c r="P453" s="52" t="n">
        <x:f>IF(I453=1,IFERROR(VALUE(SUBSTITUTE(SUBSTITUTE(_xlfn.XLOOKUP(H453,Rates_Raw!$AF$5:$AF$464,Rates_Raw!$I$5:$I$464,""),"$",""),",","")),""),"")</x:f>
        <x:v>3428</x:v>
      </x:c>
      <x:c r="Q453" s="52" t="n">
        <x:f>IF(P453="","",P453*Guide!$B$15)</x:f>
        <x:v>89128</x:v>
      </x:c>
      <x:c r="R453" t="str">
        <x:f>IF(I453=0,"UNMATCHED",IF(I453&gt;1,"DUPLICATE KEY",IF(OR(N453="TITLE VARIANT",O453="REVIEW",O453="MISSING"),"REVIEW","VERIFIED")))</x:f>
        <x:v>VERIFIED</x:v>
      </x:c>
      <x:c r="S453" s="46" t="str">
        <x:v>Not Reviewed</x:v>
      </x:c>
      <x:c r="T453" s="48"/>
    </x:row>
    <x:row r="454">
      <x:c r="A454" t="n">
        <x:f>Plan_Raw!A454</x:f>
        <x:v>2061</x:v>
      </x:c>
      <x:c r="B454" t="str">
        <x:f>Plan_Raw!D454</x:f>
        <x:v>1366</x:v>
      </x:c>
      <x:c r="C454" t="str">
        <x:f>LEFT(Plan_Raw!B454,10)</x:f>
        <x:v>2025-01-04</x:v>
      </x:c>
      <x:c r="D454" t="str">
        <x:f>Plan_Raw!F454</x:f>
        <x:v>SFMTA</x:v>
      </x:c>
      <x:c r="E454" t="str">
        <x:f>Plan_Raw!E454</x:f>
        <x:v>Special Assistant VII</x:v>
      </x:c>
      <x:c r="F454" t="str">
        <x:f>Plan_Raw!C454</x:f>
        <x:v>1366A</x:v>
      </x:c>
      <x:c r="G454" s="50" t="n">
        <x:f>IF(Plan_Raw!G454="","",IFERROR(VALUE(Plan_Raw!G454),""))</x:f>
        <x:v>42.85</x:v>
      </x:c>
      <x:c r="H454" t="str">
        <x:f>Plan_Raw!AH454</x:f>
        <x:v>1366|SFMTA|2025-01-04</x:v>
      </x:c>
      <x:c r="I454" t="n">
        <x:f>COUNTIF(Rates_Raw!$AF$5:$AF$464,H454)</x:f>
        <x:v>1</x:v>
      </x:c>
      <x:c r="J454" t="str">
        <x:f>IF(I454=1,_xlfn.XLOOKUP(H454,Rates_Raw!$AF$5:$AF$464,Rates_Raw!$E$5:$E$464,""),"")</x:f>
        <x:v>Special Assistant VII</x:v>
      </x:c>
      <x:c r="K454" t="n">
        <x:f>IF(I454=1,_xlfn.XLOOKUP(H454,Rates_Raw!$AF$5:$AF$464,Rates_Raw!$F$5:$F$464,""),"")</x:f>
        <x:v>21</x:v>
      </x:c>
      <x:c r="L454" s="50" t="n">
        <x:f>IF(I454=1,IFERROR(VALUE(SUBSTITUTE(_xlfn.XLOOKUP(H454,Rates_Raw!$AF$5:$AF$464,Rates_Raw!$L$5:$L$464,""),"$","")),""),"")</x:f>
        <x:v>42.85</x:v>
      </x:c>
      <x:c r="M454" s="50" t="n">
        <x:f>IF(OR(G454="",L454=""),"",ROUND(G454-L454,4))</x:f>
        <x:v>0</x:v>
      </x:c>
      <x:c r="N454" t="str">
        <x:f>IF(I454=0,"NO MATCH",IF(I454&gt;1,"AMBIGUOUS",IF(EXACT(TRIM(E454),TRIM(J454)),"EXACT","TITLE VARIANT")))</x:f>
        <x:v>EXACT</x:v>
      </x:c>
      <x:c r="O454" t="str">
        <x:f>IF(I454&lt;&gt;1,"NOT TESTED",IF(OR(G454="",L454=""),"MISSING",IF(ABS(M454)&lt;=Guide!$B$16,"PASS","REVIEW")))</x:f>
        <x:v>PASS</x:v>
      </x:c>
      <x:c r="P454" s="52" t="n">
        <x:f>IF(I454=1,IFERROR(VALUE(SUBSTITUTE(SUBSTITUTE(_xlfn.XLOOKUP(H454,Rates_Raw!$AF$5:$AF$464,Rates_Raw!$I$5:$I$464,""),"$",""),",","")),""),"")</x:f>
        <x:v>3428</x:v>
      </x:c>
      <x:c r="Q454" s="52" t="n">
        <x:f>IF(P454="","",P454*Guide!$B$15)</x:f>
        <x:v>89128</x:v>
      </x:c>
      <x:c r="R454" t="str">
        <x:f>IF(I454=0,"UNMATCHED",IF(I454&gt;1,"DUPLICATE KEY",IF(OR(N454="TITLE VARIANT",O454="REVIEW",O454="MISSING"),"REVIEW","VERIFIED")))</x:f>
        <x:v>VERIFIED</x:v>
      </x:c>
      <x:c r="S454" s="46" t="str">
        <x:v>Not Reviewed</x:v>
      </x:c>
      <x:c r="T454" s="48"/>
    </x:row>
    <x:row r="455">
      <x:c r="A455" t="n">
        <x:f>Plan_Raw!A455</x:f>
        <x:v>2050</x:v>
      </x:c>
      <x:c r="B455" t="str">
        <x:f>Plan_Raw!D455</x:f>
        <x:v>1366</x:v>
      </x:c>
      <x:c r="C455" t="str">
        <x:f>LEFT(Plan_Raw!B455,10)</x:f>
        <x:v>2025-07-01</x:v>
      </x:c>
      <x:c r="D455" t="str">
        <x:f>Plan_Raw!F455</x:f>
        <x:v>COMMN</x:v>
      </x:c>
      <x:c r="E455" t="str">
        <x:f>Plan_Raw!E455</x:f>
        <x:v>Special Assistant 7</x:v>
      </x:c>
      <x:c r="F455" t="str">
        <x:f>Plan_Raw!C455</x:f>
        <x:v>1366B</x:v>
      </x:c>
      <x:c r="G455" s="50" t="n">
        <x:f>IF(Plan_Raw!G455="","",IFERROR(VALUE(Plan_Raw!G455),""))</x:f>
        <x:v>43.7125</x:v>
      </x:c>
      <x:c r="H455" t="str">
        <x:f>Plan_Raw!AH455</x:f>
        <x:v>1366|COMMN|2025-07-01</x:v>
      </x:c>
      <x:c r="I455" t="n">
        <x:f>COUNTIF(Rates_Raw!$AF$5:$AF$464,H455)</x:f>
        <x:v>1</x:v>
      </x:c>
      <x:c r="J455" t="str">
        <x:f>IF(I455=1,_xlfn.XLOOKUP(H455,Rates_Raw!$AF$5:$AF$464,Rates_Raw!$E$5:$E$464,""),"")</x:f>
        <x:v>Special Assistant 7</x:v>
      </x:c>
      <x:c r="K455" t="n">
        <x:f>IF(I455=1,_xlfn.XLOOKUP(H455,Rates_Raw!$AF$5:$AF$464,Rates_Raw!$F$5:$F$464,""),"")</x:f>
        <x:v>21</x:v>
      </x:c>
      <x:c r="L455" s="50" t="n">
        <x:f>IF(I455=1,IFERROR(VALUE(SUBSTITUTE(_xlfn.XLOOKUP(H455,Rates_Raw!$AF$5:$AF$464,Rates_Raw!$L$5:$L$464,""),"$","")),""),"")</x:f>
        <x:v>43.7125</x:v>
      </x:c>
      <x:c r="M455" s="50" t="n">
        <x:f>IF(OR(G455="",L455=""),"",ROUND(G455-L455,4))</x:f>
        <x:v>0</x:v>
      </x:c>
      <x:c r="N455" t="str">
        <x:f>IF(I455=0,"NO MATCH",IF(I455&gt;1,"AMBIGUOUS",IF(EXACT(TRIM(E455),TRIM(J455)),"EXACT","TITLE VARIANT")))</x:f>
        <x:v>EXACT</x:v>
      </x:c>
      <x:c r="O455" t="str">
        <x:f>IF(I455&lt;&gt;1,"NOT TESTED",IF(OR(G455="",L455=""),"MISSING",IF(ABS(M455)&lt;=Guide!$B$16,"PASS","REVIEW")))</x:f>
        <x:v>PASS</x:v>
      </x:c>
      <x:c r="P455" s="52" t="n">
        <x:f>IF(I455=1,IFERROR(VALUE(SUBSTITUTE(SUBSTITUTE(_xlfn.XLOOKUP(H455,Rates_Raw!$AF$5:$AF$464,Rates_Raw!$I$5:$I$464,""),"$",""),",","")),""),"")</x:f>
        <x:v>3497</x:v>
      </x:c>
      <x:c r="Q455" s="52" t="n">
        <x:f>IF(P455="","",P455*Guide!$B$15)</x:f>
        <x:v>90922</x:v>
      </x:c>
      <x:c r="R455" t="str">
        <x:f>IF(I455=0,"UNMATCHED",IF(I455&gt;1,"DUPLICATE KEY",IF(OR(N455="TITLE VARIANT",O455="REVIEW",O455="MISSING"),"REVIEW","VERIFIED")))</x:f>
        <x:v>VERIFIED</x:v>
      </x:c>
      <x:c r="S455" s="46" t="str">
        <x:v>Not Reviewed</x:v>
      </x:c>
      <x:c r="T455" s="48"/>
    </x:row>
    <x:row r="456">
      <x:c r="A456" t="n">
        <x:f>Plan_Raw!A456</x:f>
        <x:v>2062</x:v>
      </x:c>
      <x:c r="B456" t="str">
        <x:f>Plan_Raw!D456</x:f>
        <x:v>1366</x:v>
      </x:c>
      <x:c r="C456" t="str">
        <x:f>LEFT(Plan_Raw!B456,10)</x:f>
        <x:v>2025-07-01</x:v>
      </x:c>
      <x:c r="D456" t="str">
        <x:f>Plan_Raw!F456</x:f>
        <x:v>SFMTA</x:v>
      </x:c>
      <x:c r="E456" t="str">
        <x:f>Plan_Raw!E456</x:f>
        <x:v>Special Assistant 7</x:v>
      </x:c>
      <x:c r="F456" t="str">
        <x:f>Plan_Raw!C456</x:f>
        <x:v>1366B</x:v>
      </x:c>
      <x:c r="G456" s="50" t="n">
        <x:f>IF(Plan_Raw!G456="","",IFERROR(VALUE(Plan_Raw!G456),""))</x:f>
        <x:v>43.7125</x:v>
      </x:c>
      <x:c r="H456" t="str">
        <x:f>Plan_Raw!AH456</x:f>
        <x:v>1366|SFMTA|2025-07-01</x:v>
      </x:c>
      <x:c r="I456" t="n">
        <x:f>COUNTIF(Rates_Raw!$AF$5:$AF$464,H456)</x:f>
        <x:v>1</x:v>
      </x:c>
      <x:c r="J456" t="str">
        <x:f>IF(I456=1,_xlfn.XLOOKUP(H456,Rates_Raw!$AF$5:$AF$464,Rates_Raw!$E$5:$E$464,""),"")</x:f>
        <x:v>Special Assistant 7</x:v>
      </x:c>
      <x:c r="K456" t="n">
        <x:f>IF(I456=1,_xlfn.XLOOKUP(H456,Rates_Raw!$AF$5:$AF$464,Rates_Raw!$F$5:$F$464,""),"")</x:f>
        <x:v>21</x:v>
      </x:c>
      <x:c r="L456" s="50" t="n">
        <x:f>IF(I456=1,IFERROR(VALUE(SUBSTITUTE(_xlfn.XLOOKUP(H456,Rates_Raw!$AF$5:$AF$464,Rates_Raw!$L$5:$L$464,""),"$","")),""),"")</x:f>
        <x:v>43.7125</x:v>
      </x:c>
      <x:c r="M456" s="50" t="n">
        <x:f>IF(OR(G456="",L456=""),"",ROUND(G456-L456,4))</x:f>
        <x:v>0</x:v>
      </x:c>
      <x:c r="N456" t="str">
        <x:f>IF(I456=0,"NO MATCH",IF(I456&gt;1,"AMBIGUOUS",IF(EXACT(TRIM(E456),TRIM(J456)),"EXACT","TITLE VARIANT")))</x:f>
        <x:v>EXACT</x:v>
      </x:c>
      <x:c r="O456" t="str">
        <x:f>IF(I456&lt;&gt;1,"NOT TESTED",IF(OR(G456="",L456=""),"MISSING",IF(ABS(M456)&lt;=Guide!$B$16,"PASS","REVIEW")))</x:f>
        <x:v>PASS</x:v>
      </x:c>
      <x:c r="P456" s="52" t="n">
        <x:f>IF(I456=1,IFERROR(VALUE(SUBSTITUTE(SUBSTITUTE(_xlfn.XLOOKUP(H456,Rates_Raw!$AF$5:$AF$464,Rates_Raw!$I$5:$I$464,""),"$",""),",","")),""),"")</x:f>
        <x:v>3497</x:v>
      </x:c>
      <x:c r="Q456" s="52" t="n">
        <x:f>IF(P456="","",P456*Guide!$B$15)</x:f>
        <x:v>90922</x:v>
      </x:c>
      <x:c r="R456" t="str">
        <x:f>IF(I456=0,"UNMATCHED",IF(I456&gt;1,"DUPLICATE KEY",IF(OR(N456="TITLE VARIANT",O456="REVIEW",O456="MISSING"),"REVIEW","VERIFIED")))</x:f>
        <x:v>VERIFIED</x:v>
      </x:c>
      <x:c r="S456" s="46" t="str">
        <x:v>Not Reviewed</x:v>
      </x:c>
      <x:c r="T456" s="48"/>
    </x:row>
    <x:row r="457">
      <x:c r="A457" t="n">
        <x:f>Plan_Raw!A457</x:f>
        <x:v>2051</x:v>
      </x:c>
      <x:c r="B457" t="str">
        <x:f>Plan_Raw!D457</x:f>
        <x:v>1366</x:v>
      </x:c>
      <x:c r="C457" t="str">
        <x:f>LEFT(Plan_Raw!B457,10)</x:f>
        <x:v>2026-01-03</x:v>
      </x:c>
      <x:c r="D457" t="str">
        <x:f>Plan_Raw!F457</x:f>
        <x:v>COMMN</x:v>
      </x:c>
      <x:c r="E457" t="str">
        <x:f>Plan_Raw!E457</x:f>
        <x:v>Special Assistant 7</x:v>
      </x:c>
      <x:c r="F457" t="str">
        <x:f>Plan_Raw!C457</x:f>
        <x:v>1366C</x:v>
      </x:c>
      <x:c r="G457" s="50" t="n">
        <x:f>IF(Plan_Raw!G457="","",IFERROR(VALUE(Plan_Raw!G457),""))</x:f>
        <x:v>44.3625</x:v>
      </x:c>
      <x:c r="H457" t="str">
        <x:f>Plan_Raw!AH457</x:f>
        <x:v>1366|COMMN|2026-01-03</x:v>
      </x:c>
      <x:c r="I457" t="n">
        <x:f>COUNTIF(Rates_Raw!$AF$5:$AF$464,H457)</x:f>
        <x:v>1</x:v>
      </x:c>
      <x:c r="J457" t="str">
        <x:f>IF(I457=1,_xlfn.XLOOKUP(H457,Rates_Raw!$AF$5:$AF$464,Rates_Raw!$E$5:$E$464,""),"")</x:f>
        <x:v>Special Assistant 7</x:v>
      </x:c>
      <x:c r="K457" t="n">
        <x:f>IF(I457=1,_xlfn.XLOOKUP(H457,Rates_Raw!$AF$5:$AF$464,Rates_Raw!$F$5:$F$464,""),"")</x:f>
        <x:v>21</x:v>
      </x:c>
      <x:c r="L457" s="50" t="n">
        <x:f>IF(I457=1,IFERROR(VALUE(SUBSTITUTE(_xlfn.XLOOKUP(H457,Rates_Raw!$AF$5:$AF$464,Rates_Raw!$L$5:$L$464,""),"$","")),""),"")</x:f>
        <x:v>44.3625</x:v>
      </x:c>
      <x:c r="M457" s="50" t="n">
        <x:f>IF(OR(G457="",L457=""),"",ROUND(G457-L457,4))</x:f>
        <x:v>0</x:v>
      </x:c>
      <x:c r="N457" t="str">
        <x:f>IF(I457=0,"NO MATCH",IF(I457&gt;1,"AMBIGUOUS",IF(EXACT(TRIM(E457),TRIM(J457)),"EXACT","TITLE VARIANT")))</x:f>
        <x:v>EXACT</x:v>
      </x:c>
      <x:c r="O457" t="str">
        <x:f>IF(I457&lt;&gt;1,"NOT TESTED",IF(OR(G457="",L457=""),"MISSING",IF(ABS(M457)&lt;=Guide!$B$16,"PASS","REVIEW")))</x:f>
        <x:v>PASS</x:v>
      </x:c>
      <x:c r="P457" s="52" t="n">
        <x:f>IF(I457=1,IFERROR(VALUE(SUBSTITUTE(SUBSTITUTE(_xlfn.XLOOKUP(H457,Rates_Raw!$AF$5:$AF$464,Rates_Raw!$I$5:$I$464,""),"$",""),",","")),""),"")</x:f>
        <x:v>3549</x:v>
      </x:c>
      <x:c r="Q457" s="52" t="n">
        <x:f>IF(P457="","",P457*Guide!$B$15)</x:f>
        <x:v>92274</x:v>
      </x:c>
      <x:c r="R457" t="str">
        <x:f>IF(I457=0,"UNMATCHED",IF(I457&gt;1,"DUPLICATE KEY",IF(OR(N457="TITLE VARIANT",O457="REVIEW",O457="MISSING"),"REVIEW","VERIFIED")))</x:f>
        <x:v>VERIFIED</x:v>
      </x:c>
      <x:c r="S457" s="46" t="str">
        <x:v>Not Reviewed</x:v>
      </x:c>
      <x:c r="T457" s="48"/>
    </x:row>
    <x:row r="458">
      <x:c r="A458" t="n">
        <x:f>Plan_Raw!A458</x:f>
        <x:v>2063</x:v>
      </x:c>
      <x:c r="B458" t="str">
        <x:f>Plan_Raw!D458</x:f>
        <x:v>1366</x:v>
      </x:c>
      <x:c r="C458" t="str">
        <x:f>LEFT(Plan_Raw!B458,10)</x:f>
        <x:v>2026-01-03</x:v>
      </x:c>
      <x:c r="D458" t="str">
        <x:f>Plan_Raw!F458</x:f>
        <x:v>SFMTA</x:v>
      </x:c>
      <x:c r="E458" t="str">
        <x:f>Plan_Raw!E458</x:f>
        <x:v>Special Assistant 7</x:v>
      </x:c>
      <x:c r="F458" t="str">
        <x:f>Plan_Raw!C458</x:f>
        <x:v>1366C</x:v>
      </x:c>
      <x:c r="G458" s="50" t="n">
        <x:f>IF(Plan_Raw!G458="","",IFERROR(VALUE(Plan_Raw!G458),""))</x:f>
        <x:v>44.3625</x:v>
      </x:c>
      <x:c r="H458" t="str">
        <x:f>Plan_Raw!AH458</x:f>
        <x:v>1366|SFMTA|2026-01-03</x:v>
      </x:c>
      <x:c r="I458" t="n">
        <x:f>COUNTIF(Rates_Raw!$AF$5:$AF$464,H458)</x:f>
        <x:v>1</x:v>
      </x:c>
      <x:c r="J458" t="str">
        <x:f>IF(I458=1,_xlfn.XLOOKUP(H458,Rates_Raw!$AF$5:$AF$464,Rates_Raw!$E$5:$E$464,""),"")</x:f>
        <x:v>Special Assistant 7</x:v>
      </x:c>
      <x:c r="K458" t="n">
        <x:f>IF(I458=1,_xlfn.XLOOKUP(H458,Rates_Raw!$AF$5:$AF$464,Rates_Raw!$F$5:$F$464,""),"")</x:f>
        <x:v>21</x:v>
      </x:c>
      <x:c r="L458" s="50" t="n">
        <x:f>IF(I458=1,IFERROR(VALUE(SUBSTITUTE(_xlfn.XLOOKUP(H458,Rates_Raw!$AF$5:$AF$464,Rates_Raw!$L$5:$L$464,""),"$","")),""),"")</x:f>
        <x:v>44.3625</x:v>
      </x:c>
      <x:c r="M458" s="50" t="n">
        <x:f>IF(OR(G458="",L458=""),"",ROUND(G458-L458,4))</x:f>
        <x:v>0</x:v>
      </x:c>
      <x:c r="N458" t="str">
        <x:f>IF(I458=0,"NO MATCH",IF(I458&gt;1,"AMBIGUOUS",IF(EXACT(TRIM(E458),TRIM(J458)),"EXACT","TITLE VARIANT")))</x:f>
        <x:v>EXACT</x:v>
      </x:c>
      <x:c r="O458" t="str">
        <x:f>IF(I458&lt;&gt;1,"NOT TESTED",IF(OR(G458="",L458=""),"MISSING",IF(ABS(M458)&lt;=Guide!$B$16,"PASS","REVIEW")))</x:f>
        <x:v>PASS</x:v>
      </x:c>
      <x:c r="P458" s="52" t="n">
        <x:f>IF(I458=1,IFERROR(VALUE(SUBSTITUTE(SUBSTITUTE(_xlfn.XLOOKUP(H458,Rates_Raw!$AF$5:$AF$464,Rates_Raw!$I$5:$I$464,""),"$",""),",","")),""),"")</x:f>
        <x:v>3549</x:v>
      </x:c>
      <x:c r="Q458" s="52" t="n">
        <x:f>IF(P458="","",P458*Guide!$B$15)</x:f>
        <x:v>92274</x:v>
      </x:c>
      <x:c r="R458" t="str">
        <x:f>IF(I458=0,"UNMATCHED",IF(I458&gt;1,"DUPLICATE KEY",IF(OR(N458="TITLE VARIANT",O458="REVIEW",O458="MISSING"),"REVIEW","VERIFIED")))</x:f>
        <x:v>VERIFIED</x:v>
      </x:c>
      <x:c r="S458" s="46" t="str">
        <x:v>Not Reviewed</x:v>
      </x:c>
      <x:c r="T458" s="48"/>
    </x:row>
    <x:row r="459">
      <x:c r="A459" t="n">
        <x:f>Plan_Raw!A459</x:f>
        <x:v>2052</x:v>
      </x:c>
      <x:c r="B459" t="str">
        <x:f>Plan_Raw!D459</x:f>
        <x:v>1366</x:v>
      </x:c>
      <x:c r="C459" t="str">
        <x:f>LEFT(Plan_Raw!B459,10)</x:f>
        <x:v>2026-07-01</x:v>
      </x:c>
      <x:c r="D459" t="str">
        <x:f>Plan_Raw!F459</x:f>
        <x:v>COMMN</x:v>
      </x:c>
      <x:c r="E459" t="str">
        <x:f>Plan_Raw!E459</x:f>
        <x:v>Special Assistant 7</x:v>
      </x:c>
      <x:c r="F459" t="str">
        <x:f>Plan_Raw!C459</x:f>
        <x:v>1366D</x:v>
      </x:c>
      <x:c r="G459" s="50" t="n">
        <x:f>IF(Plan_Raw!G459="","",IFERROR(VALUE(Plan_Raw!G459),""))</x:f>
        <x:v>45.25</x:v>
      </x:c>
      <x:c r="H459" t="str">
        <x:f>Plan_Raw!AH459</x:f>
        <x:v>1366|COMMN|2026-07-01</x:v>
      </x:c>
      <x:c r="I459" t="n">
        <x:f>COUNTIF(Rates_Raw!$AF$5:$AF$464,H459)</x:f>
        <x:v>0</x:v>
      </x:c>
      <x:c r="J459" t="str">
        <x:f>IF(I459=1,_xlfn.XLOOKUP(H459,Rates_Raw!$AF$5:$AF$464,Rates_Raw!$E$5:$E$464,""),"")</x:f>
      </x:c>
      <x:c r="K459" t="str">
        <x:f>IF(I459=1,_xlfn.XLOOKUP(H459,Rates_Raw!$AF$5:$AF$464,Rates_Raw!$F$5:$F$464,""),"")</x:f>
      </x:c>
      <x:c r="L459" s="50" t="str">
        <x:f>IF(I459=1,IFERROR(VALUE(SUBSTITUTE(_xlfn.XLOOKUP(H459,Rates_Raw!$AF$5:$AF$464,Rates_Raw!$L$5:$L$464,""),"$","")),""),"")</x:f>
      </x:c>
      <x:c r="M459" s="50" t="str">
        <x:f>IF(OR(G459="",L459=""),"",ROUND(G459-L459,4))</x:f>
      </x:c>
      <x:c r="N459" t="str">
        <x:f>IF(I459=0,"NO MATCH",IF(I459&gt;1,"AMBIGUOUS",IF(EXACT(TRIM(E459),TRIM(J459)),"EXACT","TITLE VARIANT")))</x:f>
        <x:v>NO MATCH</x:v>
      </x:c>
      <x:c r="O459" t="str">
        <x:f>IF(I459&lt;&gt;1,"NOT TESTED",IF(OR(G459="",L459=""),"MISSING",IF(ABS(M459)&lt;=Guide!$B$16,"PASS","REVIEW")))</x:f>
        <x:v>NOT TESTED</x:v>
      </x:c>
      <x:c r="P459" s="52" t="str">
        <x:f>IF(I459=1,IFERROR(VALUE(SUBSTITUTE(SUBSTITUTE(_xlfn.XLOOKUP(H459,Rates_Raw!$AF$5:$AF$464,Rates_Raw!$I$5:$I$464,""),"$",""),",","")),""),"")</x:f>
      </x:c>
      <x:c r="Q459" s="52" t="str">
        <x:f>IF(P459="","",P459*Guide!$B$15)</x:f>
      </x:c>
      <x:c r="R459" t="str">
        <x:f>IF(I459=0,"UNMATCHED",IF(I459&gt;1,"DUPLICATE KEY",IF(OR(N459="TITLE VARIANT",O459="REVIEW",O459="MISSING"),"REVIEW","VERIFIED")))</x:f>
        <x:v>UNMATCHED</x:v>
      </x:c>
      <x:c r="S459" s="46" t="str">
        <x:v>Not Reviewed</x:v>
      </x:c>
      <x:c r="T459" s="48"/>
    </x:row>
    <x:row r="460">
      <x:c r="A460" t="n">
        <x:f>Plan_Raw!A460</x:f>
        <x:v>2064</x:v>
      </x:c>
      <x:c r="B460" t="str">
        <x:f>Plan_Raw!D460</x:f>
        <x:v>1366</x:v>
      </x:c>
      <x:c r="C460" t="str">
        <x:f>LEFT(Plan_Raw!B460,10)</x:f>
        <x:v>2026-07-01</x:v>
      </x:c>
      <x:c r="D460" t="str">
        <x:f>Plan_Raw!F460</x:f>
        <x:v>SFMTA</x:v>
      </x:c>
      <x:c r="E460" t="str">
        <x:f>Plan_Raw!E460</x:f>
        <x:v>Special Assistant 7</x:v>
      </x:c>
      <x:c r="F460" t="str">
        <x:f>Plan_Raw!C460</x:f>
        <x:v>1366D</x:v>
      </x:c>
      <x:c r="G460" s="50" t="n">
        <x:f>IF(Plan_Raw!G460="","",IFERROR(VALUE(Plan_Raw!G460),""))</x:f>
        <x:v>45.25</x:v>
      </x:c>
      <x:c r="H460" t="str">
        <x:f>Plan_Raw!AH460</x:f>
        <x:v>1366|SFMTA|2026-07-01</x:v>
      </x:c>
      <x:c r="I460" t="n">
        <x:f>COUNTIF(Rates_Raw!$AF$5:$AF$464,H460)</x:f>
        <x:v>0</x:v>
      </x:c>
      <x:c r="J460" t="str">
        <x:f>IF(I460=1,_xlfn.XLOOKUP(H460,Rates_Raw!$AF$5:$AF$464,Rates_Raw!$E$5:$E$464,""),"")</x:f>
      </x:c>
      <x:c r="K460" t="str">
        <x:f>IF(I460=1,_xlfn.XLOOKUP(H460,Rates_Raw!$AF$5:$AF$464,Rates_Raw!$F$5:$F$464,""),"")</x:f>
      </x:c>
      <x:c r="L460" s="50" t="str">
        <x:f>IF(I460=1,IFERROR(VALUE(SUBSTITUTE(_xlfn.XLOOKUP(H460,Rates_Raw!$AF$5:$AF$464,Rates_Raw!$L$5:$L$464,""),"$","")),""),"")</x:f>
      </x:c>
      <x:c r="M460" s="50" t="str">
        <x:f>IF(OR(G460="",L460=""),"",ROUND(G460-L460,4))</x:f>
      </x:c>
      <x:c r="N460" t="str">
        <x:f>IF(I460=0,"NO MATCH",IF(I460&gt;1,"AMBIGUOUS",IF(EXACT(TRIM(E460),TRIM(J460)),"EXACT","TITLE VARIANT")))</x:f>
        <x:v>NO MATCH</x:v>
      </x:c>
      <x:c r="O460" t="str">
        <x:f>IF(I460&lt;&gt;1,"NOT TESTED",IF(OR(G460="",L460=""),"MISSING",IF(ABS(M460)&lt;=Guide!$B$16,"PASS","REVIEW")))</x:f>
        <x:v>NOT TESTED</x:v>
      </x:c>
      <x:c r="P460" s="52" t="str">
        <x:f>IF(I460=1,IFERROR(VALUE(SUBSTITUTE(SUBSTITUTE(_xlfn.XLOOKUP(H460,Rates_Raw!$AF$5:$AF$464,Rates_Raw!$I$5:$I$464,""),"$",""),",","")),""),"")</x:f>
      </x:c>
      <x:c r="Q460" s="52" t="str">
        <x:f>IF(P460="","",P460*Guide!$B$15)</x:f>
      </x:c>
      <x:c r="R460" t="str">
        <x:f>IF(I460=0,"UNMATCHED",IF(I460&gt;1,"DUPLICATE KEY",IF(OR(N460="TITLE VARIANT",O460="REVIEW",O460="MISSING"),"REVIEW","VERIFIED")))</x:f>
        <x:v>UNMATCHED</x:v>
      </x:c>
      <x:c r="S460" s="46" t="str">
        <x:v>Not Reviewed</x:v>
      </x:c>
      <x:c r="T460" s="48"/>
    </x:row>
    <x:row r="461">
      <x:c r="A461" t="n">
        <x:f>Plan_Raw!A461</x:f>
        <x:v>2071</x:v>
      </x:c>
      <x:c r="B461" t="str">
        <x:f>Plan_Raw!D461</x:f>
        <x:v>1367</x:v>
      </x:c>
      <x:c r="C461" t="str">
        <x:f>LEFT(Plan_Raw!B461,10)</x:f>
        <x:v>2024-01-06</x:v>
      </x:c>
      <x:c r="D461" t="str">
        <x:f>Plan_Raw!F461</x:f>
        <x:v>COMMN</x:v>
      </x:c>
      <x:c r="E461" t="str">
        <x:f>Plan_Raw!E461</x:f>
        <x:v>Special Assistant VIII</x:v>
      </x:c>
      <x:c r="F461" t="str">
        <x:f>Plan_Raw!C461</x:f>
        <x:v>1367Y</x:v>
      </x:c>
      <x:c r="G461" s="50" t="n">
        <x:f>IF(Plan_Raw!G461="","",IFERROR(VALUE(Plan_Raw!G461),""))</x:f>
        <x:v>44.75</x:v>
      </x:c>
      <x:c r="H461" t="str">
        <x:f>Plan_Raw!AH461</x:f>
        <x:v>1367|COMMN|2024-01-06</x:v>
      </x:c>
      <x:c r="I461" t="n">
        <x:f>COUNTIF(Rates_Raw!$AF$5:$AF$464,H461)</x:f>
        <x:v>1</x:v>
      </x:c>
      <x:c r="J461" t="str">
        <x:f>IF(I461=1,_xlfn.XLOOKUP(H461,Rates_Raw!$AF$5:$AF$464,Rates_Raw!$E$5:$E$464,""),"")</x:f>
        <x:v>Special Assistant VIII</x:v>
      </x:c>
      <x:c r="K461" t="n">
        <x:f>IF(I461=1,_xlfn.XLOOKUP(H461,Rates_Raw!$AF$5:$AF$464,Rates_Raw!$F$5:$F$464,""),"")</x:f>
        <x:v>21</x:v>
      </x:c>
      <x:c r="L461" s="50" t="n">
        <x:f>IF(I461=1,IFERROR(VALUE(SUBSTITUTE(_xlfn.XLOOKUP(H461,Rates_Raw!$AF$5:$AF$464,Rates_Raw!$L$5:$L$464,""),"$","")),""),"")</x:f>
        <x:v>44.75</x:v>
      </x:c>
      <x:c r="M461" s="50" t="n">
        <x:f>IF(OR(G461="",L461=""),"",ROUND(G461-L461,4))</x:f>
        <x:v>0</x:v>
      </x:c>
      <x:c r="N461" t="str">
        <x:f>IF(I461=0,"NO MATCH",IF(I461&gt;1,"AMBIGUOUS",IF(EXACT(TRIM(E461),TRIM(J461)),"EXACT","TITLE VARIANT")))</x:f>
        <x:v>EXACT</x:v>
      </x:c>
      <x:c r="O461" t="str">
        <x:f>IF(I461&lt;&gt;1,"NOT TESTED",IF(OR(G461="",L461=""),"MISSING",IF(ABS(M461)&lt;=Guide!$B$16,"PASS","REVIEW")))</x:f>
        <x:v>PASS</x:v>
      </x:c>
      <x:c r="P461" s="52" t="n">
        <x:f>IF(I461=1,IFERROR(VALUE(SUBSTITUTE(SUBSTITUTE(_xlfn.XLOOKUP(H461,Rates_Raw!$AF$5:$AF$464,Rates_Raw!$I$5:$I$464,""),"$",""),",","")),""),"")</x:f>
        <x:v>3580</x:v>
      </x:c>
      <x:c r="Q461" s="52" t="n">
        <x:f>IF(P461="","",P461*Guide!$B$15)</x:f>
        <x:v>93080</x:v>
      </x:c>
      <x:c r="R461" t="str">
        <x:f>IF(I461=0,"UNMATCHED",IF(I461&gt;1,"DUPLICATE KEY",IF(OR(N461="TITLE VARIANT",O461="REVIEW",O461="MISSING"),"REVIEW","VERIFIED")))</x:f>
        <x:v>VERIFIED</x:v>
      </x:c>
      <x:c r="S461" s="46" t="str">
        <x:v>Not Reviewed</x:v>
      </x:c>
      <x:c r="T461" s="48"/>
    </x:row>
    <x:row r="462">
      <x:c r="A462" t="n">
        <x:f>Plan_Raw!A462</x:f>
        <x:v>2083</x:v>
      </x:c>
      <x:c r="B462" t="str">
        <x:f>Plan_Raw!D462</x:f>
        <x:v>1367</x:v>
      </x:c>
      <x:c r="C462" t="str">
        <x:f>LEFT(Plan_Raw!B462,10)</x:f>
        <x:v>2024-01-06</x:v>
      </x:c>
      <x:c r="D462" t="str">
        <x:f>Plan_Raw!F462</x:f>
        <x:v>SFMTA</x:v>
      </x:c>
      <x:c r="E462" t="str">
        <x:f>Plan_Raw!E462</x:f>
        <x:v>Special Assistant VIII</x:v>
      </x:c>
      <x:c r="F462" t="str">
        <x:f>Plan_Raw!C462</x:f>
        <x:v>1367Y</x:v>
      </x:c>
      <x:c r="G462" s="50" t="n">
        <x:f>IF(Plan_Raw!G462="","",IFERROR(VALUE(Plan_Raw!G462),""))</x:f>
        <x:v>44.75</x:v>
      </x:c>
      <x:c r="H462" t="str">
        <x:f>Plan_Raw!AH462</x:f>
        <x:v>1367|SFMTA|2024-01-06</x:v>
      </x:c>
      <x:c r="I462" t="n">
        <x:f>COUNTIF(Rates_Raw!$AF$5:$AF$464,H462)</x:f>
        <x:v>1</x:v>
      </x:c>
      <x:c r="J462" t="str">
        <x:f>IF(I462=1,_xlfn.XLOOKUP(H462,Rates_Raw!$AF$5:$AF$464,Rates_Raw!$E$5:$E$464,""),"")</x:f>
        <x:v>Special Assistant VIII</x:v>
      </x:c>
      <x:c r="K462" t="n">
        <x:f>IF(I462=1,_xlfn.XLOOKUP(H462,Rates_Raw!$AF$5:$AF$464,Rates_Raw!$F$5:$F$464,""),"")</x:f>
        <x:v>21</x:v>
      </x:c>
      <x:c r="L462" s="50" t="n">
        <x:f>IF(I462=1,IFERROR(VALUE(SUBSTITUTE(_xlfn.XLOOKUP(H462,Rates_Raw!$AF$5:$AF$464,Rates_Raw!$L$5:$L$464,""),"$","")),""),"")</x:f>
        <x:v>44.75</x:v>
      </x:c>
      <x:c r="M462" s="50" t="n">
        <x:f>IF(OR(G462="",L462=""),"",ROUND(G462-L462,4))</x:f>
        <x:v>0</x:v>
      </x:c>
      <x:c r="N462" t="str">
        <x:f>IF(I462=0,"NO MATCH",IF(I462&gt;1,"AMBIGUOUS",IF(EXACT(TRIM(E462),TRIM(J462)),"EXACT","TITLE VARIANT")))</x:f>
        <x:v>EXACT</x:v>
      </x:c>
      <x:c r="O462" t="str">
        <x:f>IF(I462&lt;&gt;1,"NOT TESTED",IF(OR(G462="",L462=""),"MISSING",IF(ABS(M462)&lt;=Guide!$B$16,"PASS","REVIEW")))</x:f>
        <x:v>PASS</x:v>
      </x:c>
      <x:c r="P462" s="52" t="n">
        <x:f>IF(I462=1,IFERROR(VALUE(SUBSTITUTE(SUBSTITUTE(_xlfn.XLOOKUP(H462,Rates_Raw!$AF$5:$AF$464,Rates_Raw!$I$5:$I$464,""),"$",""),",","")),""),"")</x:f>
        <x:v>3580</x:v>
      </x:c>
      <x:c r="Q462" s="52" t="n">
        <x:f>IF(P462="","",P462*Guide!$B$15)</x:f>
        <x:v>93080</x:v>
      </x:c>
      <x:c r="R462" t="str">
        <x:f>IF(I462=0,"UNMATCHED",IF(I462&gt;1,"DUPLICATE KEY",IF(OR(N462="TITLE VARIANT",O462="REVIEW",O462="MISSING"),"REVIEW","VERIFIED")))</x:f>
        <x:v>VERIFIED</x:v>
      </x:c>
      <x:c r="S462" s="46" t="str">
        <x:v>Not Reviewed</x:v>
      </x:c>
      <x:c r="T462" s="48"/>
    </x:row>
    <x:row r="463">
      <x:c r="A463" t="n">
        <x:f>Plan_Raw!A463</x:f>
        <x:v>2072</x:v>
      </x:c>
      <x:c r="B463" t="str">
        <x:f>Plan_Raw!D463</x:f>
        <x:v>1367</x:v>
      </x:c>
      <x:c r="C463" t="str">
        <x:f>LEFT(Plan_Raw!B463,10)</x:f>
        <x:v>2024-07-01</x:v>
      </x:c>
      <x:c r="D463" t="str">
        <x:f>Plan_Raw!F463</x:f>
        <x:v>COMMN</x:v>
      </x:c>
      <x:c r="E463" t="str">
        <x:f>Plan_Raw!E463</x:f>
        <x:v>Special Assistant VIII</x:v>
      </x:c>
      <x:c r="F463" t="str">
        <x:f>Plan_Raw!C463</x:f>
        <x:v>1367Z</x:v>
      </x:c>
      <x:c r="G463" s="50" t="n">
        <x:f>IF(Plan_Raw!G463="","",IFERROR(VALUE(Plan_Raw!G463),""))</x:f>
        <x:v>45.425</x:v>
      </x:c>
      <x:c r="H463" t="str">
        <x:f>Plan_Raw!AH463</x:f>
        <x:v>1367|COMMN|2024-07-01</x:v>
      </x:c>
      <x:c r="I463" t="n">
        <x:f>COUNTIF(Rates_Raw!$AF$5:$AF$464,H463)</x:f>
        <x:v>1</x:v>
      </x:c>
      <x:c r="J463" t="str">
        <x:f>IF(I463=1,_xlfn.XLOOKUP(H463,Rates_Raw!$AF$5:$AF$464,Rates_Raw!$E$5:$E$464,""),"")</x:f>
        <x:v>Special Assistant VIII</x:v>
      </x:c>
      <x:c r="K463" t="n">
        <x:f>IF(I463=1,_xlfn.XLOOKUP(H463,Rates_Raw!$AF$5:$AF$464,Rates_Raw!$F$5:$F$464,""),"")</x:f>
        <x:v>21</x:v>
      </x:c>
      <x:c r="L463" s="50" t="n">
        <x:f>IF(I463=1,IFERROR(VALUE(SUBSTITUTE(_xlfn.XLOOKUP(H463,Rates_Raw!$AF$5:$AF$464,Rates_Raw!$L$5:$L$464,""),"$","")),""),"")</x:f>
        <x:v>45.425</x:v>
      </x:c>
      <x:c r="M463" s="50" t="n">
        <x:f>IF(OR(G463="",L463=""),"",ROUND(G463-L463,4))</x:f>
        <x:v>0</x:v>
      </x:c>
      <x:c r="N463" t="str">
        <x:f>IF(I463=0,"NO MATCH",IF(I463&gt;1,"AMBIGUOUS",IF(EXACT(TRIM(E463),TRIM(J463)),"EXACT","TITLE VARIANT")))</x:f>
        <x:v>EXACT</x:v>
      </x:c>
      <x:c r="O463" t="str">
        <x:f>IF(I463&lt;&gt;1,"NOT TESTED",IF(OR(G463="",L463=""),"MISSING",IF(ABS(M463)&lt;=Guide!$B$16,"PASS","REVIEW")))</x:f>
        <x:v>PASS</x:v>
      </x:c>
      <x:c r="P463" s="52" t="n">
        <x:f>IF(I463=1,IFERROR(VALUE(SUBSTITUTE(SUBSTITUTE(_xlfn.XLOOKUP(H463,Rates_Raw!$AF$5:$AF$464,Rates_Raw!$I$5:$I$464,""),"$",""),",","")),""),"")</x:f>
        <x:v>3634</x:v>
      </x:c>
      <x:c r="Q463" s="52" t="n">
        <x:f>IF(P463="","",P463*Guide!$B$15)</x:f>
        <x:v>94484</x:v>
      </x:c>
      <x:c r="R463" t="str">
        <x:f>IF(I463=0,"UNMATCHED",IF(I463&gt;1,"DUPLICATE KEY",IF(OR(N463="TITLE VARIANT",O463="REVIEW",O463="MISSING"),"REVIEW","VERIFIED")))</x:f>
        <x:v>VERIFIED</x:v>
      </x:c>
      <x:c r="S463" s="46" t="str">
        <x:v>Not Reviewed</x:v>
      </x:c>
      <x:c r="T463" s="48"/>
    </x:row>
    <x:row r="464">
      <x:c r="A464" t="n">
        <x:f>Plan_Raw!A464</x:f>
        <x:v>2084</x:v>
      </x:c>
      <x:c r="B464" t="str">
        <x:f>Plan_Raw!D464</x:f>
        <x:v>1367</x:v>
      </x:c>
      <x:c r="C464" t="str">
        <x:f>LEFT(Plan_Raw!B464,10)</x:f>
        <x:v>2024-07-01</x:v>
      </x:c>
      <x:c r="D464" t="str">
        <x:f>Plan_Raw!F464</x:f>
        <x:v>SFMTA</x:v>
      </x:c>
      <x:c r="E464" t="str">
        <x:f>Plan_Raw!E464</x:f>
        <x:v>Special Assistant VIII</x:v>
      </x:c>
      <x:c r="F464" t="str">
        <x:f>Plan_Raw!C464</x:f>
        <x:v>1367Z</x:v>
      </x:c>
      <x:c r="G464" s="50" t="n">
        <x:f>IF(Plan_Raw!G464="","",IFERROR(VALUE(Plan_Raw!G464),""))</x:f>
        <x:v>45.425</x:v>
      </x:c>
      <x:c r="H464" t="str">
        <x:f>Plan_Raw!AH464</x:f>
        <x:v>1367|SFMTA|2024-07-01</x:v>
      </x:c>
      <x:c r="I464" t="n">
        <x:f>COUNTIF(Rates_Raw!$AF$5:$AF$464,H464)</x:f>
        <x:v>1</x:v>
      </x:c>
      <x:c r="J464" t="str">
        <x:f>IF(I464=1,_xlfn.XLOOKUP(H464,Rates_Raw!$AF$5:$AF$464,Rates_Raw!$E$5:$E$464,""),"")</x:f>
        <x:v>Special Assistant VIII</x:v>
      </x:c>
      <x:c r="K464" t="n">
        <x:f>IF(I464=1,_xlfn.XLOOKUP(H464,Rates_Raw!$AF$5:$AF$464,Rates_Raw!$F$5:$F$464,""),"")</x:f>
        <x:v>21</x:v>
      </x:c>
      <x:c r="L464" s="50" t="n">
        <x:f>IF(I464=1,IFERROR(VALUE(SUBSTITUTE(_xlfn.XLOOKUP(H464,Rates_Raw!$AF$5:$AF$464,Rates_Raw!$L$5:$L$464,""),"$","")),""),"")</x:f>
        <x:v>45.425</x:v>
      </x:c>
      <x:c r="M464" s="50" t="n">
        <x:f>IF(OR(G464="",L464=""),"",ROUND(G464-L464,4))</x:f>
        <x:v>0</x:v>
      </x:c>
      <x:c r="N464" t="str">
        <x:f>IF(I464=0,"NO MATCH",IF(I464&gt;1,"AMBIGUOUS",IF(EXACT(TRIM(E464),TRIM(J464)),"EXACT","TITLE VARIANT")))</x:f>
        <x:v>EXACT</x:v>
      </x:c>
      <x:c r="O464" t="str">
        <x:f>IF(I464&lt;&gt;1,"NOT TESTED",IF(OR(G464="",L464=""),"MISSING",IF(ABS(M464)&lt;=Guide!$B$16,"PASS","REVIEW")))</x:f>
        <x:v>PASS</x:v>
      </x:c>
      <x:c r="P464" s="52" t="n">
        <x:f>IF(I464=1,IFERROR(VALUE(SUBSTITUTE(SUBSTITUTE(_xlfn.XLOOKUP(H464,Rates_Raw!$AF$5:$AF$464,Rates_Raw!$I$5:$I$464,""),"$",""),",","")),""),"")</x:f>
        <x:v>3634</x:v>
      </x:c>
      <x:c r="Q464" s="52" t="n">
        <x:f>IF(P464="","",P464*Guide!$B$15)</x:f>
        <x:v>94484</x:v>
      </x:c>
      <x:c r="R464" t="str">
        <x:f>IF(I464=0,"UNMATCHED",IF(I464&gt;1,"DUPLICATE KEY",IF(OR(N464="TITLE VARIANT",O464="REVIEW",O464="MISSING"),"REVIEW","VERIFIED")))</x:f>
        <x:v>VERIFIED</x:v>
      </x:c>
      <x:c r="S464" s="46" t="str">
        <x:v>Not Reviewed</x:v>
      </x:c>
      <x:c r="T464" s="48"/>
    </x:row>
    <x:row r="465">
      <x:c r="A465" t="n">
        <x:f>Plan_Raw!A465</x:f>
        <x:v>2073</x:v>
      </x:c>
      <x:c r="B465" t="str">
        <x:f>Plan_Raw!D465</x:f>
        <x:v>1367</x:v>
      </x:c>
      <x:c r="C465" t="str">
        <x:f>LEFT(Plan_Raw!B465,10)</x:f>
        <x:v>2025-01-04</x:v>
      </x:c>
      <x:c r="D465" t="str">
        <x:f>Plan_Raw!F465</x:f>
        <x:v>COMMN</x:v>
      </x:c>
      <x:c r="E465" t="str">
        <x:f>Plan_Raw!E465</x:f>
        <x:v>Special Assistant VIII</x:v>
      </x:c>
      <x:c r="F465" t="str">
        <x:f>Plan_Raw!C465</x:f>
        <x:v>1367A</x:v>
      </x:c>
      <x:c r="G465" s="50" t="n">
        <x:f>IF(Plan_Raw!G465="","",IFERROR(VALUE(Plan_Raw!G465),""))</x:f>
        <x:v>46.1125</x:v>
      </x:c>
      <x:c r="H465" t="str">
        <x:f>Plan_Raw!AH465</x:f>
        <x:v>1367|COMMN|2025-01-04</x:v>
      </x:c>
      <x:c r="I465" t="n">
        <x:f>COUNTIF(Rates_Raw!$AF$5:$AF$464,H465)</x:f>
        <x:v>1</x:v>
      </x:c>
      <x:c r="J465" t="str">
        <x:f>IF(I465=1,_xlfn.XLOOKUP(H465,Rates_Raw!$AF$5:$AF$464,Rates_Raw!$E$5:$E$464,""),"")</x:f>
        <x:v>Special Assistant VIII</x:v>
      </x:c>
      <x:c r="K465" t="n">
        <x:f>IF(I465=1,_xlfn.XLOOKUP(H465,Rates_Raw!$AF$5:$AF$464,Rates_Raw!$F$5:$F$464,""),"")</x:f>
        <x:v>21</x:v>
      </x:c>
      <x:c r="L465" s="50" t="n">
        <x:f>IF(I465=1,IFERROR(VALUE(SUBSTITUTE(_xlfn.XLOOKUP(H465,Rates_Raw!$AF$5:$AF$464,Rates_Raw!$L$5:$L$464,""),"$","")),""),"")</x:f>
        <x:v>46.1125</x:v>
      </x:c>
      <x:c r="M465" s="50" t="n">
        <x:f>IF(OR(G465="",L465=""),"",ROUND(G465-L465,4))</x:f>
        <x:v>0</x:v>
      </x:c>
      <x:c r="N465" t="str">
        <x:f>IF(I465=0,"NO MATCH",IF(I465&gt;1,"AMBIGUOUS",IF(EXACT(TRIM(E465),TRIM(J465)),"EXACT","TITLE VARIANT")))</x:f>
        <x:v>EXACT</x:v>
      </x:c>
      <x:c r="O465" t="str">
        <x:f>IF(I465&lt;&gt;1,"NOT TESTED",IF(OR(G465="",L465=""),"MISSING",IF(ABS(M465)&lt;=Guide!$B$16,"PASS","REVIEW")))</x:f>
        <x:v>PASS</x:v>
      </x:c>
      <x:c r="P465" s="52" t="n">
        <x:f>IF(I465=1,IFERROR(VALUE(SUBSTITUTE(SUBSTITUTE(_xlfn.XLOOKUP(H465,Rates_Raw!$AF$5:$AF$464,Rates_Raw!$I$5:$I$464,""),"$",""),",","")),""),"")</x:f>
        <x:v>3689</x:v>
      </x:c>
      <x:c r="Q465" s="52" t="n">
        <x:f>IF(P465="","",P465*Guide!$B$15)</x:f>
        <x:v>95914</x:v>
      </x:c>
      <x:c r="R465" t="str">
        <x:f>IF(I465=0,"UNMATCHED",IF(I465&gt;1,"DUPLICATE KEY",IF(OR(N465="TITLE VARIANT",O465="REVIEW",O465="MISSING"),"REVIEW","VERIFIED")))</x:f>
        <x:v>VERIFIED</x:v>
      </x:c>
      <x:c r="S465" s="46" t="str">
        <x:v>Not Reviewed</x:v>
      </x:c>
      <x:c r="T465" s="48"/>
    </x:row>
    <x:row r="466">
      <x:c r="A466" t="n">
        <x:f>Plan_Raw!A466</x:f>
        <x:v>2085</x:v>
      </x:c>
      <x:c r="B466" t="str">
        <x:f>Plan_Raw!D466</x:f>
        <x:v>1367</x:v>
      </x:c>
      <x:c r="C466" t="str">
        <x:f>LEFT(Plan_Raw!B466,10)</x:f>
        <x:v>2025-01-04</x:v>
      </x:c>
      <x:c r="D466" t="str">
        <x:f>Plan_Raw!F466</x:f>
        <x:v>SFMTA</x:v>
      </x:c>
      <x:c r="E466" t="str">
        <x:f>Plan_Raw!E466</x:f>
        <x:v>Special Assistant VIII</x:v>
      </x:c>
      <x:c r="F466" t="str">
        <x:f>Plan_Raw!C466</x:f>
        <x:v>1367A</x:v>
      </x:c>
      <x:c r="G466" s="50" t="n">
        <x:f>IF(Plan_Raw!G466="","",IFERROR(VALUE(Plan_Raw!G466),""))</x:f>
        <x:v>46.1125</x:v>
      </x:c>
      <x:c r="H466" t="str">
        <x:f>Plan_Raw!AH466</x:f>
        <x:v>1367|SFMTA|2025-01-04</x:v>
      </x:c>
      <x:c r="I466" t="n">
        <x:f>COUNTIF(Rates_Raw!$AF$5:$AF$464,H466)</x:f>
        <x:v>1</x:v>
      </x:c>
      <x:c r="J466" t="str">
        <x:f>IF(I466=1,_xlfn.XLOOKUP(H466,Rates_Raw!$AF$5:$AF$464,Rates_Raw!$E$5:$E$464,""),"")</x:f>
        <x:v>Special Assistant VIII</x:v>
      </x:c>
      <x:c r="K466" t="n">
        <x:f>IF(I466=1,_xlfn.XLOOKUP(H466,Rates_Raw!$AF$5:$AF$464,Rates_Raw!$F$5:$F$464,""),"")</x:f>
        <x:v>21</x:v>
      </x:c>
      <x:c r="L466" s="50" t="n">
        <x:f>IF(I466=1,IFERROR(VALUE(SUBSTITUTE(_xlfn.XLOOKUP(H466,Rates_Raw!$AF$5:$AF$464,Rates_Raw!$L$5:$L$464,""),"$","")),""),"")</x:f>
        <x:v>46.1125</x:v>
      </x:c>
      <x:c r="M466" s="50" t="n">
        <x:f>IF(OR(G466="",L466=""),"",ROUND(G466-L466,4))</x:f>
        <x:v>0</x:v>
      </x:c>
      <x:c r="N466" t="str">
        <x:f>IF(I466=0,"NO MATCH",IF(I466&gt;1,"AMBIGUOUS",IF(EXACT(TRIM(E466),TRIM(J466)),"EXACT","TITLE VARIANT")))</x:f>
        <x:v>EXACT</x:v>
      </x:c>
      <x:c r="O466" t="str">
        <x:f>IF(I466&lt;&gt;1,"NOT TESTED",IF(OR(G466="",L466=""),"MISSING",IF(ABS(M466)&lt;=Guide!$B$16,"PASS","REVIEW")))</x:f>
        <x:v>PASS</x:v>
      </x:c>
      <x:c r="P466" s="52" t="n">
        <x:f>IF(I466=1,IFERROR(VALUE(SUBSTITUTE(SUBSTITUTE(_xlfn.XLOOKUP(H466,Rates_Raw!$AF$5:$AF$464,Rates_Raw!$I$5:$I$464,""),"$",""),",","")),""),"")</x:f>
        <x:v>3689</x:v>
      </x:c>
      <x:c r="Q466" s="52" t="n">
        <x:f>IF(P466="","",P466*Guide!$B$15)</x:f>
        <x:v>95914</x:v>
      </x:c>
      <x:c r="R466" t="str">
        <x:f>IF(I466=0,"UNMATCHED",IF(I466&gt;1,"DUPLICATE KEY",IF(OR(N466="TITLE VARIANT",O466="REVIEW",O466="MISSING"),"REVIEW","VERIFIED")))</x:f>
        <x:v>VERIFIED</x:v>
      </x:c>
      <x:c r="S466" s="46" t="str">
        <x:v>Not Reviewed</x:v>
      </x:c>
      <x:c r="T466" s="48"/>
    </x:row>
    <x:row r="467">
      <x:c r="A467" t="n">
        <x:f>Plan_Raw!A467</x:f>
        <x:v>2074</x:v>
      </x:c>
      <x:c r="B467" t="str">
        <x:f>Plan_Raw!D467</x:f>
        <x:v>1367</x:v>
      </x:c>
      <x:c r="C467" t="str">
        <x:f>LEFT(Plan_Raw!B467,10)</x:f>
        <x:v>2025-07-01</x:v>
      </x:c>
      <x:c r="D467" t="str">
        <x:f>Plan_Raw!F467</x:f>
        <x:v>COMMN</x:v>
      </x:c>
      <x:c r="E467" t="str">
        <x:f>Plan_Raw!E467</x:f>
        <x:v>Special Assistant 8</x:v>
      </x:c>
      <x:c r="F467" t="str">
        <x:f>Plan_Raw!C467</x:f>
        <x:v>1367B</x:v>
      </x:c>
      <x:c r="G467" s="50" t="n">
        <x:f>IF(Plan_Raw!G467="","",IFERROR(VALUE(Plan_Raw!G467),""))</x:f>
        <x:v>47.0375</x:v>
      </x:c>
      <x:c r="H467" t="str">
        <x:f>Plan_Raw!AH467</x:f>
        <x:v>1367|COMMN|2025-07-01</x:v>
      </x:c>
      <x:c r="I467" t="n">
        <x:f>COUNTIF(Rates_Raw!$AF$5:$AF$464,H467)</x:f>
        <x:v>1</x:v>
      </x:c>
      <x:c r="J467" t="str">
        <x:f>IF(I467=1,_xlfn.XLOOKUP(H467,Rates_Raw!$AF$5:$AF$464,Rates_Raw!$E$5:$E$464,""),"")</x:f>
        <x:v>Special Assistant 8</x:v>
      </x:c>
      <x:c r="K467" t="n">
        <x:f>IF(I467=1,_xlfn.XLOOKUP(H467,Rates_Raw!$AF$5:$AF$464,Rates_Raw!$F$5:$F$464,""),"")</x:f>
        <x:v>21</x:v>
      </x:c>
      <x:c r="L467" s="50" t="n">
        <x:f>IF(I467=1,IFERROR(VALUE(SUBSTITUTE(_xlfn.XLOOKUP(H467,Rates_Raw!$AF$5:$AF$464,Rates_Raw!$L$5:$L$464,""),"$","")),""),"")</x:f>
        <x:v>47.0375</x:v>
      </x:c>
      <x:c r="M467" s="50" t="n">
        <x:f>IF(OR(G467="",L467=""),"",ROUND(G467-L467,4))</x:f>
        <x:v>0</x:v>
      </x:c>
      <x:c r="N467" t="str">
        <x:f>IF(I467=0,"NO MATCH",IF(I467&gt;1,"AMBIGUOUS",IF(EXACT(TRIM(E467),TRIM(J467)),"EXACT","TITLE VARIANT")))</x:f>
        <x:v>EXACT</x:v>
      </x:c>
      <x:c r="O467" t="str">
        <x:f>IF(I467&lt;&gt;1,"NOT TESTED",IF(OR(G467="",L467=""),"MISSING",IF(ABS(M467)&lt;=Guide!$B$16,"PASS","REVIEW")))</x:f>
        <x:v>PASS</x:v>
      </x:c>
      <x:c r="P467" s="52" t="n">
        <x:f>IF(I467=1,IFERROR(VALUE(SUBSTITUTE(SUBSTITUTE(_xlfn.XLOOKUP(H467,Rates_Raw!$AF$5:$AF$464,Rates_Raw!$I$5:$I$464,""),"$",""),",","")),""),"")</x:f>
        <x:v>3763</x:v>
      </x:c>
      <x:c r="Q467" s="52" t="n">
        <x:f>IF(P467="","",P467*Guide!$B$15)</x:f>
        <x:v>97838</x:v>
      </x:c>
      <x:c r="R467" t="str">
        <x:f>IF(I467=0,"UNMATCHED",IF(I467&gt;1,"DUPLICATE KEY",IF(OR(N467="TITLE VARIANT",O467="REVIEW",O467="MISSING"),"REVIEW","VERIFIED")))</x:f>
        <x:v>VERIFIED</x:v>
      </x:c>
      <x:c r="S467" s="46" t="str">
        <x:v>Not Reviewed</x:v>
      </x:c>
      <x:c r="T467" s="48"/>
    </x:row>
    <x:row r="468">
      <x:c r="A468" t="n">
        <x:f>Plan_Raw!A468</x:f>
        <x:v>2086</x:v>
      </x:c>
      <x:c r="B468" t="str">
        <x:f>Plan_Raw!D468</x:f>
        <x:v>1367</x:v>
      </x:c>
      <x:c r="C468" t="str">
        <x:f>LEFT(Plan_Raw!B468,10)</x:f>
        <x:v>2025-07-01</x:v>
      </x:c>
      <x:c r="D468" t="str">
        <x:f>Plan_Raw!F468</x:f>
        <x:v>SFMTA</x:v>
      </x:c>
      <x:c r="E468" t="str">
        <x:f>Plan_Raw!E468</x:f>
        <x:v>Special Assistant 8</x:v>
      </x:c>
      <x:c r="F468" t="str">
        <x:f>Plan_Raw!C468</x:f>
        <x:v>1367B</x:v>
      </x:c>
      <x:c r="G468" s="50" t="n">
        <x:f>IF(Plan_Raw!G468="","",IFERROR(VALUE(Plan_Raw!G468),""))</x:f>
        <x:v>47.0375</x:v>
      </x:c>
      <x:c r="H468" t="str">
        <x:f>Plan_Raw!AH468</x:f>
        <x:v>1367|SFMTA|2025-07-01</x:v>
      </x:c>
      <x:c r="I468" t="n">
        <x:f>COUNTIF(Rates_Raw!$AF$5:$AF$464,H468)</x:f>
        <x:v>1</x:v>
      </x:c>
      <x:c r="J468" t="str">
        <x:f>IF(I468=1,_xlfn.XLOOKUP(H468,Rates_Raw!$AF$5:$AF$464,Rates_Raw!$E$5:$E$464,""),"")</x:f>
        <x:v>Special Assistant 8</x:v>
      </x:c>
      <x:c r="K468" t="n">
        <x:f>IF(I468=1,_xlfn.XLOOKUP(H468,Rates_Raw!$AF$5:$AF$464,Rates_Raw!$F$5:$F$464,""),"")</x:f>
        <x:v>21</x:v>
      </x:c>
      <x:c r="L468" s="50" t="n">
        <x:f>IF(I468=1,IFERROR(VALUE(SUBSTITUTE(_xlfn.XLOOKUP(H468,Rates_Raw!$AF$5:$AF$464,Rates_Raw!$L$5:$L$464,""),"$","")),""),"")</x:f>
        <x:v>47.0375</x:v>
      </x:c>
      <x:c r="M468" s="50" t="n">
        <x:f>IF(OR(G468="",L468=""),"",ROUND(G468-L468,4))</x:f>
        <x:v>0</x:v>
      </x:c>
      <x:c r="N468" t="str">
        <x:f>IF(I468=0,"NO MATCH",IF(I468&gt;1,"AMBIGUOUS",IF(EXACT(TRIM(E468),TRIM(J468)),"EXACT","TITLE VARIANT")))</x:f>
        <x:v>EXACT</x:v>
      </x:c>
      <x:c r="O468" t="str">
        <x:f>IF(I468&lt;&gt;1,"NOT TESTED",IF(OR(G468="",L468=""),"MISSING",IF(ABS(M468)&lt;=Guide!$B$16,"PASS","REVIEW")))</x:f>
        <x:v>PASS</x:v>
      </x:c>
      <x:c r="P468" s="52" t="n">
        <x:f>IF(I468=1,IFERROR(VALUE(SUBSTITUTE(SUBSTITUTE(_xlfn.XLOOKUP(H468,Rates_Raw!$AF$5:$AF$464,Rates_Raw!$I$5:$I$464,""),"$",""),",","")),""),"")</x:f>
        <x:v>3763</x:v>
      </x:c>
      <x:c r="Q468" s="52" t="n">
        <x:f>IF(P468="","",P468*Guide!$B$15)</x:f>
        <x:v>97838</x:v>
      </x:c>
      <x:c r="R468" t="str">
        <x:f>IF(I468=0,"UNMATCHED",IF(I468&gt;1,"DUPLICATE KEY",IF(OR(N468="TITLE VARIANT",O468="REVIEW",O468="MISSING"),"REVIEW","VERIFIED")))</x:f>
        <x:v>VERIFIED</x:v>
      </x:c>
      <x:c r="S468" s="46" t="str">
        <x:v>Not Reviewed</x:v>
      </x:c>
      <x:c r="T468" s="48"/>
    </x:row>
    <x:row r="469">
      <x:c r="A469" t="n">
        <x:f>Plan_Raw!A469</x:f>
        <x:v>2075</x:v>
      </x:c>
      <x:c r="B469" t="str">
        <x:f>Plan_Raw!D469</x:f>
        <x:v>1367</x:v>
      </x:c>
      <x:c r="C469" t="str">
        <x:f>LEFT(Plan_Raw!B469,10)</x:f>
        <x:v>2026-01-03</x:v>
      </x:c>
      <x:c r="D469" t="str">
        <x:f>Plan_Raw!F469</x:f>
        <x:v>COMMN</x:v>
      </x:c>
      <x:c r="E469" t="str">
        <x:f>Plan_Raw!E469</x:f>
        <x:v>Special Assistant 8</x:v>
      </x:c>
      <x:c r="F469" t="str">
        <x:f>Plan_Raw!C469</x:f>
        <x:v>1367C</x:v>
      </x:c>
      <x:c r="G469" s="50" t="n">
        <x:f>IF(Plan_Raw!G469="","",IFERROR(VALUE(Plan_Raw!G469),""))</x:f>
        <x:v>47.7375</x:v>
      </x:c>
      <x:c r="H469" t="str">
        <x:f>Plan_Raw!AH469</x:f>
        <x:v>1367|COMMN|2026-01-03</x:v>
      </x:c>
      <x:c r="I469" t="n">
        <x:f>COUNTIF(Rates_Raw!$AF$5:$AF$464,H469)</x:f>
        <x:v>1</x:v>
      </x:c>
      <x:c r="J469" t="str">
        <x:f>IF(I469=1,_xlfn.XLOOKUP(H469,Rates_Raw!$AF$5:$AF$464,Rates_Raw!$E$5:$E$464,""),"")</x:f>
        <x:v>Special Assistant 8</x:v>
      </x:c>
      <x:c r="K469" t="n">
        <x:f>IF(I469=1,_xlfn.XLOOKUP(H469,Rates_Raw!$AF$5:$AF$464,Rates_Raw!$F$5:$F$464,""),"")</x:f>
        <x:v>21</x:v>
      </x:c>
      <x:c r="L469" s="50" t="n">
        <x:f>IF(I469=1,IFERROR(VALUE(SUBSTITUTE(_xlfn.XLOOKUP(H469,Rates_Raw!$AF$5:$AF$464,Rates_Raw!$L$5:$L$464,""),"$","")),""),"")</x:f>
        <x:v>47.7375</x:v>
      </x:c>
      <x:c r="M469" s="50" t="n">
        <x:f>IF(OR(G469="",L469=""),"",ROUND(G469-L469,4))</x:f>
        <x:v>0</x:v>
      </x:c>
      <x:c r="N469" t="str">
        <x:f>IF(I469=0,"NO MATCH",IF(I469&gt;1,"AMBIGUOUS",IF(EXACT(TRIM(E469),TRIM(J469)),"EXACT","TITLE VARIANT")))</x:f>
        <x:v>EXACT</x:v>
      </x:c>
      <x:c r="O469" t="str">
        <x:f>IF(I469&lt;&gt;1,"NOT TESTED",IF(OR(G469="",L469=""),"MISSING",IF(ABS(M469)&lt;=Guide!$B$16,"PASS","REVIEW")))</x:f>
        <x:v>PASS</x:v>
      </x:c>
      <x:c r="P469" s="52" t="n">
        <x:f>IF(I469=1,IFERROR(VALUE(SUBSTITUTE(SUBSTITUTE(_xlfn.XLOOKUP(H469,Rates_Raw!$AF$5:$AF$464,Rates_Raw!$I$5:$I$464,""),"$",""),",","")),""),"")</x:f>
        <x:v>3819</x:v>
      </x:c>
      <x:c r="Q469" s="52" t="n">
        <x:f>IF(P469="","",P469*Guide!$B$15)</x:f>
        <x:v>99294</x:v>
      </x:c>
      <x:c r="R469" t="str">
        <x:f>IF(I469=0,"UNMATCHED",IF(I469&gt;1,"DUPLICATE KEY",IF(OR(N469="TITLE VARIANT",O469="REVIEW",O469="MISSING"),"REVIEW","VERIFIED")))</x:f>
        <x:v>VERIFIED</x:v>
      </x:c>
      <x:c r="S469" s="46" t="str">
        <x:v>Not Reviewed</x:v>
      </x:c>
      <x:c r="T469" s="48"/>
    </x:row>
    <x:row r="470">
      <x:c r="A470" t="n">
        <x:f>Plan_Raw!A470</x:f>
        <x:v>2087</x:v>
      </x:c>
      <x:c r="B470" t="str">
        <x:f>Plan_Raw!D470</x:f>
        <x:v>1367</x:v>
      </x:c>
      <x:c r="C470" t="str">
        <x:f>LEFT(Plan_Raw!B470,10)</x:f>
        <x:v>2026-01-03</x:v>
      </x:c>
      <x:c r="D470" t="str">
        <x:f>Plan_Raw!F470</x:f>
        <x:v>SFMTA</x:v>
      </x:c>
      <x:c r="E470" t="str">
        <x:f>Plan_Raw!E470</x:f>
        <x:v>Special Assistant 8</x:v>
      </x:c>
      <x:c r="F470" t="str">
        <x:f>Plan_Raw!C470</x:f>
        <x:v>1367C</x:v>
      </x:c>
      <x:c r="G470" s="50" t="n">
        <x:f>IF(Plan_Raw!G470="","",IFERROR(VALUE(Plan_Raw!G470),""))</x:f>
        <x:v>47.7375</x:v>
      </x:c>
      <x:c r="H470" t="str">
        <x:f>Plan_Raw!AH470</x:f>
        <x:v>1367|SFMTA|2026-01-03</x:v>
      </x:c>
      <x:c r="I470" t="n">
        <x:f>COUNTIF(Rates_Raw!$AF$5:$AF$464,H470)</x:f>
        <x:v>1</x:v>
      </x:c>
      <x:c r="J470" t="str">
        <x:f>IF(I470=1,_xlfn.XLOOKUP(H470,Rates_Raw!$AF$5:$AF$464,Rates_Raw!$E$5:$E$464,""),"")</x:f>
        <x:v>Special Assistant 8</x:v>
      </x:c>
      <x:c r="K470" t="n">
        <x:f>IF(I470=1,_xlfn.XLOOKUP(H470,Rates_Raw!$AF$5:$AF$464,Rates_Raw!$F$5:$F$464,""),"")</x:f>
        <x:v>21</x:v>
      </x:c>
      <x:c r="L470" s="50" t="n">
        <x:f>IF(I470=1,IFERROR(VALUE(SUBSTITUTE(_xlfn.XLOOKUP(H470,Rates_Raw!$AF$5:$AF$464,Rates_Raw!$L$5:$L$464,""),"$","")),""),"")</x:f>
        <x:v>47.7375</x:v>
      </x:c>
      <x:c r="M470" s="50" t="n">
        <x:f>IF(OR(G470="",L470=""),"",ROUND(G470-L470,4))</x:f>
        <x:v>0</x:v>
      </x:c>
      <x:c r="N470" t="str">
        <x:f>IF(I470=0,"NO MATCH",IF(I470&gt;1,"AMBIGUOUS",IF(EXACT(TRIM(E470),TRIM(J470)),"EXACT","TITLE VARIANT")))</x:f>
        <x:v>EXACT</x:v>
      </x:c>
      <x:c r="O470" t="str">
        <x:f>IF(I470&lt;&gt;1,"NOT TESTED",IF(OR(G470="",L470=""),"MISSING",IF(ABS(M470)&lt;=Guide!$B$16,"PASS","REVIEW")))</x:f>
        <x:v>PASS</x:v>
      </x:c>
      <x:c r="P470" s="52" t="n">
        <x:f>IF(I470=1,IFERROR(VALUE(SUBSTITUTE(SUBSTITUTE(_xlfn.XLOOKUP(H470,Rates_Raw!$AF$5:$AF$464,Rates_Raw!$I$5:$I$464,""),"$",""),",","")),""),"")</x:f>
        <x:v>3819</x:v>
      </x:c>
      <x:c r="Q470" s="52" t="n">
        <x:f>IF(P470="","",P470*Guide!$B$15)</x:f>
        <x:v>99294</x:v>
      </x:c>
      <x:c r="R470" t="str">
        <x:f>IF(I470=0,"UNMATCHED",IF(I470&gt;1,"DUPLICATE KEY",IF(OR(N470="TITLE VARIANT",O470="REVIEW",O470="MISSING"),"REVIEW","VERIFIED")))</x:f>
        <x:v>VERIFIED</x:v>
      </x:c>
      <x:c r="S470" s="46" t="str">
        <x:v>Not Reviewed</x:v>
      </x:c>
      <x:c r="T470" s="48"/>
    </x:row>
    <x:row r="471">
      <x:c r="A471" t="n">
        <x:f>Plan_Raw!A471</x:f>
        <x:v>2076</x:v>
      </x:c>
      <x:c r="B471" t="str">
        <x:f>Plan_Raw!D471</x:f>
        <x:v>1367</x:v>
      </x:c>
      <x:c r="C471" t="str">
        <x:f>LEFT(Plan_Raw!B471,10)</x:f>
        <x:v>2026-07-01</x:v>
      </x:c>
      <x:c r="D471" t="str">
        <x:f>Plan_Raw!F471</x:f>
        <x:v>COMMN</x:v>
      </x:c>
      <x:c r="E471" t="str">
        <x:f>Plan_Raw!E471</x:f>
        <x:v>Special Assistant 8</x:v>
      </x:c>
      <x:c r="F471" t="str">
        <x:f>Plan_Raw!C471</x:f>
        <x:v>1367D</x:v>
      </x:c>
      <x:c r="G471" s="50" t="n">
        <x:f>IF(Plan_Raw!G471="","",IFERROR(VALUE(Plan_Raw!G471),""))</x:f>
        <x:v>48.6875</x:v>
      </x:c>
      <x:c r="H471" t="str">
        <x:f>Plan_Raw!AH471</x:f>
        <x:v>1367|COMMN|2026-07-01</x:v>
      </x:c>
      <x:c r="I471" t="n">
        <x:f>COUNTIF(Rates_Raw!$AF$5:$AF$464,H471)</x:f>
        <x:v>0</x:v>
      </x:c>
      <x:c r="J471" t="str">
        <x:f>IF(I471=1,_xlfn.XLOOKUP(H471,Rates_Raw!$AF$5:$AF$464,Rates_Raw!$E$5:$E$464,""),"")</x:f>
      </x:c>
      <x:c r="K471" t="str">
        <x:f>IF(I471=1,_xlfn.XLOOKUP(H471,Rates_Raw!$AF$5:$AF$464,Rates_Raw!$F$5:$F$464,""),"")</x:f>
      </x:c>
      <x:c r="L471" s="50" t="str">
        <x:f>IF(I471=1,IFERROR(VALUE(SUBSTITUTE(_xlfn.XLOOKUP(H471,Rates_Raw!$AF$5:$AF$464,Rates_Raw!$L$5:$L$464,""),"$","")),""),"")</x:f>
      </x:c>
      <x:c r="M471" s="50" t="str">
        <x:f>IF(OR(G471="",L471=""),"",ROUND(G471-L471,4))</x:f>
      </x:c>
      <x:c r="N471" t="str">
        <x:f>IF(I471=0,"NO MATCH",IF(I471&gt;1,"AMBIGUOUS",IF(EXACT(TRIM(E471),TRIM(J471)),"EXACT","TITLE VARIANT")))</x:f>
        <x:v>NO MATCH</x:v>
      </x:c>
      <x:c r="O471" t="str">
        <x:f>IF(I471&lt;&gt;1,"NOT TESTED",IF(OR(G471="",L471=""),"MISSING",IF(ABS(M471)&lt;=Guide!$B$16,"PASS","REVIEW")))</x:f>
        <x:v>NOT TESTED</x:v>
      </x:c>
      <x:c r="P471" s="52" t="str">
        <x:f>IF(I471=1,IFERROR(VALUE(SUBSTITUTE(SUBSTITUTE(_xlfn.XLOOKUP(H471,Rates_Raw!$AF$5:$AF$464,Rates_Raw!$I$5:$I$464,""),"$",""),",","")),""),"")</x:f>
      </x:c>
      <x:c r="Q471" s="52" t="str">
        <x:f>IF(P471="","",P471*Guide!$B$15)</x:f>
      </x:c>
      <x:c r="R471" t="str">
        <x:f>IF(I471=0,"UNMATCHED",IF(I471&gt;1,"DUPLICATE KEY",IF(OR(N471="TITLE VARIANT",O471="REVIEW",O471="MISSING"),"REVIEW","VERIFIED")))</x:f>
        <x:v>UNMATCHED</x:v>
      </x:c>
      <x:c r="S471" s="46" t="str">
        <x:v>Not Reviewed</x:v>
      </x:c>
      <x:c r="T471" s="48"/>
    </x:row>
    <x:row r="472">
      <x:c r="A472" t="n">
        <x:f>Plan_Raw!A472</x:f>
        <x:v>2088</x:v>
      </x:c>
      <x:c r="B472" t="str">
        <x:f>Plan_Raw!D472</x:f>
        <x:v>1367</x:v>
      </x:c>
      <x:c r="C472" t="str">
        <x:f>LEFT(Plan_Raw!B472,10)</x:f>
        <x:v>2026-07-01</x:v>
      </x:c>
      <x:c r="D472" t="str">
        <x:f>Plan_Raw!F472</x:f>
        <x:v>SFMTA</x:v>
      </x:c>
      <x:c r="E472" t="str">
        <x:f>Plan_Raw!E472</x:f>
        <x:v>Special Assistant 8</x:v>
      </x:c>
      <x:c r="F472" t="str">
        <x:f>Plan_Raw!C472</x:f>
        <x:v>1367D</x:v>
      </x:c>
      <x:c r="G472" s="50" t="n">
        <x:f>IF(Plan_Raw!G472="","",IFERROR(VALUE(Plan_Raw!G472),""))</x:f>
        <x:v>48.6875</x:v>
      </x:c>
      <x:c r="H472" t="str">
        <x:f>Plan_Raw!AH472</x:f>
        <x:v>1367|SFMTA|2026-07-01</x:v>
      </x:c>
      <x:c r="I472" t="n">
        <x:f>COUNTIF(Rates_Raw!$AF$5:$AF$464,H472)</x:f>
        <x:v>0</x:v>
      </x:c>
      <x:c r="J472" t="str">
        <x:f>IF(I472=1,_xlfn.XLOOKUP(H472,Rates_Raw!$AF$5:$AF$464,Rates_Raw!$E$5:$E$464,""),"")</x:f>
      </x:c>
      <x:c r="K472" t="str">
        <x:f>IF(I472=1,_xlfn.XLOOKUP(H472,Rates_Raw!$AF$5:$AF$464,Rates_Raw!$F$5:$F$464,""),"")</x:f>
      </x:c>
      <x:c r="L472" s="50" t="str">
        <x:f>IF(I472=1,IFERROR(VALUE(SUBSTITUTE(_xlfn.XLOOKUP(H472,Rates_Raw!$AF$5:$AF$464,Rates_Raw!$L$5:$L$464,""),"$","")),""),"")</x:f>
      </x:c>
      <x:c r="M472" s="50" t="str">
        <x:f>IF(OR(G472="",L472=""),"",ROUND(G472-L472,4))</x:f>
      </x:c>
      <x:c r="N472" t="str">
        <x:f>IF(I472=0,"NO MATCH",IF(I472&gt;1,"AMBIGUOUS",IF(EXACT(TRIM(E472),TRIM(J472)),"EXACT","TITLE VARIANT")))</x:f>
        <x:v>NO MATCH</x:v>
      </x:c>
      <x:c r="O472" t="str">
        <x:f>IF(I472&lt;&gt;1,"NOT TESTED",IF(OR(G472="",L472=""),"MISSING",IF(ABS(M472)&lt;=Guide!$B$16,"PASS","REVIEW")))</x:f>
        <x:v>NOT TESTED</x:v>
      </x:c>
      <x:c r="P472" s="52" t="str">
        <x:f>IF(I472=1,IFERROR(VALUE(SUBSTITUTE(SUBSTITUTE(_xlfn.XLOOKUP(H472,Rates_Raw!$AF$5:$AF$464,Rates_Raw!$I$5:$I$464,""),"$",""),",","")),""),"")</x:f>
      </x:c>
      <x:c r="Q472" s="52" t="str">
        <x:f>IF(P472="","",P472*Guide!$B$15)</x:f>
      </x:c>
      <x:c r="R472" t="str">
        <x:f>IF(I472=0,"UNMATCHED",IF(I472&gt;1,"DUPLICATE KEY",IF(OR(N472="TITLE VARIANT",O472="REVIEW",O472="MISSING"),"REVIEW","VERIFIED")))</x:f>
        <x:v>UNMATCHED</x:v>
      </x:c>
      <x:c r="S472" s="46" t="str">
        <x:v>Not Reviewed</x:v>
      </x:c>
      <x:c r="T472" s="48"/>
    </x:row>
    <x:row r="473">
      <x:c r="A473" t="n">
        <x:f>Plan_Raw!A473</x:f>
        <x:v>2095</x:v>
      </x:c>
      <x:c r="B473" t="str">
        <x:f>Plan_Raw!D473</x:f>
        <x:v>1368</x:v>
      </x:c>
      <x:c r="C473" t="str">
        <x:f>LEFT(Plan_Raw!B473,10)</x:f>
        <x:v>2024-01-06</x:v>
      </x:c>
      <x:c r="D473" t="str">
        <x:f>Plan_Raw!F473</x:f>
        <x:v>COMMN</x:v>
      </x:c>
      <x:c r="E473" t="str">
        <x:f>Plan_Raw!E473</x:f>
        <x:v>Special Assistant IX</x:v>
      </x:c>
      <x:c r="F473" t="str">
        <x:f>Plan_Raw!C473</x:f>
        <x:v>1368Y</x:v>
      </x:c>
      <x:c r="G473" s="50" t="n">
        <x:f>IF(Plan_Raw!G473="","",IFERROR(VALUE(Plan_Raw!G473),""))</x:f>
        <x:v>48.15</x:v>
      </x:c>
      <x:c r="H473" t="str">
        <x:f>Plan_Raw!AH473</x:f>
        <x:v>1368|COMMN|2024-01-06</x:v>
      </x:c>
      <x:c r="I473" t="n">
        <x:f>COUNTIF(Rates_Raw!$AF$5:$AF$464,H473)</x:f>
        <x:v>1</x:v>
      </x:c>
      <x:c r="J473" t="str">
        <x:f>IF(I473=1,_xlfn.XLOOKUP(H473,Rates_Raw!$AF$5:$AF$464,Rates_Raw!$E$5:$E$464,""),"")</x:f>
        <x:v>Special Assistant IX</x:v>
      </x:c>
      <x:c r="K473" t="n">
        <x:f>IF(I473=1,_xlfn.XLOOKUP(H473,Rates_Raw!$AF$5:$AF$464,Rates_Raw!$F$5:$F$464,""),"")</x:f>
        <x:v>21</x:v>
      </x:c>
      <x:c r="L473" s="50" t="n">
        <x:f>IF(I473=1,IFERROR(VALUE(SUBSTITUTE(_xlfn.XLOOKUP(H473,Rates_Raw!$AF$5:$AF$464,Rates_Raw!$L$5:$L$464,""),"$","")),""),"")</x:f>
        <x:v>48.15</x:v>
      </x:c>
      <x:c r="M473" s="50" t="n">
        <x:f>IF(OR(G473="",L473=""),"",ROUND(G473-L473,4))</x:f>
        <x:v>0</x:v>
      </x:c>
      <x:c r="N473" t="str">
        <x:f>IF(I473=0,"NO MATCH",IF(I473&gt;1,"AMBIGUOUS",IF(EXACT(TRIM(E473),TRIM(J473)),"EXACT","TITLE VARIANT")))</x:f>
        <x:v>EXACT</x:v>
      </x:c>
      <x:c r="O473" t="str">
        <x:f>IF(I473&lt;&gt;1,"NOT TESTED",IF(OR(G473="",L473=""),"MISSING",IF(ABS(M473)&lt;=Guide!$B$16,"PASS","REVIEW")))</x:f>
        <x:v>PASS</x:v>
      </x:c>
      <x:c r="P473" s="52" t="n">
        <x:f>IF(I473=1,IFERROR(VALUE(SUBSTITUTE(SUBSTITUTE(_xlfn.XLOOKUP(H473,Rates_Raw!$AF$5:$AF$464,Rates_Raw!$I$5:$I$464,""),"$",""),",","")),""),"")</x:f>
        <x:v>3852</x:v>
      </x:c>
      <x:c r="Q473" s="52" t="n">
        <x:f>IF(P473="","",P473*Guide!$B$15)</x:f>
        <x:v>100152</x:v>
      </x:c>
      <x:c r="R473" t="str">
        <x:f>IF(I473=0,"UNMATCHED",IF(I473&gt;1,"DUPLICATE KEY",IF(OR(N473="TITLE VARIANT",O473="REVIEW",O473="MISSING"),"REVIEW","VERIFIED")))</x:f>
        <x:v>VERIFIED</x:v>
      </x:c>
      <x:c r="S473" s="46" t="str">
        <x:v>Not Reviewed</x:v>
      </x:c>
      <x:c r="T473" s="48"/>
    </x:row>
    <x:row r="474">
      <x:c r="A474" t="n">
        <x:f>Plan_Raw!A474</x:f>
        <x:v>2107</x:v>
      </x:c>
      <x:c r="B474" t="str">
        <x:f>Plan_Raw!D474</x:f>
        <x:v>1368</x:v>
      </x:c>
      <x:c r="C474" t="str">
        <x:f>LEFT(Plan_Raw!B474,10)</x:f>
        <x:v>2024-01-06</x:v>
      </x:c>
      <x:c r="D474" t="str">
        <x:f>Plan_Raw!F474</x:f>
        <x:v>SFMTA</x:v>
      </x:c>
      <x:c r="E474" t="str">
        <x:f>Plan_Raw!E474</x:f>
        <x:v>Special Assistant IX</x:v>
      </x:c>
      <x:c r="F474" t="str">
        <x:f>Plan_Raw!C474</x:f>
        <x:v>1368Y</x:v>
      </x:c>
      <x:c r="G474" s="50" t="n">
        <x:f>IF(Plan_Raw!G474="","",IFERROR(VALUE(Plan_Raw!G474),""))</x:f>
        <x:v>48.15</x:v>
      </x:c>
      <x:c r="H474" t="str">
        <x:f>Plan_Raw!AH474</x:f>
        <x:v>1368|SFMTA|2024-01-06</x:v>
      </x:c>
      <x:c r="I474" t="n">
        <x:f>COUNTIF(Rates_Raw!$AF$5:$AF$464,H474)</x:f>
        <x:v>1</x:v>
      </x:c>
      <x:c r="J474" t="str">
        <x:f>IF(I474=1,_xlfn.XLOOKUP(H474,Rates_Raw!$AF$5:$AF$464,Rates_Raw!$E$5:$E$464,""),"")</x:f>
        <x:v>Special Assistant IX</x:v>
      </x:c>
      <x:c r="K474" t="n">
        <x:f>IF(I474=1,_xlfn.XLOOKUP(H474,Rates_Raw!$AF$5:$AF$464,Rates_Raw!$F$5:$F$464,""),"")</x:f>
        <x:v>21</x:v>
      </x:c>
      <x:c r="L474" s="50" t="n">
        <x:f>IF(I474=1,IFERROR(VALUE(SUBSTITUTE(_xlfn.XLOOKUP(H474,Rates_Raw!$AF$5:$AF$464,Rates_Raw!$L$5:$L$464,""),"$","")),""),"")</x:f>
        <x:v>48.15</x:v>
      </x:c>
      <x:c r="M474" s="50" t="n">
        <x:f>IF(OR(G474="",L474=""),"",ROUND(G474-L474,4))</x:f>
        <x:v>0</x:v>
      </x:c>
      <x:c r="N474" t="str">
        <x:f>IF(I474=0,"NO MATCH",IF(I474&gt;1,"AMBIGUOUS",IF(EXACT(TRIM(E474),TRIM(J474)),"EXACT","TITLE VARIANT")))</x:f>
        <x:v>EXACT</x:v>
      </x:c>
      <x:c r="O474" t="str">
        <x:f>IF(I474&lt;&gt;1,"NOT TESTED",IF(OR(G474="",L474=""),"MISSING",IF(ABS(M474)&lt;=Guide!$B$16,"PASS","REVIEW")))</x:f>
        <x:v>PASS</x:v>
      </x:c>
      <x:c r="P474" s="52" t="n">
        <x:f>IF(I474=1,IFERROR(VALUE(SUBSTITUTE(SUBSTITUTE(_xlfn.XLOOKUP(H474,Rates_Raw!$AF$5:$AF$464,Rates_Raw!$I$5:$I$464,""),"$",""),",","")),""),"")</x:f>
        <x:v>3852</x:v>
      </x:c>
      <x:c r="Q474" s="52" t="n">
        <x:f>IF(P474="","",P474*Guide!$B$15)</x:f>
        <x:v>100152</x:v>
      </x:c>
      <x:c r="R474" t="str">
        <x:f>IF(I474=0,"UNMATCHED",IF(I474&gt;1,"DUPLICATE KEY",IF(OR(N474="TITLE VARIANT",O474="REVIEW",O474="MISSING"),"REVIEW","VERIFIED")))</x:f>
        <x:v>VERIFIED</x:v>
      </x:c>
      <x:c r="S474" s="46" t="str">
        <x:v>Not Reviewed</x:v>
      </x:c>
      <x:c r="T474" s="48"/>
    </x:row>
    <x:row r="475">
      <x:c r="A475" t="n">
        <x:f>Plan_Raw!A475</x:f>
        <x:v>2096</x:v>
      </x:c>
      <x:c r="B475" t="str">
        <x:f>Plan_Raw!D475</x:f>
        <x:v>1368</x:v>
      </x:c>
      <x:c r="C475" t="str">
        <x:f>LEFT(Plan_Raw!B475,10)</x:f>
        <x:v>2024-07-01</x:v>
      </x:c>
      <x:c r="D475" t="str">
        <x:f>Plan_Raw!F475</x:f>
        <x:v>COMMN</x:v>
      </x:c>
      <x:c r="E475" t="str">
        <x:f>Plan_Raw!E475</x:f>
        <x:v>Special Assistant IX</x:v>
      </x:c>
      <x:c r="F475" t="str">
        <x:f>Plan_Raw!C475</x:f>
        <x:v>1368Z</x:v>
      </x:c>
      <x:c r="G475" s="50" t="n">
        <x:f>IF(Plan_Raw!G475="","",IFERROR(VALUE(Plan_Raw!G475),""))</x:f>
        <x:v>48.875</x:v>
      </x:c>
      <x:c r="H475" t="str">
        <x:f>Plan_Raw!AH475</x:f>
        <x:v>1368|COMMN|2024-07-01</x:v>
      </x:c>
      <x:c r="I475" t="n">
        <x:f>COUNTIF(Rates_Raw!$AF$5:$AF$464,H475)</x:f>
        <x:v>1</x:v>
      </x:c>
      <x:c r="J475" t="str">
        <x:f>IF(I475=1,_xlfn.XLOOKUP(H475,Rates_Raw!$AF$5:$AF$464,Rates_Raw!$E$5:$E$464,""),"")</x:f>
        <x:v>Special Assistant IX</x:v>
      </x:c>
      <x:c r="K475" t="n">
        <x:f>IF(I475=1,_xlfn.XLOOKUP(H475,Rates_Raw!$AF$5:$AF$464,Rates_Raw!$F$5:$F$464,""),"")</x:f>
        <x:v>21</x:v>
      </x:c>
      <x:c r="L475" s="50" t="n">
        <x:f>IF(I475=1,IFERROR(VALUE(SUBSTITUTE(_xlfn.XLOOKUP(H475,Rates_Raw!$AF$5:$AF$464,Rates_Raw!$L$5:$L$464,""),"$","")),""),"")</x:f>
        <x:v>48.875</x:v>
      </x:c>
      <x:c r="M475" s="50" t="n">
        <x:f>IF(OR(G475="",L475=""),"",ROUND(G475-L475,4))</x:f>
        <x:v>0</x:v>
      </x:c>
      <x:c r="N475" t="str">
        <x:f>IF(I475=0,"NO MATCH",IF(I475&gt;1,"AMBIGUOUS",IF(EXACT(TRIM(E475),TRIM(J475)),"EXACT","TITLE VARIANT")))</x:f>
        <x:v>EXACT</x:v>
      </x:c>
      <x:c r="O475" t="str">
        <x:f>IF(I475&lt;&gt;1,"NOT TESTED",IF(OR(G475="",L475=""),"MISSING",IF(ABS(M475)&lt;=Guide!$B$16,"PASS","REVIEW")))</x:f>
        <x:v>PASS</x:v>
      </x:c>
      <x:c r="P475" s="52" t="n">
        <x:f>IF(I475=1,IFERROR(VALUE(SUBSTITUTE(SUBSTITUTE(_xlfn.XLOOKUP(H475,Rates_Raw!$AF$5:$AF$464,Rates_Raw!$I$5:$I$464,""),"$",""),",","")),""),"")</x:f>
        <x:v>3910</x:v>
      </x:c>
      <x:c r="Q475" s="52" t="n">
        <x:f>IF(P475="","",P475*Guide!$B$15)</x:f>
        <x:v>101660</x:v>
      </x:c>
      <x:c r="R475" t="str">
        <x:f>IF(I475=0,"UNMATCHED",IF(I475&gt;1,"DUPLICATE KEY",IF(OR(N475="TITLE VARIANT",O475="REVIEW",O475="MISSING"),"REVIEW","VERIFIED")))</x:f>
        <x:v>VERIFIED</x:v>
      </x:c>
      <x:c r="S475" s="46" t="str">
        <x:v>Not Reviewed</x:v>
      </x:c>
      <x:c r="T475" s="48"/>
    </x:row>
    <x:row r="476">
      <x:c r="A476" t="n">
        <x:f>Plan_Raw!A476</x:f>
        <x:v>2108</x:v>
      </x:c>
      <x:c r="B476" t="str">
        <x:f>Plan_Raw!D476</x:f>
        <x:v>1368</x:v>
      </x:c>
      <x:c r="C476" t="str">
        <x:f>LEFT(Plan_Raw!B476,10)</x:f>
        <x:v>2024-07-01</x:v>
      </x:c>
      <x:c r="D476" t="str">
        <x:f>Plan_Raw!F476</x:f>
        <x:v>SFMTA</x:v>
      </x:c>
      <x:c r="E476" t="str">
        <x:f>Plan_Raw!E476</x:f>
        <x:v>Special Assistant IX</x:v>
      </x:c>
      <x:c r="F476" t="str">
        <x:f>Plan_Raw!C476</x:f>
        <x:v>1368Z</x:v>
      </x:c>
      <x:c r="G476" s="50" t="n">
        <x:f>IF(Plan_Raw!G476="","",IFERROR(VALUE(Plan_Raw!G476),""))</x:f>
        <x:v>48.875</x:v>
      </x:c>
      <x:c r="H476" t="str">
        <x:f>Plan_Raw!AH476</x:f>
        <x:v>1368|SFMTA|2024-07-01</x:v>
      </x:c>
      <x:c r="I476" t="n">
        <x:f>COUNTIF(Rates_Raw!$AF$5:$AF$464,H476)</x:f>
        <x:v>1</x:v>
      </x:c>
      <x:c r="J476" t="str">
        <x:f>IF(I476=1,_xlfn.XLOOKUP(H476,Rates_Raw!$AF$5:$AF$464,Rates_Raw!$E$5:$E$464,""),"")</x:f>
        <x:v>Special Assistant IX</x:v>
      </x:c>
      <x:c r="K476" t="n">
        <x:f>IF(I476=1,_xlfn.XLOOKUP(H476,Rates_Raw!$AF$5:$AF$464,Rates_Raw!$F$5:$F$464,""),"")</x:f>
        <x:v>21</x:v>
      </x:c>
      <x:c r="L476" s="50" t="n">
        <x:f>IF(I476=1,IFERROR(VALUE(SUBSTITUTE(_xlfn.XLOOKUP(H476,Rates_Raw!$AF$5:$AF$464,Rates_Raw!$L$5:$L$464,""),"$","")),""),"")</x:f>
        <x:v>48.875</x:v>
      </x:c>
      <x:c r="M476" s="50" t="n">
        <x:f>IF(OR(G476="",L476=""),"",ROUND(G476-L476,4))</x:f>
        <x:v>0</x:v>
      </x:c>
      <x:c r="N476" t="str">
        <x:f>IF(I476=0,"NO MATCH",IF(I476&gt;1,"AMBIGUOUS",IF(EXACT(TRIM(E476),TRIM(J476)),"EXACT","TITLE VARIANT")))</x:f>
        <x:v>EXACT</x:v>
      </x:c>
      <x:c r="O476" t="str">
        <x:f>IF(I476&lt;&gt;1,"NOT TESTED",IF(OR(G476="",L476=""),"MISSING",IF(ABS(M476)&lt;=Guide!$B$16,"PASS","REVIEW")))</x:f>
        <x:v>PASS</x:v>
      </x:c>
      <x:c r="P476" s="52" t="n">
        <x:f>IF(I476=1,IFERROR(VALUE(SUBSTITUTE(SUBSTITUTE(_xlfn.XLOOKUP(H476,Rates_Raw!$AF$5:$AF$464,Rates_Raw!$I$5:$I$464,""),"$",""),",","")),""),"")</x:f>
        <x:v>3910</x:v>
      </x:c>
      <x:c r="Q476" s="52" t="n">
        <x:f>IF(P476="","",P476*Guide!$B$15)</x:f>
        <x:v>101660</x:v>
      </x:c>
      <x:c r="R476" t="str">
        <x:f>IF(I476=0,"UNMATCHED",IF(I476&gt;1,"DUPLICATE KEY",IF(OR(N476="TITLE VARIANT",O476="REVIEW",O476="MISSING"),"REVIEW","VERIFIED")))</x:f>
        <x:v>VERIFIED</x:v>
      </x:c>
      <x:c r="S476" s="46" t="str">
        <x:v>Not Reviewed</x:v>
      </x:c>
      <x:c r="T476" s="48"/>
    </x:row>
    <x:row r="477">
      <x:c r="A477" t="n">
        <x:f>Plan_Raw!A477</x:f>
        <x:v>2097</x:v>
      </x:c>
      <x:c r="B477" t="str">
        <x:f>Plan_Raw!D477</x:f>
        <x:v>1368</x:v>
      </x:c>
      <x:c r="C477" t="str">
        <x:f>LEFT(Plan_Raw!B477,10)</x:f>
        <x:v>2025-01-04</x:v>
      </x:c>
      <x:c r="D477" t="str">
        <x:f>Plan_Raw!F477</x:f>
        <x:v>COMMN</x:v>
      </x:c>
      <x:c r="E477" t="str">
        <x:f>Plan_Raw!E477</x:f>
        <x:v>Special Assistant IX</x:v>
      </x:c>
      <x:c r="F477" t="str">
        <x:f>Plan_Raw!C477</x:f>
        <x:v>1368A</x:v>
      </x:c>
      <x:c r="G477" s="50" t="n">
        <x:f>IF(Plan_Raw!G477="","",IFERROR(VALUE(Plan_Raw!G477),""))</x:f>
        <x:v>49.6125</x:v>
      </x:c>
      <x:c r="H477" t="str">
        <x:f>Plan_Raw!AH477</x:f>
        <x:v>1368|COMMN|2025-01-04</x:v>
      </x:c>
      <x:c r="I477" t="n">
        <x:f>COUNTIF(Rates_Raw!$AF$5:$AF$464,H477)</x:f>
        <x:v>1</x:v>
      </x:c>
      <x:c r="J477" t="str">
        <x:f>IF(I477=1,_xlfn.XLOOKUP(H477,Rates_Raw!$AF$5:$AF$464,Rates_Raw!$E$5:$E$464,""),"")</x:f>
        <x:v>Special Assistant IX</x:v>
      </x:c>
      <x:c r="K477" t="n">
        <x:f>IF(I477=1,_xlfn.XLOOKUP(H477,Rates_Raw!$AF$5:$AF$464,Rates_Raw!$F$5:$F$464,""),"")</x:f>
        <x:v>21</x:v>
      </x:c>
      <x:c r="L477" s="50" t="n">
        <x:f>IF(I477=1,IFERROR(VALUE(SUBSTITUTE(_xlfn.XLOOKUP(H477,Rates_Raw!$AF$5:$AF$464,Rates_Raw!$L$5:$L$464,""),"$","")),""),"")</x:f>
        <x:v>49.6125</x:v>
      </x:c>
      <x:c r="M477" s="50" t="n">
        <x:f>IF(OR(G477="",L477=""),"",ROUND(G477-L477,4))</x:f>
        <x:v>0</x:v>
      </x:c>
      <x:c r="N477" t="str">
        <x:f>IF(I477=0,"NO MATCH",IF(I477&gt;1,"AMBIGUOUS",IF(EXACT(TRIM(E477),TRIM(J477)),"EXACT","TITLE VARIANT")))</x:f>
        <x:v>EXACT</x:v>
      </x:c>
      <x:c r="O477" t="str">
        <x:f>IF(I477&lt;&gt;1,"NOT TESTED",IF(OR(G477="",L477=""),"MISSING",IF(ABS(M477)&lt;=Guide!$B$16,"PASS","REVIEW")))</x:f>
        <x:v>PASS</x:v>
      </x:c>
      <x:c r="P477" s="52" t="n">
        <x:f>IF(I477=1,IFERROR(VALUE(SUBSTITUTE(SUBSTITUTE(_xlfn.XLOOKUP(H477,Rates_Raw!$AF$5:$AF$464,Rates_Raw!$I$5:$I$464,""),"$",""),",","")),""),"")</x:f>
        <x:v>3969</x:v>
      </x:c>
      <x:c r="Q477" s="52" t="n">
        <x:f>IF(P477="","",P477*Guide!$B$15)</x:f>
        <x:v>103194</x:v>
      </x:c>
      <x:c r="R477" t="str">
        <x:f>IF(I477=0,"UNMATCHED",IF(I477&gt;1,"DUPLICATE KEY",IF(OR(N477="TITLE VARIANT",O477="REVIEW",O477="MISSING"),"REVIEW","VERIFIED")))</x:f>
        <x:v>VERIFIED</x:v>
      </x:c>
      <x:c r="S477" s="46" t="str">
        <x:v>Not Reviewed</x:v>
      </x:c>
      <x:c r="T477" s="48"/>
    </x:row>
    <x:row r="478">
      <x:c r="A478" t="n">
        <x:f>Plan_Raw!A478</x:f>
        <x:v>2109</x:v>
      </x:c>
      <x:c r="B478" t="str">
        <x:f>Plan_Raw!D478</x:f>
        <x:v>1368</x:v>
      </x:c>
      <x:c r="C478" t="str">
        <x:f>LEFT(Plan_Raw!B478,10)</x:f>
        <x:v>2025-01-04</x:v>
      </x:c>
      <x:c r="D478" t="str">
        <x:f>Plan_Raw!F478</x:f>
        <x:v>SFMTA</x:v>
      </x:c>
      <x:c r="E478" t="str">
        <x:f>Plan_Raw!E478</x:f>
        <x:v>Special Assistant IX</x:v>
      </x:c>
      <x:c r="F478" t="str">
        <x:f>Plan_Raw!C478</x:f>
        <x:v>1368A</x:v>
      </x:c>
      <x:c r="G478" s="50" t="n">
        <x:f>IF(Plan_Raw!G478="","",IFERROR(VALUE(Plan_Raw!G478),""))</x:f>
        <x:v>49.6125</x:v>
      </x:c>
      <x:c r="H478" t="str">
        <x:f>Plan_Raw!AH478</x:f>
        <x:v>1368|SFMTA|2025-01-04</x:v>
      </x:c>
      <x:c r="I478" t="n">
        <x:f>COUNTIF(Rates_Raw!$AF$5:$AF$464,H478)</x:f>
        <x:v>1</x:v>
      </x:c>
      <x:c r="J478" t="str">
        <x:f>IF(I478=1,_xlfn.XLOOKUP(H478,Rates_Raw!$AF$5:$AF$464,Rates_Raw!$E$5:$E$464,""),"")</x:f>
        <x:v>Special Assistant IX</x:v>
      </x:c>
      <x:c r="K478" t="n">
        <x:f>IF(I478=1,_xlfn.XLOOKUP(H478,Rates_Raw!$AF$5:$AF$464,Rates_Raw!$F$5:$F$464,""),"")</x:f>
        <x:v>21</x:v>
      </x:c>
      <x:c r="L478" s="50" t="n">
        <x:f>IF(I478=1,IFERROR(VALUE(SUBSTITUTE(_xlfn.XLOOKUP(H478,Rates_Raw!$AF$5:$AF$464,Rates_Raw!$L$5:$L$464,""),"$","")),""),"")</x:f>
        <x:v>49.6125</x:v>
      </x:c>
      <x:c r="M478" s="50" t="n">
        <x:f>IF(OR(G478="",L478=""),"",ROUND(G478-L478,4))</x:f>
        <x:v>0</x:v>
      </x:c>
      <x:c r="N478" t="str">
        <x:f>IF(I478=0,"NO MATCH",IF(I478&gt;1,"AMBIGUOUS",IF(EXACT(TRIM(E478),TRIM(J478)),"EXACT","TITLE VARIANT")))</x:f>
        <x:v>EXACT</x:v>
      </x:c>
      <x:c r="O478" t="str">
        <x:f>IF(I478&lt;&gt;1,"NOT TESTED",IF(OR(G478="",L478=""),"MISSING",IF(ABS(M478)&lt;=Guide!$B$16,"PASS","REVIEW")))</x:f>
        <x:v>PASS</x:v>
      </x:c>
      <x:c r="P478" s="52" t="n">
        <x:f>IF(I478=1,IFERROR(VALUE(SUBSTITUTE(SUBSTITUTE(_xlfn.XLOOKUP(H478,Rates_Raw!$AF$5:$AF$464,Rates_Raw!$I$5:$I$464,""),"$",""),",","")),""),"")</x:f>
        <x:v>3969</x:v>
      </x:c>
      <x:c r="Q478" s="52" t="n">
        <x:f>IF(P478="","",P478*Guide!$B$15)</x:f>
        <x:v>103194</x:v>
      </x:c>
      <x:c r="R478" t="str">
        <x:f>IF(I478=0,"UNMATCHED",IF(I478&gt;1,"DUPLICATE KEY",IF(OR(N478="TITLE VARIANT",O478="REVIEW",O478="MISSING"),"REVIEW","VERIFIED")))</x:f>
        <x:v>VERIFIED</x:v>
      </x:c>
      <x:c r="S478" s="46" t="str">
        <x:v>Not Reviewed</x:v>
      </x:c>
      <x:c r="T478" s="48"/>
    </x:row>
    <x:row r="479">
      <x:c r="A479" t="n">
        <x:f>Plan_Raw!A479</x:f>
        <x:v>2098</x:v>
      </x:c>
      <x:c r="B479" t="str">
        <x:f>Plan_Raw!D479</x:f>
        <x:v>1368</x:v>
      </x:c>
      <x:c r="C479" t="str">
        <x:f>LEFT(Plan_Raw!B479,10)</x:f>
        <x:v>2025-07-01</x:v>
      </x:c>
      <x:c r="D479" t="str">
        <x:f>Plan_Raw!F479</x:f>
        <x:v>COMMN</x:v>
      </x:c>
      <x:c r="E479" t="str">
        <x:f>Plan_Raw!E479</x:f>
        <x:v>Special Assistant 9</x:v>
      </x:c>
      <x:c r="F479" t="str">
        <x:f>Plan_Raw!C479</x:f>
        <x:v>1368B</x:v>
      </x:c>
      <x:c r="G479" s="50" t="n">
        <x:f>IF(Plan_Raw!G479="","",IFERROR(VALUE(Plan_Raw!G479),""))</x:f>
        <x:v>50.6125</x:v>
      </x:c>
      <x:c r="H479" t="str">
        <x:f>Plan_Raw!AH479</x:f>
        <x:v>1368|COMMN|2025-07-01</x:v>
      </x:c>
      <x:c r="I479" t="n">
        <x:f>COUNTIF(Rates_Raw!$AF$5:$AF$464,H479)</x:f>
        <x:v>1</x:v>
      </x:c>
      <x:c r="J479" t="str">
        <x:f>IF(I479=1,_xlfn.XLOOKUP(H479,Rates_Raw!$AF$5:$AF$464,Rates_Raw!$E$5:$E$464,""),"")</x:f>
        <x:v>Special Assistant 9</x:v>
      </x:c>
      <x:c r="K479" t="n">
        <x:f>IF(I479=1,_xlfn.XLOOKUP(H479,Rates_Raw!$AF$5:$AF$464,Rates_Raw!$F$5:$F$464,""),"")</x:f>
        <x:v>21</x:v>
      </x:c>
      <x:c r="L479" s="50" t="n">
        <x:f>IF(I479=1,IFERROR(VALUE(SUBSTITUTE(_xlfn.XLOOKUP(H479,Rates_Raw!$AF$5:$AF$464,Rates_Raw!$L$5:$L$464,""),"$","")),""),"")</x:f>
        <x:v>50.6125</x:v>
      </x:c>
      <x:c r="M479" s="50" t="n">
        <x:f>IF(OR(G479="",L479=""),"",ROUND(G479-L479,4))</x:f>
        <x:v>0</x:v>
      </x:c>
      <x:c r="N479" t="str">
        <x:f>IF(I479=0,"NO MATCH",IF(I479&gt;1,"AMBIGUOUS",IF(EXACT(TRIM(E479),TRIM(J479)),"EXACT","TITLE VARIANT")))</x:f>
        <x:v>EXACT</x:v>
      </x:c>
      <x:c r="O479" t="str">
        <x:f>IF(I479&lt;&gt;1,"NOT TESTED",IF(OR(G479="",L479=""),"MISSING",IF(ABS(M479)&lt;=Guide!$B$16,"PASS","REVIEW")))</x:f>
        <x:v>PASS</x:v>
      </x:c>
      <x:c r="P479" s="52" t="n">
        <x:f>IF(I479=1,IFERROR(VALUE(SUBSTITUTE(SUBSTITUTE(_xlfn.XLOOKUP(H479,Rates_Raw!$AF$5:$AF$464,Rates_Raw!$I$5:$I$464,""),"$",""),",","")),""),"")</x:f>
        <x:v>4049</x:v>
      </x:c>
      <x:c r="Q479" s="52" t="n">
        <x:f>IF(P479="","",P479*Guide!$B$15)</x:f>
        <x:v>105274</x:v>
      </x:c>
      <x:c r="R479" t="str">
        <x:f>IF(I479=0,"UNMATCHED",IF(I479&gt;1,"DUPLICATE KEY",IF(OR(N479="TITLE VARIANT",O479="REVIEW",O479="MISSING"),"REVIEW","VERIFIED")))</x:f>
        <x:v>VERIFIED</x:v>
      </x:c>
      <x:c r="S479" s="46" t="str">
        <x:v>Not Reviewed</x:v>
      </x:c>
      <x:c r="T479" s="48"/>
    </x:row>
    <x:row r="480">
      <x:c r="A480" t="n">
        <x:f>Plan_Raw!A480</x:f>
        <x:v>2110</x:v>
      </x:c>
      <x:c r="B480" t="str">
        <x:f>Plan_Raw!D480</x:f>
        <x:v>1368</x:v>
      </x:c>
      <x:c r="C480" t="str">
        <x:f>LEFT(Plan_Raw!B480,10)</x:f>
        <x:v>2025-07-01</x:v>
      </x:c>
      <x:c r="D480" t="str">
        <x:f>Plan_Raw!F480</x:f>
        <x:v>SFMTA</x:v>
      </x:c>
      <x:c r="E480" t="str">
        <x:f>Plan_Raw!E480</x:f>
        <x:v>Special Assistant 9</x:v>
      </x:c>
      <x:c r="F480" t="str">
        <x:f>Plan_Raw!C480</x:f>
        <x:v>1368B</x:v>
      </x:c>
      <x:c r="G480" s="50" t="n">
        <x:f>IF(Plan_Raw!G480="","",IFERROR(VALUE(Plan_Raw!G480),""))</x:f>
        <x:v>50.6125</x:v>
      </x:c>
      <x:c r="H480" t="str">
        <x:f>Plan_Raw!AH480</x:f>
        <x:v>1368|SFMTA|2025-07-01</x:v>
      </x:c>
      <x:c r="I480" t="n">
        <x:f>COUNTIF(Rates_Raw!$AF$5:$AF$464,H480)</x:f>
        <x:v>1</x:v>
      </x:c>
      <x:c r="J480" t="str">
        <x:f>IF(I480=1,_xlfn.XLOOKUP(H480,Rates_Raw!$AF$5:$AF$464,Rates_Raw!$E$5:$E$464,""),"")</x:f>
        <x:v>Special Assistant 9</x:v>
      </x:c>
      <x:c r="K480" t="n">
        <x:f>IF(I480=1,_xlfn.XLOOKUP(H480,Rates_Raw!$AF$5:$AF$464,Rates_Raw!$F$5:$F$464,""),"")</x:f>
        <x:v>21</x:v>
      </x:c>
      <x:c r="L480" s="50" t="n">
        <x:f>IF(I480=1,IFERROR(VALUE(SUBSTITUTE(_xlfn.XLOOKUP(H480,Rates_Raw!$AF$5:$AF$464,Rates_Raw!$L$5:$L$464,""),"$","")),""),"")</x:f>
        <x:v>50.6125</x:v>
      </x:c>
      <x:c r="M480" s="50" t="n">
        <x:f>IF(OR(G480="",L480=""),"",ROUND(G480-L480,4))</x:f>
        <x:v>0</x:v>
      </x:c>
      <x:c r="N480" t="str">
        <x:f>IF(I480=0,"NO MATCH",IF(I480&gt;1,"AMBIGUOUS",IF(EXACT(TRIM(E480),TRIM(J480)),"EXACT","TITLE VARIANT")))</x:f>
        <x:v>EXACT</x:v>
      </x:c>
      <x:c r="O480" t="str">
        <x:f>IF(I480&lt;&gt;1,"NOT TESTED",IF(OR(G480="",L480=""),"MISSING",IF(ABS(M480)&lt;=Guide!$B$16,"PASS","REVIEW")))</x:f>
        <x:v>PASS</x:v>
      </x:c>
      <x:c r="P480" s="52" t="n">
        <x:f>IF(I480=1,IFERROR(VALUE(SUBSTITUTE(SUBSTITUTE(_xlfn.XLOOKUP(H480,Rates_Raw!$AF$5:$AF$464,Rates_Raw!$I$5:$I$464,""),"$",""),",","")),""),"")</x:f>
        <x:v>4049</x:v>
      </x:c>
      <x:c r="Q480" s="52" t="n">
        <x:f>IF(P480="","",P480*Guide!$B$15)</x:f>
        <x:v>105274</x:v>
      </x:c>
      <x:c r="R480" t="str">
        <x:f>IF(I480=0,"UNMATCHED",IF(I480&gt;1,"DUPLICATE KEY",IF(OR(N480="TITLE VARIANT",O480="REVIEW",O480="MISSING"),"REVIEW","VERIFIED")))</x:f>
        <x:v>VERIFIED</x:v>
      </x:c>
      <x:c r="S480" s="46" t="str">
        <x:v>Not Reviewed</x:v>
      </x:c>
      <x:c r="T480" s="48"/>
    </x:row>
    <x:row r="481">
      <x:c r="A481" t="n">
        <x:f>Plan_Raw!A481</x:f>
        <x:v>2099</x:v>
      </x:c>
      <x:c r="B481" t="str">
        <x:f>Plan_Raw!D481</x:f>
        <x:v>1368</x:v>
      </x:c>
      <x:c r="C481" t="str">
        <x:f>LEFT(Plan_Raw!B481,10)</x:f>
        <x:v>2026-01-03</x:v>
      </x:c>
      <x:c r="D481" t="str">
        <x:f>Plan_Raw!F481</x:f>
        <x:v>COMMN</x:v>
      </x:c>
      <x:c r="E481" t="str">
        <x:f>Plan_Raw!E481</x:f>
        <x:v>Special Assistant 9</x:v>
      </x:c>
      <x:c r="F481" t="str">
        <x:f>Plan_Raw!C481</x:f>
        <x:v>1368C</x:v>
      </x:c>
      <x:c r="G481" s="50" t="n">
        <x:f>IF(Plan_Raw!G481="","",IFERROR(VALUE(Plan_Raw!G481),""))</x:f>
        <x:v>51.375</x:v>
      </x:c>
      <x:c r="H481" t="str">
        <x:f>Plan_Raw!AH481</x:f>
        <x:v>1368|COMMN|2026-01-03</x:v>
      </x:c>
      <x:c r="I481" t="n">
        <x:f>COUNTIF(Rates_Raw!$AF$5:$AF$464,H481)</x:f>
        <x:v>1</x:v>
      </x:c>
      <x:c r="J481" t="str">
        <x:f>IF(I481=1,_xlfn.XLOOKUP(H481,Rates_Raw!$AF$5:$AF$464,Rates_Raw!$E$5:$E$464,""),"")</x:f>
        <x:v>Special Assistant 9</x:v>
      </x:c>
      <x:c r="K481" t="n">
        <x:f>IF(I481=1,_xlfn.XLOOKUP(H481,Rates_Raw!$AF$5:$AF$464,Rates_Raw!$F$5:$F$464,""),"")</x:f>
        <x:v>21</x:v>
      </x:c>
      <x:c r="L481" s="50" t="n">
        <x:f>IF(I481=1,IFERROR(VALUE(SUBSTITUTE(_xlfn.XLOOKUP(H481,Rates_Raw!$AF$5:$AF$464,Rates_Raw!$L$5:$L$464,""),"$","")),""),"")</x:f>
        <x:v>51.375</x:v>
      </x:c>
      <x:c r="M481" s="50" t="n">
        <x:f>IF(OR(G481="",L481=""),"",ROUND(G481-L481,4))</x:f>
        <x:v>0</x:v>
      </x:c>
      <x:c r="N481" t="str">
        <x:f>IF(I481=0,"NO MATCH",IF(I481&gt;1,"AMBIGUOUS",IF(EXACT(TRIM(E481),TRIM(J481)),"EXACT","TITLE VARIANT")))</x:f>
        <x:v>EXACT</x:v>
      </x:c>
      <x:c r="O481" t="str">
        <x:f>IF(I481&lt;&gt;1,"NOT TESTED",IF(OR(G481="",L481=""),"MISSING",IF(ABS(M481)&lt;=Guide!$B$16,"PASS","REVIEW")))</x:f>
        <x:v>PASS</x:v>
      </x:c>
      <x:c r="P481" s="52" t="n">
        <x:f>IF(I481=1,IFERROR(VALUE(SUBSTITUTE(SUBSTITUTE(_xlfn.XLOOKUP(H481,Rates_Raw!$AF$5:$AF$464,Rates_Raw!$I$5:$I$464,""),"$",""),",","")),""),"")</x:f>
        <x:v>4110</x:v>
      </x:c>
      <x:c r="Q481" s="52" t="n">
        <x:f>IF(P481="","",P481*Guide!$B$15)</x:f>
        <x:v>106860</x:v>
      </x:c>
      <x:c r="R481" t="str">
        <x:f>IF(I481=0,"UNMATCHED",IF(I481&gt;1,"DUPLICATE KEY",IF(OR(N481="TITLE VARIANT",O481="REVIEW",O481="MISSING"),"REVIEW","VERIFIED")))</x:f>
        <x:v>VERIFIED</x:v>
      </x:c>
      <x:c r="S481" s="46" t="str">
        <x:v>Not Reviewed</x:v>
      </x:c>
      <x:c r="T481" s="48"/>
    </x:row>
    <x:row r="482">
      <x:c r="A482" t="n">
        <x:f>Plan_Raw!A482</x:f>
        <x:v>2111</x:v>
      </x:c>
      <x:c r="B482" t="str">
        <x:f>Plan_Raw!D482</x:f>
        <x:v>1368</x:v>
      </x:c>
      <x:c r="C482" t="str">
        <x:f>LEFT(Plan_Raw!B482,10)</x:f>
        <x:v>2026-01-03</x:v>
      </x:c>
      <x:c r="D482" t="str">
        <x:f>Plan_Raw!F482</x:f>
        <x:v>SFMTA</x:v>
      </x:c>
      <x:c r="E482" t="str">
        <x:f>Plan_Raw!E482</x:f>
        <x:v>Special Assistant 9</x:v>
      </x:c>
      <x:c r="F482" t="str">
        <x:f>Plan_Raw!C482</x:f>
        <x:v>1368C</x:v>
      </x:c>
      <x:c r="G482" s="50" t="n">
        <x:f>IF(Plan_Raw!G482="","",IFERROR(VALUE(Plan_Raw!G482),""))</x:f>
        <x:v>51.375</x:v>
      </x:c>
      <x:c r="H482" t="str">
        <x:f>Plan_Raw!AH482</x:f>
        <x:v>1368|SFMTA|2026-01-03</x:v>
      </x:c>
      <x:c r="I482" t="n">
        <x:f>COUNTIF(Rates_Raw!$AF$5:$AF$464,H482)</x:f>
        <x:v>1</x:v>
      </x:c>
      <x:c r="J482" t="str">
        <x:f>IF(I482=1,_xlfn.XLOOKUP(H482,Rates_Raw!$AF$5:$AF$464,Rates_Raw!$E$5:$E$464,""),"")</x:f>
        <x:v>Special Assistant 9</x:v>
      </x:c>
      <x:c r="K482" t="n">
        <x:f>IF(I482=1,_xlfn.XLOOKUP(H482,Rates_Raw!$AF$5:$AF$464,Rates_Raw!$F$5:$F$464,""),"")</x:f>
        <x:v>21</x:v>
      </x:c>
      <x:c r="L482" s="50" t="n">
        <x:f>IF(I482=1,IFERROR(VALUE(SUBSTITUTE(_xlfn.XLOOKUP(H482,Rates_Raw!$AF$5:$AF$464,Rates_Raw!$L$5:$L$464,""),"$","")),""),"")</x:f>
        <x:v>51.375</x:v>
      </x:c>
      <x:c r="M482" s="50" t="n">
        <x:f>IF(OR(G482="",L482=""),"",ROUND(G482-L482,4))</x:f>
        <x:v>0</x:v>
      </x:c>
      <x:c r="N482" t="str">
        <x:f>IF(I482=0,"NO MATCH",IF(I482&gt;1,"AMBIGUOUS",IF(EXACT(TRIM(E482),TRIM(J482)),"EXACT","TITLE VARIANT")))</x:f>
        <x:v>EXACT</x:v>
      </x:c>
      <x:c r="O482" t="str">
        <x:f>IF(I482&lt;&gt;1,"NOT TESTED",IF(OR(G482="",L482=""),"MISSING",IF(ABS(M482)&lt;=Guide!$B$16,"PASS","REVIEW")))</x:f>
        <x:v>PASS</x:v>
      </x:c>
      <x:c r="P482" s="52" t="n">
        <x:f>IF(I482=1,IFERROR(VALUE(SUBSTITUTE(SUBSTITUTE(_xlfn.XLOOKUP(H482,Rates_Raw!$AF$5:$AF$464,Rates_Raw!$I$5:$I$464,""),"$",""),",","")),""),"")</x:f>
        <x:v>4110</x:v>
      </x:c>
      <x:c r="Q482" s="52" t="n">
        <x:f>IF(P482="","",P482*Guide!$B$15)</x:f>
        <x:v>106860</x:v>
      </x:c>
      <x:c r="R482" t="str">
        <x:f>IF(I482=0,"UNMATCHED",IF(I482&gt;1,"DUPLICATE KEY",IF(OR(N482="TITLE VARIANT",O482="REVIEW",O482="MISSING"),"REVIEW","VERIFIED")))</x:f>
        <x:v>VERIFIED</x:v>
      </x:c>
      <x:c r="S482" s="46" t="str">
        <x:v>Not Reviewed</x:v>
      </x:c>
      <x:c r="T482" s="48"/>
    </x:row>
    <x:row r="483">
      <x:c r="A483" t="n">
        <x:f>Plan_Raw!A483</x:f>
        <x:v>2100</x:v>
      </x:c>
      <x:c r="B483" t="str">
        <x:f>Plan_Raw!D483</x:f>
        <x:v>1368</x:v>
      </x:c>
      <x:c r="C483" t="str">
        <x:f>LEFT(Plan_Raw!B483,10)</x:f>
        <x:v>2026-07-01</x:v>
      </x:c>
      <x:c r="D483" t="str">
        <x:f>Plan_Raw!F483</x:f>
        <x:v>COMMN</x:v>
      </x:c>
      <x:c r="E483" t="str">
        <x:f>Plan_Raw!E483</x:f>
        <x:v>Special Assistant 9</x:v>
      </x:c>
      <x:c r="F483" t="str">
        <x:f>Plan_Raw!C483</x:f>
        <x:v>1368D</x:v>
      </x:c>
      <x:c r="G483" s="50" t="n">
        <x:f>IF(Plan_Raw!G483="","",IFERROR(VALUE(Plan_Raw!G483),""))</x:f>
        <x:v>52.4</x:v>
      </x:c>
      <x:c r="H483" t="str">
        <x:f>Plan_Raw!AH483</x:f>
        <x:v>1368|COMMN|2026-07-01</x:v>
      </x:c>
      <x:c r="I483" t="n">
        <x:f>COUNTIF(Rates_Raw!$AF$5:$AF$464,H483)</x:f>
        <x:v>0</x:v>
      </x:c>
      <x:c r="J483" t="str">
        <x:f>IF(I483=1,_xlfn.XLOOKUP(H483,Rates_Raw!$AF$5:$AF$464,Rates_Raw!$E$5:$E$464,""),"")</x:f>
      </x:c>
      <x:c r="K483" t="str">
        <x:f>IF(I483=1,_xlfn.XLOOKUP(H483,Rates_Raw!$AF$5:$AF$464,Rates_Raw!$F$5:$F$464,""),"")</x:f>
      </x:c>
      <x:c r="L483" s="50" t="str">
        <x:f>IF(I483=1,IFERROR(VALUE(SUBSTITUTE(_xlfn.XLOOKUP(H483,Rates_Raw!$AF$5:$AF$464,Rates_Raw!$L$5:$L$464,""),"$","")),""),"")</x:f>
      </x:c>
      <x:c r="M483" s="50" t="str">
        <x:f>IF(OR(G483="",L483=""),"",ROUND(G483-L483,4))</x:f>
      </x:c>
      <x:c r="N483" t="str">
        <x:f>IF(I483=0,"NO MATCH",IF(I483&gt;1,"AMBIGUOUS",IF(EXACT(TRIM(E483),TRIM(J483)),"EXACT","TITLE VARIANT")))</x:f>
        <x:v>NO MATCH</x:v>
      </x:c>
      <x:c r="O483" t="str">
        <x:f>IF(I483&lt;&gt;1,"NOT TESTED",IF(OR(G483="",L483=""),"MISSING",IF(ABS(M483)&lt;=Guide!$B$16,"PASS","REVIEW")))</x:f>
        <x:v>NOT TESTED</x:v>
      </x:c>
      <x:c r="P483" s="52" t="str">
        <x:f>IF(I483=1,IFERROR(VALUE(SUBSTITUTE(SUBSTITUTE(_xlfn.XLOOKUP(H483,Rates_Raw!$AF$5:$AF$464,Rates_Raw!$I$5:$I$464,""),"$",""),",","")),""),"")</x:f>
      </x:c>
      <x:c r="Q483" s="52" t="str">
        <x:f>IF(P483="","",P483*Guide!$B$15)</x:f>
      </x:c>
      <x:c r="R483" t="str">
        <x:f>IF(I483=0,"UNMATCHED",IF(I483&gt;1,"DUPLICATE KEY",IF(OR(N483="TITLE VARIANT",O483="REVIEW",O483="MISSING"),"REVIEW","VERIFIED")))</x:f>
        <x:v>UNMATCHED</x:v>
      </x:c>
      <x:c r="S483" s="46" t="str">
        <x:v>Not Reviewed</x:v>
      </x:c>
      <x:c r="T483" s="48"/>
    </x:row>
    <x:row r="484">
      <x:c r="A484" t="n">
        <x:f>Plan_Raw!A484</x:f>
        <x:v>2112</x:v>
      </x:c>
      <x:c r="B484" t="str">
        <x:f>Plan_Raw!D484</x:f>
        <x:v>1368</x:v>
      </x:c>
      <x:c r="C484" t="str">
        <x:f>LEFT(Plan_Raw!B484,10)</x:f>
        <x:v>2026-07-01</x:v>
      </x:c>
      <x:c r="D484" t="str">
        <x:f>Plan_Raw!F484</x:f>
        <x:v>SFMTA</x:v>
      </x:c>
      <x:c r="E484" t="str">
        <x:f>Plan_Raw!E484</x:f>
        <x:v>Special Assistant 9</x:v>
      </x:c>
      <x:c r="F484" t="str">
        <x:f>Plan_Raw!C484</x:f>
        <x:v>1368D</x:v>
      </x:c>
      <x:c r="G484" s="50" t="n">
        <x:f>IF(Plan_Raw!G484="","",IFERROR(VALUE(Plan_Raw!G484),""))</x:f>
        <x:v>52.4</x:v>
      </x:c>
      <x:c r="H484" t="str">
        <x:f>Plan_Raw!AH484</x:f>
        <x:v>1368|SFMTA|2026-07-01</x:v>
      </x:c>
      <x:c r="I484" t="n">
        <x:f>COUNTIF(Rates_Raw!$AF$5:$AF$464,H484)</x:f>
        <x:v>0</x:v>
      </x:c>
      <x:c r="J484" t="str">
        <x:f>IF(I484=1,_xlfn.XLOOKUP(H484,Rates_Raw!$AF$5:$AF$464,Rates_Raw!$E$5:$E$464,""),"")</x:f>
      </x:c>
      <x:c r="K484" t="str">
        <x:f>IF(I484=1,_xlfn.XLOOKUP(H484,Rates_Raw!$AF$5:$AF$464,Rates_Raw!$F$5:$F$464,""),"")</x:f>
      </x:c>
      <x:c r="L484" s="50" t="str">
        <x:f>IF(I484=1,IFERROR(VALUE(SUBSTITUTE(_xlfn.XLOOKUP(H484,Rates_Raw!$AF$5:$AF$464,Rates_Raw!$L$5:$L$464,""),"$","")),""),"")</x:f>
      </x:c>
      <x:c r="M484" s="50" t="str">
        <x:f>IF(OR(G484="",L484=""),"",ROUND(G484-L484,4))</x:f>
      </x:c>
      <x:c r="N484" t="str">
        <x:f>IF(I484=0,"NO MATCH",IF(I484&gt;1,"AMBIGUOUS",IF(EXACT(TRIM(E484),TRIM(J484)),"EXACT","TITLE VARIANT")))</x:f>
        <x:v>NO MATCH</x:v>
      </x:c>
      <x:c r="O484" t="str">
        <x:f>IF(I484&lt;&gt;1,"NOT TESTED",IF(OR(G484="",L484=""),"MISSING",IF(ABS(M484)&lt;=Guide!$B$16,"PASS","REVIEW")))</x:f>
        <x:v>NOT TESTED</x:v>
      </x:c>
      <x:c r="P484" s="52" t="str">
        <x:f>IF(I484=1,IFERROR(VALUE(SUBSTITUTE(SUBSTITUTE(_xlfn.XLOOKUP(H484,Rates_Raw!$AF$5:$AF$464,Rates_Raw!$I$5:$I$464,""),"$",""),",","")),""),"")</x:f>
      </x:c>
      <x:c r="Q484" s="52" t="str">
        <x:f>IF(P484="","",P484*Guide!$B$15)</x:f>
      </x:c>
      <x:c r="R484" t="str">
        <x:f>IF(I484=0,"UNMATCHED",IF(I484&gt;1,"DUPLICATE KEY",IF(OR(N484="TITLE VARIANT",O484="REVIEW",O484="MISSING"),"REVIEW","VERIFIED")))</x:f>
        <x:v>UNMATCHED</x:v>
      </x:c>
      <x:c r="S484" s="46" t="str">
        <x:v>Not Reviewed</x:v>
      </x:c>
      <x:c r="T484" s="48"/>
    </x:row>
    <x:row r="485">
      <x:c r="A485" t="n">
        <x:f>Plan_Raw!A485</x:f>
        <x:v>2119</x:v>
      </x:c>
      <x:c r="B485" t="str">
        <x:f>Plan_Raw!D485</x:f>
        <x:v>1369</x:v>
      </x:c>
      <x:c r="C485" t="str">
        <x:f>LEFT(Plan_Raw!B485,10)</x:f>
        <x:v>2024-01-06</x:v>
      </x:c>
      <x:c r="D485" t="str">
        <x:f>Plan_Raw!F485</x:f>
        <x:v>COMMN</x:v>
      </x:c>
      <x:c r="E485" t="str">
        <x:f>Plan_Raw!E485</x:f>
        <x:v>Special Assistant X</x:v>
      </x:c>
      <x:c r="F485" t="str">
        <x:f>Plan_Raw!C485</x:f>
        <x:v>1369Y</x:v>
      </x:c>
      <x:c r="G485" s="50" t="n">
        <x:f>IF(Plan_Raw!G485="","",IFERROR(VALUE(Plan_Raw!G485),""))</x:f>
        <x:v>52.1</x:v>
      </x:c>
      <x:c r="H485" t="str">
        <x:f>Plan_Raw!AH485</x:f>
        <x:v>1369|COMMN|2024-01-06</x:v>
      </x:c>
      <x:c r="I485" t="n">
        <x:f>COUNTIF(Rates_Raw!$AF$5:$AF$464,H485)</x:f>
        <x:v>1</x:v>
      </x:c>
      <x:c r="J485" t="str">
        <x:f>IF(I485=1,_xlfn.XLOOKUP(H485,Rates_Raw!$AF$5:$AF$464,Rates_Raw!$E$5:$E$464,""),"")</x:f>
        <x:v>Special Assistant X</x:v>
      </x:c>
      <x:c r="K485" t="n">
        <x:f>IF(I485=1,_xlfn.XLOOKUP(H485,Rates_Raw!$AF$5:$AF$464,Rates_Raw!$F$5:$F$464,""),"")</x:f>
        <x:v>21</x:v>
      </x:c>
      <x:c r="L485" s="50" t="n">
        <x:f>IF(I485=1,IFERROR(VALUE(SUBSTITUTE(_xlfn.XLOOKUP(H485,Rates_Raw!$AF$5:$AF$464,Rates_Raw!$L$5:$L$464,""),"$","")),""),"")</x:f>
        <x:v>52.1</x:v>
      </x:c>
      <x:c r="M485" s="50" t="n">
        <x:f>IF(OR(G485="",L485=""),"",ROUND(G485-L485,4))</x:f>
        <x:v>0</x:v>
      </x:c>
      <x:c r="N485" t="str">
        <x:f>IF(I485=0,"NO MATCH",IF(I485&gt;1,"AMBIGUOUS",IF(EXACT(TRIM(E485),TRIM(J485)),"EXACT","TITLE VARIANT")))</x:f>
        <x:v>EXACT</x:v>
      </x:c>
      <x:c r="O485" t="str">
        <x:f>IF(I485&lt;&gt;1,"NOT TESTED",IF(OR(G485="",L485=""),"MISSING",IF(ABS(M485)&lt;=Guide!$B$16,"PASS","REVIEW")))</x:f>
        <x:v>PASS</x:v>
      </x:c>
      <x:c r="P485" s="52" t="n">
        <x:f>IF(I485=1,IFERROR(VALUE(SUBSTITUTE(SUBSTITUTE(_xlfn.XLOOKUP(H485,Rates_Raw!$AF$5:$AF$464,Rates_Raw!$I$5:$I$464,""),"$",""),",","")),""),"")</x:f>
        <x:v>4168</x:v>
      </x:c>
      <x:c r="Q485" s="52" t="n">
        <x:f>IF(P485="","",P485*Guide!$B$15)</x:f>
        <x:v>108368</x:v>
      </x:c>
      <x:c r="R485" t="str">
        <x:f>IF(I485=0,"UNMATCHED",IF(I485&gt;1,"DUPLICATE KEY",IF(OR(N485="TITLE VARIANT",O485="REVIEW",O485="MISSING"),"REVIEW","VERIFIED")))</x:f>
        <x:v>VERIFIED</x:v>
      </x:c>
      <x:c r="S485" s="46" t="str">
        <x:v>Not Reviewed</x:v>
      </x:c>
      <x:c r="T485" s="48"/>
    </x:row>
    <x:row r="486">
      <x:c r="A486" t="n">
        <x:f>Plan_Raw!A486</x:f>
        <x:v>2131</x:v>
      </x:c>
      <x:c r="B486" t="str">
        <x:f>Plan_Raw!D486</x:f>
        <x:v>1369</x:v>
      </x:c>
      <x:c r="C486" t="str">
        <x:f>LEFT(Plan_Raw!B486,10)</x:f>
        <x:v>2024-01-06</x:v>
      </x:c>
      <x:c r="D486" t="str">
        <x:f>Plan_Raw!F486</x:f>
        <x:v>SFMTA</x:v>
      </x:c>
      <x:c r="E486" t="str">
        <x:f>Plan_Raw!E486</x:f>
        <x:v>Special Assistant X</x:v>
      </x:c>
      <x:c r="F486" t="str">
        <x:f>Plan_Raw!C486</x:f>
        <x:v>1369Y</x:v>
      </x:c>
      <x:c r="G486" s="50" t="n">
        <x:f>IF(Plan_Raw!G486="","",IFERROR(VALUE(Plan_Raw!G486),""))</x:f>
        <x:v>52.1</x:v>
      </x:c>
      <x:c r="H486" t="str">
        <x:f>Plan_Raw!AH486</x:f>
        <x:v>1369|SFMTA|2024-01-06</x:v>
      </x:c>
      <x:c r="I486" t="n">
        <x:f>COUNTIF(Rates_Raw!$AF$5:$AF$464,H486)</x:f>
        <x:v>1</x:v>
      </x:c>
      <x:c r="J486" t="str">
        <x:f>IF(I486=1,_xlfn.XLOOKUP(H486,Rates_Raw!$AF$5:$AF$464,Rates_Raw!$E$5:$E$464,""),"")</x:f>
        <x:v>Special Assistant X</x:v>
      </x:c>
      <x:c r="K486" t="n">
        <x:f>IF(I486=1,_xlfn.XLOOKUP(H486,Rates_Raw!$AF$5:$AF$464,Rates_Raw!$F$5:$F$464,""),"")</x:f>
        <x:v>21</x:v>
      </x:c>
      <x:c r="L486" s="50" t="n">
        <x:f>IF(I486=1,IFERROR(VALUE(SUBSTITUTE(_xlfn.XLOOKUP(H486,Rates_Raw!$AF$5:$AF$464,Rates_Raw!$L$5:$L$464,""),"$","")),""),"")</x:f>
        <x:v>52.1</x:v>
      </x:c>
      <x:c r="M486" s="50" t="n">
        <x:f>IF(OR(G486="",L486=""),"",ROUND(G486-L486,4))</x:f>
        <x:v>0</x:v>
      </x:c>
      <x:c r="N486" t="str">
        <x:f>IF(I486=0,"NO MATCH",IF(I486&gt;1,"AMBIGUOUS",IF(EXACT(TRIM(E486),TRIM(J486)),"EXACT","TITLE VARIANT")))</x:f>
        <x:v>EXACT</x:v>
      </x:c>
      <x:c r="O486" t="str">
        <x:f>IF(I486&lt;&gt;1,"NOT TESTED",IF(OR(G486="",L486=""),"MISSING",IF(ABS(M486)&lt;=Guide!$B$16,"PASS","REVIEW")))</x:f>
        <x:v>PASS</x:v>
      </x:c>
      <x:c r="P486" s="52" t="n">
        <x:f>IF(I486=1,IFERROR(VALUE(SUBSTITUTE(SUBSTITUTE(_xlfn.XLOOKUP(H486,Rates_Raw!$AF$5:$AF$464,Rates_Raw!$I$5:$I$464,""),"$",""),",","")),""),"")</x:f>
        <x:v>4168</x:v>
      </x:c>
      <x:c r="Q486" s="52" t="n">
        <x:f>IF(P486="","",P486*Guide!$B$15)</x:f>
        <x:v>108368</x:v>
      </x:c>
      <x:c r="R486" t="str">
        <x:f>IF(I486=0,"UNMATCHED",IF(I486&gt;1,"DUPLICATE KEY",IF(OR(N486="TITLE VARIANT",O486="REVIEW",O486="MISSING"),"REVIEW","VERIFIED")))</x:f>
        <x:v>VERIFIED</x:v>
      </x:c>
      <x:c r="S486" s="46" t="str">
        <x:v>Not Reviewed</x:v>
      </x:c>
      <x:c r="T486" s="48"/>
    </x:row>
    <x:row r="487">
      <x:c r="A487" t="n">
        <x:f>Plan_Raw!A487</x:f>
        <x:v>2120</x:v>
      </x:c>
      <x:c r="B487" t="str">
        <x:f>Plan_Raw!D487</x:f>
        <x:v>1369</x:v>
      </x:c>
      <x:c r="C487" t="str">
        <x:f>LEFT(Plan_Raw!B487,10)</x:f>
        <x:v>2024-07-01</x:v>
      </x:c>
      <x:c r="D487" t="str">
        <x:f>Plan_Raw!F487</x:f>
        <x:v>COMMN</x:v>
      </x:c>
      <x:c r="E487" t="str">
        <x:f>Plan_Raw!E487</x:f>
        <x:v>Special Assistant X</x:v>
      </x:c>
      <x:c r="F487" t="str">
        <x:f>Plan_Raw!C487</x:f>
        <x:v>1369Z</x:v>
      </x:c>
      <x:c r="G487" s="50" t="n">
        <x:f>IF(Plan_Raw!G487="","",IFERROR(VALUE(Plan_Raw!G487),""))</x:f>
        <x:v>52.8875</x:v>
      </x:c>
      <x:c r="H487" t="str">
        <x:f>Plan_Raw!AH487</x:f>
        <x:v>1369|COMMN|2024-07-01</x:v>
      </x:c>
      <x:c r="I487" t="n">
        <x:f>COUNTIF(Rates_Raw!$AF$5:$AF$464,H487)</x:f>
        <x:v>1</x:v>
      </x:c>
      <x:c r="J487" t="str">
        <x:f>IF(I487=1,_xlfn.XLOOKUP(H487,Rates_Raw!$AF$5:$AF$464,Rates_Raw!$E$5:$E$464,""),"")</x:f>
        <x:v>Special Assistant X</x:v>
      </x:c>
      <x:c r="K487" t="n">
        <x:f>IF(I487=1,_xlfn.XLOOKUP(H487,Rates_Raw!$AF$5:$AF$464,Rates_Raw!$F$5:$F$464,""),"")</x:f>
        <x:v>21</x:v>
      </x:c>
      <x:c r="L487" s="50" t="n">
        <x:f>IF(I487=1,IFERROR(VALUE(SUBSTITUTE(_xlfn.XLOOKUP(H487,Rates_Raw!$AF$5:$AF$464,Rates_Raw!$L$5:$L$464,""),"$","")),""),"")</x:f>
        <x:v>52.8875</x:v>
      </x:c>
      <x:c r="M487" s="50" t="n">
        <x:f>IF(OR(G487="",L487=""),"",ROUND(G487-L487,4))</x:f>
        <x:v>0</x:v>
      </x:c>
      <x:c r="N487" t="str">
        <x:f>IF(I487=0,"NO MATCH",IF(I487&gt;1,"AMBIGUOUS",IF(EXACT(TRIM(E487),TRIM(J487)),"EXACT","TITLE VARIANT")))</x:f>
        <x:v>EXACT</x:v>
      </x:c>
      <x:c r="O487" t="str">
        <x:f>IF(I487&lt;&gt;1,"NOT TESTED",IF(OR(G487="",L487=""),"MISSING",IF(ABS(M487)&lt;=Guide!$B$16,"PASS","REVIEW")))</x:f>
        <x:v>PASS</x:v>
      </x:c>
      <x:c r="P487" s="52" t="n">
        <x:f>IF(I487=1,IFERROR(VALUE(SUBSTITUTE(SUBSTITUTE(_xlfn.XLOOKUP(H487,Rates_Raw!$AF$5:$AF$464,Rates_Raw!$I$5:$I$464,""),"$",""),",","")),""),"")</x:f>
        <x:v>4231</x:v>
      </x:c>
      <x:c r="Q487" s="52" t="n">
        <x:f>IF(P487="","",P487*Guide!$B$15)</x:f>
        <x:v>110006</x:v>
      </x:c>
      <x:c r="R487" t="str">
        <x:f>IF(I487=0,"UNMATCHED",IF(I487&gt;1,"DUPLICATE KEY",IF(OR(N487="TITLE VARIANT",O487="REVIEW",O487="MISSING"),"REVIEW","VERIFIED")))</x:f>
        <x:v>VERIFIED</x:v>
      </x:c>
      <x:c r="S487" s="46" t="str">
        <x:v>Not Reviewed</x:v>
      </x:c>
      <x:c r="T487" s="48"/>
    </x:row>
    <x:row r="488">
      <x:c r="A488" t="n">
        <x:f>Plan_Raw!A488</x:f>
        <x:v>2132</x:v>
      </x:c>
      <x:c r="B488" t="str">
        <x:f>Plan_Raw!D488</x:f>
        <x:v>1369</x:v>
      </x:c>
      <x:c r="C488" t="str">
        <x:f>LEFT(Plan_Raw!B488,10)</x:f>
        <x:v>2024-07-01</x:v>
      </x:c>
      <x:c r="D488" t="str">
        <x:f>Plan_Raw!F488</x:f>
        <x:v>SFMTA</x:v>
      </x:c>
      <x:c r="E488" t="str">
        <x:f>Plan_Raw!E488</x:f>
        <x:v>Special Assistant X</x:v>
      </x:c>
      <x:c r="F488" t="str">
        <x:f>Plan_Raw!C488</x:f>
        <x:v>1369Z</x:v>
      </x:c>
      <x:c r="G488" s="50" t="n">
        <x:f>IF(Plan_Raw!G488="","",IFERROR(VALUE(Plan_Raw!G488),""))</x:f>
        <x:v>52.8875</x:v>
      </x:c>
      <x:c r="H488" t="str">
        <x:f>Plan_Raw!AH488</x:f>
        <x:v>1369|SFMTA|2024-07-01</x:v>
      </x:c>
      <x:c r="I488" t="n">
        <x:f>COUNTIF(Rates_Raw!$AF$5:$AF$464,H488)</x:f>
        <x:v>1</x:v>
      </x:c>
      <x:c r="J488" t="str">
        <x:f>IF(I488=1,_xlfn.XLOOKUP(H488,Rates_Raw!$AF$5:$AF$464,Rates_Raw!$E$5:$E$464,""),"")</x:f>
        <x:v>Special Assistant X</x:v>
      </x:c>
      <x:c r="K488" t="n">
        <x:f>IF(I488=1,_xlfn.XLOOKUP(H488,Rates_Raw!$AF$5:$AF$464,Rates_Raw!$F$5:$F$464,""),"")</x:f>
        <x:v>21</x:v>
      </x:c>
      <x:c r="L488" s="50" t="n">
        <x:f>IF(I488=1,IFERROR(VALUE(SUBSTITUTE(_xlfn.XLOOKUP(H488,Rates_Raw!$AF$5:$AF$464,Rates_Raw!$L$5:$L$464,""),"$","")),""),"")</x:f>
        <x:v>52.8875</x:v>
      </x:c>
      <x:c r="M488" s="50" t="n">
        <x:f>IF(OR(G488="",L488=""),"",ROUND(G488-L488,4))</x:f>
        <x:v>0</x:v>
      </x:c>
      <x:c r="N488" t="str">
        <x:f>IF(I488=0,"NO MATCH",IF(I488&gt;1,"AMBIGUOUS",IF(EXACT(TRIM(E488),TRIM(J488)),"EXACT","TITLE VARIANT")))</x:f>
        <x:v>EXACT</x:v>
      </x:c>
      <x:c r="O488" t="str">
        <x:f>IF(I488&lt;&gt;1,"NOT TESTED",IF(OR(G488="",L488=""),"MISSING",IF(ABS(M488)&lt;=Guide!$B$16,"PASS","REVIEW")))</x:f>
        <x:v>PASS</x:v>
      </x:c>
      <x:c r="P488" s="52" t="n">
        <x:f>IF(I488=1,IFERROR(VALUE(SUBSTITUTE(SUBSTITUTE(_xlfn.XLOOKUP(H488,Rates_Raw!$AF$5:$AF$464,Rates_Raw!$I$5:$I$464,""),"$",""),",","")),""),"")</x:f>
        <x:v>4231</x:v>
      </x:c>
      <x:c r="Q488" s="52" t="n">
        <x:f>IF(P488="","",P488*Guide!$B$15)</x:f>
        <x:v>110006</x:v>
      </x:c>
      <x:c r="R488" t="str">
        <x:f>IF(I488=0,"UNMATCHED",IF(I488&gt;1,"DUPLICATE KEY",IF(OR(N488="TITLE VARIANT",O488="REVIEW",O488="MISSING"),"REVIEW","VERIFIED")))</x:f>
        <x:v>VERIFIED</x:v>
      </x:c>
      <x:c r="S488" s="46" t="str">
        <x:v>Not Reviewed</x:v>
      </x:c>
      <x:c r="T488" s="48"/>
    </x:row>
    <x:row r="489">
      <x:c r="A489" t="n">
        <x:f>Plan_Raw!A489</x:f>
        <x:v>2121</x:v>
      </x:c>
      <x:c r="B489" t="str">
        <x:f>Plan_Raw!D489</x:f>
        <x:v>1369</x:v>
      </x:c>
      <x:c r="C489" t="str">
        <x:f>LEFT(Plan_Raw!B489,10)</x:f>
        <x:v>2025-01-04</x:v>
      </x:c>
      <x:c r="D489" t="str">
        <x:f>Plan_Raw!F489</x:f>
        <x:v>COMMN</x:v>
      </x:c>
      <x:c r="E489" t="str">
        <x:f>Plan_Raw!E489</x:f>
        <x:v>Special Assistant X</x:v>
      </x:c>
      <x:c r="F489" t="str">
        <x:f>Plan_Raw!C489</x:f>
        <x:v>1369A</x:v>
      </x:c>
      <x:c r="G489" s="50" t="n">
        <x:f>IF(Plan_Raw!G489="","",IFERROR(VALUE(Plan_Raw!G489),""))</x:f>
        <x:v>53.675</x:v>
      </x:c>
      <x:c r="H489" t="str">
        <x:f>Plan_Raw!AH489</x:f>
        <x:v>1369|COMMN|2025-01-04</x:v>
      </x:c>
      <x:c r="I489" t="n">
        <x:f>COUNTIF(Rates_Raw!$AF$5:$AF$464,H489)</x:f>
        <x:v>1</x:v>
      </x:c>
      <x:c r="J489" t="str">
        <x:f>IF(I489=1,_xlfn.XLOOKUP(H489,Rates_Raw!$AF$5:$AF$464,Rates_Raw!$E$5:$E$464,""),"")</x:f>
        <x:v>Special Assistant X</x:v>
      </x:c>
      <x:c r="K489" t="n">
        <x:f>IF(I489=1,_xlfn.XLOOKUP(H489,Rates_Raw!$AF$5:$AF$464,Rates_Raw!$F$5:$F$464,""),"")</x:f>
        <x:v>21</x:v>
      </x:c>
      <x:c r="L489" s="50" t="n">
        <x:f>IF(I489=1,IFERROR(VALUE(SUBSTITUTE(_xlfn.XLOOKUP(H489,Rates_Raw!$AF$5:$AF$464,Rates_Raw!$L$5:$L$464,""),"$","")),""),"")</x:f>
        <x:v>53.675</x:v>
      </x:c>
      <x:c r="M489" s="50" t="n">
        <x:f>IF(OR(G489="",L489=""),"",ROUND(G489-L489,4))</x:f>
        <x:v>0</x:v>
      </x:c>
      <x:c r="N489" t="str">
        <x:f>IF(I489=0,"NO MATCH",IF(I489&gt;1,"AMBIGUOUS",IF(EXACT(TRIM(E489),TRIM(J489)),"EXACT","TITLE VARIANT")))</x:f>
        <x:v>EXACT</x:v>
      </x:c>
      <x:c r="O489" t="str">
        <x:f>IF(I489&lt;&gt;1,"NOT TESTED",IF(OR(G489="",L489=""),"MISSING",IF(ABS(M489)&lt;=Guide!$B$16,"PASS","REVIEW")))</x:f>
        <x:v>PASS</x:v>
      </x:c>
      <x:c r="P489" s="52" t="n">
        <x:f>IF(I489=1,IFERROR(VALUE(SUBSTITUTE(SUBSTITUTE(_xlfn.XLOOKUP(H489,Rates_Raw!$AF$5:$AF$464,Rates_Raw!$I$5:$I$464,""),"$",""),",","")),""),"")</x:f>
        <x:v>4294</x:v>
      </x:c>
      <x:c r="Q489" s="52" t="n">
        <x:f>IF(P489="","",P489*Guide!$B$15)</x:f>
        <x:v>111644</x:v>
      </x:c>
      <x:c r="R489" t="str">
        <x:f>IF(I489=0,"UNMATCHED",IF(I489&gt;1,"DUPLICATE KEY",IF(OR(N489="TITLE VARIANT",O489="REVIEW",O489="MISSING"),"REVIEW","VERIFIED")))</x:f>
        <x:v>VERIFIED</x:v>
      </x:c>
      <x:c r="S489" s="46" t="str">
        <x:v>Not Reviewed</x:v>
      </x:c>
      <x:c r="T489" s="48"/>
    </x:row>
    <x:row r="490">
      <x:c r="A490" t="n">
        <x:f>Plan_Raw!A490</x:f>
        <x:v>2133</x:v>
      </x:c>
      <x:c r="B490" t="str">
        <x:f>Plan_Raw!D490</x:f>
        <x:v>1369</x:v>
      </x:c>
      <x:c r="C490" t="str">
        <x:f>LEFT(Plan_Raw!B490,10)</x:f>
        <x:v>2025-01-04</x:v>
      </x:c>
      <x:c r="D490" t="str">
        <x:f>Plan_Raw!F490</x:f>
        <x:v>SFMTA</x:v>
      </x:c>
      <x:c r="E490" t="str">
        <x:f>Plan_Raw!E490</x:f>
        <x:v>Special Assistant X</x:v>
      </x:c>
      <x:c r="F490" t="str">
        <x:f>Plan_Raw!C490</x:f>
        <x:v>1369A</x:v>
      </x:c>
      <x:c r="G490" s="50" t="n">
        <x:f>IF(Plan_Raw!G490="","",IFERROR(VALUE(Plan_Raw!G490),""))</x:f>
        <x:v>53.675</x:v>
      </x:c>
      <x:c r="H490" t="str">
        <x:f>Plan_Raw!AH490</x:f>
        <x:v>1369|SFMTA|2025-01-04</x:v>
      </x:c>
      <x:c r="I490" t="n">
        <x:f>COUNTIF(Rates_Raw!$AF$5:$AF$464,H490)</x:f>
        <x:v>1</x:v>
      </x:c>
      <x:c r="J490" t="str">
        <x:f>IF(I490=1,_xlfn.XLOOKUP(H490,Rates_Raw!$AF$5:$AF$464,Rates_Raw!$E$5:$E$464,""),"")</x:f>
        <x:v>Special Assistant X</x:v>
      </x:c>
      <x:c r="K490" t="n">
        <x:f>IF(I490=1,_xlfn.XLOOKUP(H490,Rates_Raw!$AF$5:$AF$464,Rates_Raw!$F$5:$F$464,""),"")</x:f>
        <x:v>21</x:v>
      </x:c>
      <x:c r="L490" s="50" t="n">
        <x:f>IF(I490=1,IFERROR(VALUE(SUBSTITUTE(_xlfn.XLOOKUP(H490,Rates_Raw!$AF$5:$AF$464,Rates_Raw!$L$5:$L$464,""),"$","")),""),"")</x:f>
        <x:v>53.675</x:v>
      </x:c>
      <x:c r="M490" s="50" t="n">
        <x:f>IF(OR(G490="",L490=""),"",ROUND(G490-L490,4))</x:f>
        <x:v>0</x:v>
      </x:c>
      <x:c r="N490" t="str">
        <x:f>IF(I490=0,"NO MATCH",IF(I490&gt;1,"AMBIGUOUS",IF(EXACT(TRIM(E490),TRIM(J490)),"EXACT","TITLE VARIANT")))</x:f>
        <x:v>EXACT</x:v>
      </x:c>
      <x:c r="O490" t="str">
        <x:f>IF(I490&lt;&gt;1,"NOT TESTED",IF(OR(G490="",L490=""),"MISSING",IF(ABS(M490)&lt;=Guide!$B$16,"PASS","REVIEW")))</x:f>
        <x:v>PASS</x:v>
      </x:c>
      <x:c r="P490" s="52" t="n">
        <x:f>IF(I490=1,IFERROR(VALUE(SUBSTITUTE(SUBSTITUTE(_xlfn.XLOOKUP(H490,Rates_Raw!$AF$5:$AF$464,Rates_Raw!$I$5:$I$464,""),"$",""),",","")),""),"")</x:f>
        <x:v>4294</x:v>
      </x:c>
      <x:c r="Q490" s="52" t="n">
        <x:f>IF(P490="","",P490*Guide!$B$15)</x:f>
        <x:v>111644</x:v>
      </x:c>
      <x:c r="R490" t="str">
        <x:f>IF(I490=0,"UNMATCHED",IF(I490&gt;1,"DUPLICATE KEY",IF(OR(N490="TITLE VARIANT",O490="REVIEW",O490="MISSING"),"REVIEW","VERIFIED")))</x:f>
        <x:v>VERIFIED</x:v>
      </x:c>
      <x:c r="S490" s="46" t="str">
        <x:v>Not Reviewed</x:v>
      </x:c>
      <x:c r="T490" s="48"/>
    </x:row>
    <x:row r="491">
      <x:c r="A491" t="n">
        <x:f>Plan_Raw!A491</x:f>
        <x:v>2122</x:v>
      </x:c>
      <x:c r="B491" t="str">
        <x:f>Plan_Raw!D491</x:f>
        <x:v>1369</x:v>
      </x:c>
      <x:c r="C491" t="str">
        <x:f>LEFT(Plan_Raw!B491,10)</x:f>
        <x:v>2025-07-01</x:v>
      </x:c>
      <x:c r="D491" t="str">
        <x:f>Plan_Raw!F491</x:f>
        <x:v>COMMN</x:v>
      </x:c>
      <x:c r="E491" t="str">
        <x:f>Plan_Raw!E491</x:f>
        <x:v>Special Assistant 10</x:v>
      </x:c>
      <x:c r="F491" t="str">
        <x:f>Plan_Raw!C491</x:f>
        <x:v>1369B</x:v>
      </x:c>
      <x:c r="G491" s="50" t="n">
        <x:f>IF(Plan_Raw!G491="","",IFERROR(VALUE(Plan_Raw!G491),""))</x:f>
        <x:v>54.75</x:v>
      </x:c>
      <x:c r="H491" t="str">
        <x:f>Plan_Raw!AH491</x:f>
        <x:v>1369|COMMN|2025-07-01</x:v>
      </x:c>
      <x:c r="I491" t="n">
        <x:f>COUNTIF(Rates_Raw!$AF$5:$AF$464,H491)</x:f>
        <x:v>1</x:v>
      </x:c>
      <x:c r="J491" t="str">
        <x:f>IF(I491=1,_xlfn.XLOOKUP(H491,Rates_Raw!$AF$5:$AF$464,Rates_Raw!$E$5:$E$464,""),"")</x:f>
        <x:v>Special Assistant 10</x:v>
      </x:c>
      <x:c r="K491" t="n">
        <x:f>IF(I491=1,_xlfn.XLOOKUP(H491,Rates_Raw!$AF$5:$AF$464,Rates_Raw!$F$5:$F$464,""),"")</x:f>
        <x:v>21</x:v>
      </x:c>
      <x:c r="L491" s="50" t="n">
        <x:f>IF(I491=1,IFERROR(VALUE(SUBSTITUTE(_xlfn.XLOOKUP(H491,Rates_Raw!$AF$5:$AF$464,Rates_Raw!$L$5:$L$464,""),"$","")),""),"")</x:f>
        <x:v>54.75</x:v>
      </x:c>
      <x:c r="M491" s="50" t="n">
        <x:f>IF(OR(G491="",L491=""),"",ROUND(G491-L491,4))</x:f>
        <x:v>0</x:v>
      </x:c>
      <x:c r="N491" t="str">
        <x:f>IF(I491=0,"NO MATCH",IF(I491&gt;1,"AMBIGUOUS",IF(EXACT(TRIM(E491),TRIM(J491)),"EXACT","TITLE VARIANT")))</x:f>
        <x:v>EXACT</x:v>
      </x:c>
      <x:c r="O491" t="str">
        <x:f>IF(I491&lt;&gt;1,"NOT TESTED",IF(OR(G491="",L491=""),"MISSING",IF(ABS(M491)&lt;=Guide!$B$16,"PASS","REVIEW")))</x:f>
        <x:v>PASS</x:v>
      </x:c>
      <x:c r="P491" s="52" t="n">
        <x:f>IF(I491=1,IFERROR(VALUE(SUBSTITUTE(SUBSTITUTE(_xlfn.XLOOKUP(H491,Rates_Raw!$AF$5:$AF$464,Rates_Raw!$I$5:$I$464,""),"$",""),",","")),""),"")</x:f>
        <x:v>4380</x:v>
      </x:c>
      <x:c r="Q491" s="52" t="n">
        <x:f>IF(P491="","",P491*Guide!$B$15)</x:f>
        <x:v>113880</x:v>
      </x:c>
      <x:c r="R491" t="str">
        <x:f>IF(I491=0,"UNMATCHED",IF(I491&gt;1,"DUPLICATE KEY",IF(OR(N491="TITLE VARIANT",O491="REVIEW",O491="MISSING"),"REVIEW","VERIFIED")))</x:f>
        <x:v>VERIFIED</x:v>
      </x:c>
      <x:c r="S491" s="46" t="str">
        <x:v>Not Reviewed</x:v>
      </x:c>
      <x:c r="T491" s="48"/>
    </x:row>
    <x:row r="492">
      <x:c r="A492" t="n">
        <x:f>Plan_Raw!A492</x:f>
        <x:v>2134</x:v>
      </x:c>
      <x:c r="B492" t="str">
        <x:f>Plan_Raw!D492</x:f>
        <x:v>1369</x:v>
      </x:c>
      <x:c r="C492" t="str">
        <x:f>LEFT(Plan_Raw!B492,10)</x:f>
        <x:v>2025-07-01</x:v>
      </x:c>
      <x:c r="D492" t="str">
        <x:f>Plan_Raw!F492</x:f>
        <x:v>SFMTA</x:v>
      </x:c>
      <x:c r="E492" t="str">
        <x:f>Plan_Raw!E492</x:f>
        <x:v>Special Assistant 10</x:v>
      </x:c>
      <x:c r="F492" t="str">
        <x:f>Plan_Raw!C492</x:f>
        <x:v>1369B</x:v>
      </x:c>
      <x:c r="G492" s="50" t="n">
        <x:f>IF(Plan_Raw!G492="","",IFERROR(VALUE(Plan_Raw!G492),""))</x:f>
        <x:v>54.75</x:v>
      </x:c>
      <x:c r="H492" t="str">
        <x:f>Plan_Raw!AH492</x:f>
        <x:v>1369|SFMTA|2025-07-01</x:v>
      </x:c>
      <x:c r="I492" t="n">
        <x:f>COUNTIF(Rates_Raw!$AF$5:$AF$464,H492)</x:f>
        <x:v>1</x:v>
      </x:c>
      <x:c r="J492" t="str">
        <x:f>IF(I492=1,_xlfn.XLOOKUP(H492,Rates_Raw!$AF$5:$AF$464,Rates_Raw!$E$5:$E$464,""),"")</x:f>
        <x:v>Special Assistant 10</x:v>
      </x:c>
      <x:c r="K492" t="n">
        <x:f>IF(I492=1,_xlfn.XLOOKUP(H492,Rates_Raw!$AF$5:$AF$464,Rates_Raw!$F$5:$F$464,""),"")</x:f>
        <x:v>21</x:v>
      </x:c>
      <x:c r="L492" s="50" t="n">
        <x:f>IF(I492=1,IFERROR(VALUE(SUBSTITUTE(_xlfn.XLOOKUP(H492,Rates_Raw!$AF$5:$AF$464,Rates_Raw!$L$5:$L$464,""),"$","")),""),"")</x:f>
        <x:v>54.75</x:v>
      </x:c>
      <x:c r="M492" s="50" t="n">
        <x:f>IF(OR(G492="",L492=""),"",ROUND(G492-L492,4))</x:f>
        <x:v>0</x:v>
      </x:c>
      <x:c r="N492" t="str">
        <x:f>IF(I492=0,"NO MATCH",IF(I492&gt;1,"AMBIGUOUS",IF(EXACT(TRIM(E492),TRIM(J492)),"EXACT","TITLE VARIANT")))</x:f>
        <x:v>EXACT</x:v>
      </x:c>
      <x:c r="O492" t="str">
        <x:f>IF(I492&lt;&gt;1,"NOT TESTED",IF(OR(G492="",L492=""),"MISSING",IF(ABS(M492)&lt;=Guide!$B$16,"PASS","REVIEW")))</x:f>
        <x:v>PASS</x:v>
      </x:c>
      <x:c r="P492" s="52" t="n">
        <x:f>IF(I492=1,IFERROR(VALUE(SUBSTITUTE(SUBSTITUTE(_xlfn.XLOOKUP(H492,Rates_Raw!$AF$5:$AF$464,Rates_Raw!$I$5:$I$464,""),"$",""),",","")),""),"")</x:f>
        <x:v>4380</x:v>
      </x:c>
      <x:c r="Q492" s="52" t="n">
        <x:f>IF(P492="","",P492*Guide!$B$15)</x:f>
        <x:v>113880</x:v>
      </x:c>
      <x:c r="R492" t="str">
        <x:f>IF(I492=0,"UNMATCHED",IF(I492&gt;1,"DUPLICATE KEY",IF(OR(N492="TITLE VARIANT",O492="REVIEW",O492="MISSING"),"REVIEW","VERIFIED")))</x:f>
        <x:v>VERIFIED</x:v>
      </x:c>
      <x:c r="S492" s="46" t="str">
        <x:v>Not Reviewed</x:v>
      </x:c>
      <x:c r="T492" s="48"/>
    </x:row>
    <x:row r="493">
      <x:c r="A493" t="n">
        <x:f>Plan_Raw!A493</x:f>
        <x:v>2123</x:v>
      </x:c>
      <x:c r="B493" t="str">
        <x:f>Plan_Raw!D493</x:f>
        <x:v>1369</x:v>
      </x:c>
      <x:c r="C493" t="str">
        <x:f>LEFT(Plan_Raw!B493,10)</x:f>
        <x:v>2026-01-03</x:v>
      </x:c>
      <x:c r="D493" t="str">
        <x:f>Plan_Raw!F493</x:f>
        <x:v>COMMN</x:v>
      </x:c>
      <x:c r="E493" t="str">
        <x:f>Plan_Raw!E493</x:f>
        <x:v>Special Assistant 10</x:v>
      </x:c>
      <x:c r="F493" t="str">
        <x:f>Plan_Raw!C493</x:f>
        <x:v>1369C</x:v>
      </x:c>
      <x:c r="G493" s="50" t="n">
        <x:f>IF(Plan_Raw!G493="","",IFERROR(VALUE(Plan_Raw!G493),""))</x:f>
        <x:v>55.575</x:v>
      </x:c>
      <x:c r="H493" t="str">
        <x:f>Plan_Raw!AH493</x:f>
        <x:v>1369|COMMN|2026-01-03</x:v>
      </x:c>
      <x:c r="I493" t="n">
        <x:f>COUNTIF(Rates_Raw!$AF$5:$AF$464,H493)</x:f>
        <x:v>1</x:v>
      </x:c>
      <x:c r="J493" t="str">
        <x:f>IF(I493=1,_xlfn.XLOOKUP(H493,Rates_Raw!$AF$5:$AF$464,Rates_Raw!$E$5:$E$464,""),"")</x:f>
        <x:v>Special Assistant 10</x:v>
      </x:c>
      <x:c r="K493" t="n">
        <x:f>IF(I493=1,_xlfn.XLOOKUP(H493,Rates_Raw!$AF$5:$AF$464,Rates_Raw!$F$5:$F$464,""),"")</x:f>
        <x:v>21</x:v>
      </x:c>
      <x:c r="L493" s="50" t="n">
        <x:f>IF(I493=1,IFERROR(VALUE(SUBSTITUTE(_xlfn.XLOOKUP(H493,Rates_Raw!$AF$5:$AF$464,Rates_Raw!$L$5:$L$464,""),"$","")),""),"")</x:f>
        <x:v>55.575</x:v>
      </x:c>
      <x:c r="M493" s="50" t="n">
        <x:f>IF(OR(G493="",L493=""),"",ROUND(G493-L493,4))</x:f>
        <x:v>0</x:v>
      </x:c>
      <x:c r="N493" t="str">
        <x:f>IF(I493=0,"NO MATCH",IF(I493&gt;1,"AMBIGUOUS",IF(EXACT(TRIM(E493),TRIM(J493)),"EXACT","TITLE VARIANT")))</x:f>
        <x:v>EXACT</x:v>
      </x:c>
      <x:c r="O493" t="str">
        <x:f>IF(I493&lt;&gt;1,"NOT TESTED",IF(OR(G493="",L493=""),"MISSING",IF(ABS(M493)&lt;=Guide!$B$16,"PASS","REVIEW")))</x:f>
        <x:v>PASS</x:v>
      </x:c>
      <x:c r="P493" s="52" t="n">
        <x:f>IF(I493=1,IFERROR(VALUE(SUBSTITUTE(SUBSTITUTE(_xlfn.XLOOKUP(H493,Rates_Raw!$AF$5:$AF$464,Rates_Raw!$I$5:$I$464,""),"$",""),",","")),""),"")</x:f>
        <x:v>4446</x:v>
      </x:c>
      <x:c r="Q493" s="52" t="n">
        <x:f>IF(P493="","",P493*Guide!$B$15)</x:f>
        <x:v>115596</x:v>
      </x:c>
      <x:c r="R493" t="str">
        <x:f>IF(I493=0,"UNMATCHED",IF(I493&gt;1,"DUPLICATE KEY",IF(OR(N493="TITLE VARIANT",O493="REVIEW",O493="MISSING"),"REVIEW","VERIFIED")))</x:f>
        <x:v>VERIFIED</x:v>
      </x:c>
      <x:c r="S493" s="46" t="str">
        <x:v>Not Reviewed</x:v>
      </x:c>
      <x:c r="T493" s="48"/>
    </x:row>
    <x:row r="494">
      <x:c r="A494" t="n">
        <x:f>Plan_Raw!A494</x:f>
        <x:v>2135</x:v>
      </x:c>
      <x:c r="B494" t="str">
        <x:f>Plan_Raw!D494</x:f>
        <x:v>1369</x:v>
      </x:c>
      <x:c r="C494" t="str">
        <x:f>LEFT(Plan_Raw!B494,10)</x:f>
        <x:v>2026-01-03</x:v>
      </x:c>
      <x:c r="D494" t="str">
        <x:f>Plan_Raw!F494</x:f>
        <x:v>SFMTA</x:v>
      </x:c>
      <x:c r="E494" t="str">
        <x:f>Plan_Raw!E494</x:f>
        <x:v>Special Assistant 10</x:v>
      </x:c>
      <x:c r="F494" t="str">
        <x:f>Plan_Raw!C494</x:f>
        <x:v>1369C</x:v>
      </x:c>
      <x:c r="G494" s="50" t="n">
        <x:f>IF(Plan_Raw!G494="","",IFERROR(VALUE(Plan_Raw!G494),""))</x:f>
        <x:v>55.575</x:v>
      </x:c>
      <x:c r="H494" t="str">
        <x:f>Plan_Raw!AH494</x:f>
        <x:v>1369|SFMTA|2026-01-03</x:v>
      </x:c>
      <x:c r="I494" t="n">
        <x:f>COUNTIF(Rates_Raw!$AF$5:$AF$464,H494)</x:f>
        <x:v>1</x:v>
      </x:c>
      <x:c r="J494" t="str">
        <x:f>IF(I494=1,_xlfn.XLOOKUP(H494,Rates_Raw!$AF$5:$AF$464,Rates_Raw!$E$5:$E$464,""),"")</x:f>
        <x:v>Special Assistant 10</x:v>
      </x:c>
      <x:c r="K494" t="n">
        <x:f>IF(I494=1,_xlfn.XLOOKUP(H494,Rates_Raw!$AF$5:$AF$464,Rates_Raw!$F$5:$F$464,""),"")</x:f>
        <x:v>21</x:v>
      </x:c>
      <x:c r="L494" s="50" t="n">
        <x:f>IF(I494=1,IFERROR(VALUE(SUBSTITUTE(_xlfn.XLOOKUP(H494,Rates_Raw!$AF$5:$AF$464,Rates_Raw!$L$5:$L$464,""),"$","")),""),"")</x:f>
        <x:v>55.575</x:v>
      </x:c>
      <x:c r="M494" s="50" t="n">
        <x:f>IF(OR(G494="",L494=""),"",ROUND(G494-L494,4))</x:f>
        <x:v>0</x:v>
      </x:c>
      <x:c r="N494" t="str">
        <x:f>IF(I494=0,"NO MATCH",IF(I494&gt;1,"AMBIGUOUS",IF(EXACT(TRIM(E494),TRIM(J494)),"EXACT","TITLE VARIANT")))</x:f>
        <x:v>EXACT</x:v>
      </x:c>
      <x:c r="O494" t="str">
        <x:f>IF(I494&lt;&gt;1,"NOT TESTED",IF(OR(G494="",L494=""),"MISSING",IF(ABS(M494)&lt;=Guide!$B$16,"PASS","REVIEW")))</x:f>
        <x:v>PASS</x:v>
      </x:c>
      <x:c r="P494" s="52" t="n">
        <x:f>IF(I494=1,IFERROR(VALUE(SUBSTITUTE(SUBSTITUTE(_xlfn.XLOOKUP(H494,Rates_Raw!$AF$5:$AF$464,Rates_Raw!$I$5:$I$464,""),"$",""),",","")),""),"")</x:f>
        <x:v>4446</x:v>
      </x:c>
      <x:c r="Q494" s="52" t="n">
        <x:f>IF(P494="","",P494*Guide!$B$15)</x:f>
        <x:v>115596</x:v>
      </x:c>
      <x:c r="R494" t="str">
        <x:f>IF(I494=0,"UNMATCHED",IF(I494&gt;1,"DUPLICATE KEY",IF(OR(N494="TITLE VARIANT",O494="REVIEW",O494="MISSING"),"REVIEW","VERIFIED")))</x:f>
        <x:v>VERIFIED</x:v>
      </x:c>
      <x:c r="S494" s="46" t="str">
        <x:v>Not Reviewed</x:v>
      </x:c>
      <x:c r="T494" s="48"/>
    </x:row>
    <x:row r="495">
      <x:c r="A495" t="n">
        <x:f>Plan_Raw!A495</x:f>
        <x:v>2124</x:v>
      </x:c>
      <x:c r="B495" t="str">
        <x:f>Plan_Raw!D495</x:f>
        <x:v>1369</x:v>
      </x:c>
      <x:c r="C495" t="str">
        <x:f>LEFT(Plan_Raw!B495,10)</x:f>
        <x:v>2026-07-01</x:v>
      </x:c>
      <x:c r="D495" t="str">
        <x:f>Plan_Raw!F495</x:f>
        <x:v>COMMN</x:v>
      </x:c>
      <x:c r="E495" t="str">
        <x:f>Plan_Raw!E495</x:f>
        <x:v>Special Assistant 10</x:v>
      </x:c>
      <x:c r="F495" t="str">
        <x:f>Plan_Raw!C495</x:f>
        <x:v>1369D</x:v>
      </x:c>
      <x:c r="G495" s="50" t="n">
        <x:f>IF(Plan_Raw!G495="","",IFERROR(VALUE(Plan_Raw!G495),""))</x:f>
        <x:v>56.6875</x:v>
      </x:c>
      <x:c r="H495" t="str">
        <x:f>Plan_Raw!AH495</x:f>
        <x:v>1369|COMMN|2026-07-01</x:v>
      </x:c>
      <x:c r="I495" t="n">
        <x:f>COUNTIF(Rates_Raw!$AF$5:$AF$464,H495)</x:f>
        <x:v>0</x:v>
      </x:c>
      <x:c r="J495" t="str">
        <x:f>IF(I495=1,_xlfn.XLOOKUP(H495,Rates_Raw!$AF$5:$AF$464,Rates_Raw!$E$5:$E$464,""),"")</x:f>
      </x:c>
      <x:c r="K495" t="str">
        <x:f>IF(I495=1,_xlfn.XLOOKUP(H495,Rates_Raw!$AF$5:$AF$464,Rates_Raw!$F$5:$F$464,""),"")</x:f>
      </x:c>
      <x:c r="L495" s="50" t="str">
        <x:f>IF(I495=1,IFERROR(VALUE(SUBSTITUTE(_xlfn.XLOOKUP(H495,Rates_Raw!$AF$5:$AF$464,Rates_Raw!$L$5:$L$464,""),"$","")),""),"")</x:f>
      </x:c>
      <x:c r="M495" s="50" t="str">
        <x:f>IF(OR(G495="",L495=""),"",ROUND(G495-L495,4))</x:f>
      </x:c>
      <x:c r="N495" t="str">
        <x:f>IF(I495=0,"NO MATCH",IF(I495&gt;1,"AMBIGUOUS",IF(EXACT(TRIM(E495),TRIM(J495)),"EXACT","TITLE VARIANT")))</x:f>
        <x:v>NO MATCH</x:v>
      </x:c>
      <x:c r="O495" t="str">
        <x:f>IF(I495&lt;&gt;1,"NOT TESTED",IF(OR(G495="",L495=""),"MISSING",IF(ABS(M495)&lt;=Guide!$B$16,"PASS","REVIEW")))</x:f>
        <x:v>NOT TESTED</x:v>
      </x:c>
      <x:c r="P495" s="52" t="str">
        <x:f>IF(I495=1,IFERROR(VALUE(SUBSTITUTE(SUBSTITUTE(_xlfn.XLOOKUP(H495,Rates_Raw!$AF$5:$AF$464,Rates_Raw!$I$5:$I$464,""),"$",""),",","")),""),"")</x:f>
      </x:c>
      <x:c r="Q495" s="52" t="str">
        <x:f>IF(P495="","",P495*Guide!$B$15)</x:f>
      </x:c>
      <x:c r="R495" t="str">
        <x:f>IF(I495=0,"UNMATCHED",IF(I495&gt;1,"DUPLICATE KEY",IF(OR(N495="TITLE VARIANT",O495="REVIEW",O495="MISSING"),"REVIEW","VERIFIED")))</x:f>
        <x:v>UNMATCHED</x:v>
      </x:c>
      <x:c r="S495" s="46" t="str">
        <x:v>Not Reviewed</x:v>
      </x:c>
      <x:c r="T495" s="48"/>
    </x:row>
    <x:row r="496">
      <x:c r="A496" t="n">
        <x:f>Plan_Raw!A496</x:f>
        <x:v>2136</x:v>
      </x:c>
      <x:c r="B496" t="str">
        <x:f>Plan_Raw!D496</x:f>
        <x:v>1369</x:v>
      </x:c>
      <x:c r="C496" t="str">
        <x:f>LEFT(Plan_Raw!B496,10)</x:f>
        <x:v>2026-07-01</x:v>
      </x:c>
      <x:c r="D496" t="str">
        <x:f>Plan_Raw!F496</x:f>
        <x:v>SFMTA</x:v>
      </x:c>
      <x:c r="E496" t="str">
        <x:f>Plan_Raw!E496</x:f>
        <x:v>Special Assistant 10</x:v>
      </x:c>
      <x:c r="F496" t="str">
        <x:f>Plan_Raw!C496</x:f>
        <x:v>1369D</x:v>
      </x:c>
      <x:c r="G496" s="50" t="n">
        <x:f>IF(Plan_Raw!G496="","",IFERROR(VALUE(Plan_Raw!G496),""))</x:f>
        <x:v>56.6875</x:v>
      </x:c>
      <x:c r="H496" t="str">
        <x:f>Plan_Raw!AH496</x:f>
        <x:v>1369|SFMTA|2026-07-01</x:v>
      </x:c>
      <x:c r="I496" t="n">
        <x:f>COUNTIF(Rates_Raw!$AF$5:$AF$464,H496)</x:f>
        <x:v>0</x:v>
      </x:c>
      <x:c r="J496" t="str">
        <x:f>IF(I496=1,_xlfn.XLOOKUP(H496,Rates_Raw!$AF$5:$AF$464,Rates_Raw!$E$5:$E$464,""),"")</x:f>
      </x:c>
      <x:c r="K496" t="str">
        <x:f>IF(I496=1,_xlfn.XLOOKUP(H496,Rates_Raw!$AF$5:$AF$464,Rates_Raw!$F$5:$F$464,""),"")</x:f>
      </x:c>
      <x:c r="L496" s="50" t="str">
        <x:f>IF(I496=1,IFERROR(VALUE(SUBSTITUTE(_xlfn.XLOOKUP(H496,Rates_Raw!$AF$5:$AF$464,Rates_Raw!$L$5:$L$464,""),"$","")),""),"")</x:f>
      </x:c>
      <x:c r="M496" s="50" t="str">
        <x:f>IF(OR(G496="",L496=""),"",ROUND(G496-L496,4))</x:f>
      </x:c>
      <x:c r="N496" t="str">
        <x:f>IF(I496=0,"NO MATCH",IF(I496&gt;1,"AMBIGUOUS",IF(EXACT(TRIM(E496),TRIM(J496)),"EXACT","TITLE VARIANT")))</x:f>
        <x:v>NO MATCH</x:v>
      </x:c>
      <x:c r="O496" t="str">
        <x:f>IF(I496&lt;&gt;1,"NOT TESTED",IF(OR(G496="",L496=""),"MISSING",IF(ABS(M496)&lt;=Guide!$B$16,"PASS","REVIEW")))</x:f>
        <x:v>NOT TESTED</x:v>
      </x:c>
      <x:c r="P496" s="52" t="str">
        <x:f>IF(I496=1,IFERROR(VALUE(SUBSTITUTE(SUBSTITUTE(_xlfn.XLOOKUP(H496,Rates_Raw!$AF$5:$AF$464,Rates_Raw!$I$5:$I$464,""),"$",""),",","")),""),"")</x:f>
      </x:c>
      <x:c r="Q496" s="52" t="str">
        <x:f>IF(P496="","",P496*Guide!$B$15)</x:f>
      </x:c>
      <x:c r="R496" t="str">
        <x:f>IF(I496=0,"UNMATCHED",IF(I496&gt;1,"DUPLICATE KEY",IF(OR(N496="TITLE VARIANT",O496="REVIEW",O496="MISSING"),"REVIEW","VERIFIED")))</x:f>
        <x:v>UNMATCHED</x:v>
      </x:c>
      <x:c r="S496" s="46" t="str">
        <x:v>Not Reviewed</x:v>
      </x:c>
      <x:c r="T496" s="48"/>
    </x:row>
    <x:row r="497">
      <x:c r="A497" t="n">
        <x:f>Plan_Raw!A497</x:f>
        <x:v>2143</x:v>
      </x:c>
      <x:c r="B497" t="str">
        <x:f>Plan_Raw!D497</x:f>
        <x:v>1370</x:v>
      </x:c>
      <x:c r="C497" t="str">
        <x:f>LEFT(Plan_Raw!B497,10)</x:f>
        <x:v>2024-01-06</x:v>
      </x:c>
      <x:c r="D497" t="str">
        <x:f>Plan_Raw!F497</x:f>
        <x:v>COMMN</x:v>
      </x:c>
      <x:c r="E497" t="str">
        <x:f>Plan_Raw!E497</x:f>
        <x:v>Special Assistant XI</x:v>
      </x:c>
      <x:c r="F497" t="str">
        <x:f>Plan_Raw!C497</x:f>
        <x:v>1370Y</x:v>
      </x:c>
      <x:c r="G497" s="50" t="n">
        <x:f>IF(Plan_Raw!G497="","",IFERROR(VALUE(Plan_Raw!G497),""))</x:f>
        <x:v>56.025</x:v>
      </x:c>
      <x:c r="H497" t="str">
        <x:f>Plan_Raw!AH497</x:f>
        <x:v>1370|COMMN|2024-01-06</x:v>
      </x:c>
      <x:c r="I497" t="n">
        <x:f>COUNTIF(Rates_Raw!$AF$5:$AF$464,H497)</x:f>
        <x:v>1</x:v>
      </x:c>
      <x:c r="J497" t="str">
        <x:f>IF(I497=1,_xlfn.XLOOKUP(H497,Rates_Raw!$AF$5:$AF$464,Rates_Raw!$E$5:$E$464,""),"")</x:f>
        <x:v>Special Assistant XI</x:v>
      </x:c>
      <x:c r="K497" t="n">
        <x:f>IF(I497=1,_xlfn.XLOOKUP(H497,Rates_Raw!$AF$5:$AF$464,Rates_Raw!$F$5:$F$464,""),"")</x:f>
        <x:v>21</x:v>
      </x:c>
      <x:c r="L497" s="50" t="n">
        <x:f>IF(I497=1,IFERROR(VALUE(SUBSTITUTE(_xlfn.XLOOKUP(H497,Rates_Raw!$AF$5:$AF$464,Rates_Raw!$L$5:$L$464,""),"$","")),""),"")</x:f>
        <x:v>56.025</x:v>
      </x:c>
      <x:c r="M497" s="50" t="n">
        <x:f>IF(OR(G497="",L497=""),"",ROUND(G497-L497,4))</x:f>
        <x:v>0</x:v>
      </x:c>
      <x:c r="N497" t="str">
        <x:f>IF(I497=0,"NO MATCH",IF(I497&gt;1,"AMBIGUOUS",IF(EXACT(TRIM(E497),TRIM(J497)),"EXACT","TITLE VARIANT")))</x:f>
        <x:v>EXACT</x:v>
      </x:c>
      <x:c r="O497" t="str">
        <x:f>IF(I497&lt;&gt;1,"NOT TESTED",IF(OR(G497="",L497=""),"MISSING",IF(ABS(M497)&lt;=Guide!$B$16,"PASS","REVIEW")))</x:f>
        <x:v>PASS</x:v>
      </x:c>
      <x:c r="P497" s="52" t="n">
        <x:f>IF(I497=1,IFERROR(VALUE(SUBSTITUTE(SUBSTITUTE(_xlfn.XLOOKUP(H497,Rates_Raw!$AF$5:$AF$464,Rates_Raw!$I$5:$I$464,""),"$",""),",","")),""),"")</x:f>
        <x:v>4482</x:v>
      </x:c>
      <x:c r="Q497" s="52" t="n">
        <x:f>IF(P497="","",P497*Guide!$B$15)</x:f>
        <x:v>116532</x:v>
      </x:c>
      <x:c r="R497" t="str">
        <x:f>IF(I497=0,"UNMATCHED",IF(I497&gt;1,"DUPLICATE KEY",IF(OR(N497="TITLE VARIANT",O497="REVIEW",O497="MISSING"),"REVIEW","VERIFIED")))</x:f>
        <x:v>VERIFIED</x:v>
      </x:c>
      <x:c r="S497" s="46" t="str">
        <x:v>Not Reviewed</x:v>
      </x:c>
      <x:c r="T497" s="48"/>
    </x:row>
    <x:row r="498">
      <x:c r="A498" t="n">
        <x:f>Plan_Raw!A498</x:f>
        <x:v>2155</x:v>
      </x:c>
      <x:c r="B498" t="str">
        <x:f>Plan_Raw!D498</x:f>
        <x:v>1370</x:v>
      </x:c>
      <x:c r="C498" t="str">
        <x:f>LEFT(Plan_Raw!B498,10)</x:f>
        <x:v>2024-01-06</x:v>
      </x:c>
      <x:c r="D498" t="str">
        <x:f>Plan_Raw!F498</x:f>
        <x:v>SFMTA</x:v>
      </x:c>
      <x:c r="E498" t="str">
        <x:f>Plan_Raw!E498</x:f>
        <x:v>Special Assistant XI</x:v>
      </x:c>
      <x:c r="F498" t="str">
        <x:f>Plan_Raw!C498</x:f>
        <x:v>1370Y</x:v>
      </x:c>
      <x:c r="G498" s="50" t="n">
        <x:f>IF(Plan_Raw!G498="","",IFERROR(VALUE(Plan_Raw!G498),""))</x:f>
        <x:v>56.025</x:v>
      </x:c>
      <x:c r="H498" t="str">
        <x:f>Plan_Raw!AH498</x:f>
        <x:v>1370|SFMTA|2024-01-06</x:v>
      </x:c>
      <x:c r="I498" t="n">
        <x:f>COUNTIF(Rates_Raw!$AF$5:$AF$464,H498)</x:f>
        <x:v>1</x:v>
      </x:c>
      <x:c r="J498" t="str">
        <x:f>IF(I498=1,_xlfn.XLOOKUP(H498,Rates_Raw!$AF$5:$AF$464,Rates_Raw!$E$5:$E$464,""),"")</x:f>
        <x:v>Special Assistant XI</x:v>
      </x:c>
      <x:c r="K498" t="n">
        <x:f>IF(I498=1,_xlfn.XLOOKUP(H498,Rates_Raw!$AF$5:$AF$464,Rates_Raw!$F$5:$F$464,""),"")</x:f>
        <x:v>21</x:v>
      </x:c>
      <x:c r="L498" s="50" t="n">
        <x:f>IF(I498=1,IFERROR(VALUE(SUBSTITUTE(_xlfn.XLOOKUP(H498,Rates_Raw!$AF$5:$AF$464,Rates_Raw!$L$5:$L$464,""),"$","")),""),"")</x:f>
        <x:v>56.025</x:v>
      </x:c>
      <x:c r="M498" s="50" t="n">
        <x:f>IF(OR(G498="",L498=""),"",ROUND(G498-L498,4))</x:f>
        <x:v>0</x:v>
      </x:c>
      <x:c r="N498" t="str">
        <x:f>IF(I498=0,"NO MATCH",IF(I498&gt;1,"AMBIGUOUS",IF(EXACT(TRIM(E498),TRIM(J498)),"EXACT","TITLE VARIANT")))</x:f>
        <x:v>EXACT</x:v>
      </x:c>
      <x:c r="O498" t="str">
        <x:f>IF(I498&lt;&gt;1,"NOT TESTED",IF(OR(G498="",L498=""),"MISSING",IF(ABS(M498)&lt;=Guide!$B$16,"PASS","REVIEW")))</x:f>
        <x:v>PASS</x:v>
      </x:c>
      <x:c r="P498" s="52" t="n">
        <x:f>IF(I498=1,IFERROR(VALUE(SUBSTITUTE(SUBSTITUTE(_xlfn.XLOOKUP(H498,Rates_Raw!$AF$5:$AF$464,Rates_Raw!$I$5:$I$464,""),"$",""),",","")),""),"")</x:f>
        <x:v>4482</x:v>
      </x:c>
      <x:c r="Q498" s="52" t="n">
        <x:f>IF(P498="","",P498*Guide!$B$15)</x:f>
        <x:v>116532</x:v>
      </x:c>
      <x:c r="R498" t="str">
        <x:f>IF(I498=0,"UNMATCHED",IF(I498&gt;1,"DUPLICATE KEY",IF(OR(N498="TITLE VARIANT",O498="REVIEW",O498="MISSING"),"REVIEW","VERIFIED")))</x:f>
        <x:v>VERIFIED</x:v>
      </x:c>
      <x:c r="S498" s="46" t="str">
        <x:v>Not Reviewed</x:v>
      </x:c>
      <x:c r="T498" s="48"/>
    </x:row>
    <x:row r="499">
      <x:c r="A499" t="n">
        <x:f>Plan_Raw!A499</x:f>
        <x:v>2144</x:v>
      </x:c>
      <x:c r="B499" t="str">
        <x:f>Plan_Raw!D499</x:f>
        <x:v>1370</x:v>
      </x:c>
      <x:c r="C499" t="str">
        <x:f>LEFT(Plan_Raw!B499,10)</x:f>
        <x:v>2024-07-01</x:v>
      </x:c>
      <x:c r="D499" t="str">
        <x:f>Plan_Raw!F499</x:f>
        <x:v>COMMN</x:v>
      </x:c>
      <x:c r="E499" t="str">
        <x:f>Plan_Raw!E499</x:f>
        <x:v>Special Assistant XI</x:v>
      </x:c>
      <x:c r="F499" t="str">
        <x:f>Plan_Raw!C499</x:f>
        <x:v>1370Z</x:v>
      </x:c>
      <x:c r="G499" s="50" t="n">
        <x:f>IF(Plan_Raw!G499="","",IFERROR(VALUE(Plan_Raw!G499),""))</x:f>
        <x:v>56.8625</x:v>
      </x:c>
      <x:c r="H499" t="str">
        <x:f>Plan_Raw!AH499</x:f>
        <x:v>1370|COMMN|2024-07-01</x:v>
      </x:c>
      <x:c r="I499" t="n">
        <x:f>COUNTIF(Rates_Raw!$AF$5:$AF$464,H499)</x:f>
        <x:v>1</x:v>
      </x:c>
      <x:c r="J499" t="str">
        <x:f>IF(I499=1,_xlfn.XLOOKUP(H499,Rates_Raw!$AF$5:$AF$464,Rates_Raw!$E$5:$E$464,""),"")</x:f>
        <x:v>Special Assistant XI</x:v>
      </x:c>
      <x:c r="K499" t="n">
        <x:f>IF(I499=1,_xlfn.XLOOKUP(H499,Rates_Raw!$AF$5:$AF$464,Rates_Raw!$F$5:$F$464,""),"")</x:f>
        <x:v>21</x:v>
      </x:c>
      <x:c r="L499" s="50" t="n">
        <x:f>IF(I499=1,IFERROR(VALUE(SUBSTITUTE(_xlfn.XLOOKUP(H499,Rates_Raw!$AF$5:$AF$464,Rates_Raw!$L$5:$L$464,""),"$","")),""),"")</x:f>
        <x:v>56.8625</x:v>
      </x:c>
      <x:c r="M499" s="50" t="n">
        <x:f>IF(OR(G499="",L499=""),"",ROUND(G499-L499,4))</x:f>
        <x:v>0</x:v>
      </x:c>
      <x:c r="N499" t="str">
        <x:f>IF(I499=0,"NO MATCH",IF(I499&gt;1,"AMBIGUOUS",IF(EXACT(TRIM(E499),TRIM(J499)),"EXACT","TITLE VARIANT")))</x:f>
        <x:v>EXACT</x:v>
      </x:c>
      <x:c r="O499" t="str">
        <x:f>IF(I499&lt;&gt;1,"NOT TESTED",IF(OR(G499="",L499=""),"MISSING",IF(ABS(M499)&lt;=Guide!$B$16,"PASS","REVIEW")))</x:f>
        <x:v>PASS</x:v>
      </x:c>
      <x:c r="P499" s="52" t="n">
        <x:f>IF(I499=1,IFERROR(VALUE(SUBSTITUTE(SUBSTITUTE(_xlfn.XLOOKUP(H499,Rates_Raw!$AF$5:$AF$464,Rates_Raw!$I$5:$I$464,""),"$",""),",","")),""),"")</x:f>
        <x:v>4549</x:v>
      </x:c>
      <x:c r="Q499" s="52" t="n">
        <x:f>IF(P499="","",P499*Guide!$B$15)</x:f>
        <x:v>118274</x:v>
      </x:c>
      <x:c r="R499" t="str">
        <x:f>IF(I499=0,"UNMATCHED",IF(I499&gt;1,"DUPLICATE KEY",IF(OR(N499="TITLE VARIANT",O499="REVIEW",O499="MISSING"),"REVIEW","VERIFIED")))</x:f>
        <x:v>VERIFIED</x:v>
      </x:c>
      <x:c r="S499" s="46" t="str">
        <x:v>Not Reviewed</x:v>
      </x:c>
      <x:c r="T499" s="48"/>
    </x:row>
    <x:row r="500">
      <x:c r="A500" t="n">
        <x:f>Plan_Raw!A500</x:f>
        <x:v>2156</x:v>
      </x:c>
      <x:c r="B500" t="str">
        <x:f>Plan_Raw!D500</x:f>
        <x:v>1370</x:v>
      </x:c>
      <x:c r="C500" t="str">
        <x:f>LEFT(Plan_Raw!B500,10)</x:f>
        <x:v>2024-07-01</x:v>
      </x:c>
      <x:c r="D500" t="str">
        <x:f>Plan_Raw!F500</x:f>
        <x:v>SFMTA</x:v>
      </x:c>
      <x:c r="E500" t="str">
        <x:f>Plan_Raw!E500</x:f>
        <x:v>Special Assistant XI</x:v>
      </x:c>
      <x:c r="F500" t="str">
        <x:f>Plan_Raw!C500</x:f>
        <x:v>1370Z</x:v>
      </x:c>
      <x:c r="G500" s="50" t="n">
        <x:f>IF(Plan_Raw!G500="","",IFERROR(VALUE(Plan_Raw!G500),""))</x:f>
        <x:v>56.8625</x:v>
      </x:c>
      <x:c r="H500" t="str">
        <x:f>Plan_Raw!AH500</x:f>
        <x:v>1370|SFMTA|2024-07-01</x:v>
      </x:c>
      <x:c r="I500" t="n">
        <x:f>COUNTIF(Rates_Raw!$AF$5:$AF$464,H500)</x:f>
        <x:v>1</x:v>
      </x:c>
      <x:c r="J500" t="str">
        <x:f>IF(I500=1,_xlfn.XLOOKUP(H500,Rates_Raw!$AF$5:$AF$464,Rates_Raw!$E$5:$E$464,""),"")</x:f>
        <x:v>Special Assistant XI</x:v>
      </x:c>
      <x:c r="K500" t="n">
        <x:f>IF(I500=1,_xlfn.XLOOKUP(H500,Rates_Raw!$AF$5:$AF$464,Rates_Raw!$F$5:$F$464,""),"")</x:f>
        <x:v>21</x:v>
      </x:c>
      <x:c r="L500" s="50" t="n">
        <x:f>IF(I500=1,IFERROR(VALUE(SUBSTITUTE(_xlfn.XLOOKUP(H500,Rates_Raw!$AF$5:$AF$464,Rates_Raw!$L$5:$L$464,""),"$","")),""),"")</x:f>
        <x:v>56.8625</x:v>
      </x:c>
      <x:c r="M500" s="50" t="n">
        <x:f>IF(OR(G500="",L500=""),"",ROUND(G500-L500,4))</x:f>
        <x:v>0</x:v>
      </x:c>
      <x:c r="N500" t="str">
        <x:f>IF(I500=0,"NO MATCH",IF(I500&gt;1,"AMBIGUOUS",IF(EXACT(TRIM(E500),TRIM(J500)),"EXACT","TITLE VARIANT")))</x:f>
        <x:v>EXACT</x:v>
      </x:c>
      <x:c r="O500" t="str">
        <x:f>IF(I500&lt;&gt;1,"NOT TESTED",IF(OR(G500="",L500=""),"MISSING",IF(ABS(M500)&lt;=Guide!$B$16,"PASS","REVIEW")))</x:f>
        <x:v>PASS</x:v>
      </x:c>
      <x:c r="P500" s="52" t="n">
        <x:f>IF(I500=1,IFERROR(VALUE(SUBSTITUTE(SUBSTITUTE(_xlfn.XLOOKUP(H500,Rates_Raw!$AF$5:$AF$464,Rates_Raw!$I$5:$I$464,""),"$",""),",","")),""),"")</x:f>
        <x:v>4549</x:v>
      </x:c>
      <x:c r="Q500" s="52" t="n">
        <x:f>IF(P500="","",P500*Guide!$B$15)</x:f>
        <x:v>118274</x:v>
      </x:c>
      <x:c r="R500" t="str">
        <x:f>IF(I500=0,"UNMATCHED",IF(I500&gt;1,"DUPLICATE KEY",IF(OR(N500="TITLE VARIANT",O500="REVIEW",O500="MISSING"),"REVIEW","VERIFIED")))</x:f>
        <x:v>VERIFIED</x:v>
      </x:c>
      <x:c r="S500" s="46" t="str">
        <x:v>Not Reviewed</x:v>
      </x:c>
      <x:c r="T500" s="48"/>
    </x:row>
    <x:row r="501">
      <x:c r="A501" t="n">
        <x:f>Plan_Raw!A501</x:f>
        <x:v>2145</x:v>
      </x:c>
      <x:c r="B501" t="str">
        <x:f>Plan_Raw!D501</x:f>
        <x:v>1370</x:v>
      </x:c>
      <x:c r="C501" t="str">
        <x:f>LEFT(Plan_Raw!B501,10)</x:f>
        <x:v>2025-01-04</x:v>
      </x:c>
      <x:c r="D501" t="str">
        <x:f>Plan_Raw!F501</x:f>
        <x:v>COMMN</x:v>
      </x:c>
      <x:c r="E501" t="str">
        <x:f>Plan_Raw!E501</x:f>
        <x:v>Special Assistant XI</x:v>
      </x:c>
      <x:c r="F501" t="str">
        <x:f>Plan_Raw!C501</x:f>
        <x:v>1370A</x:v>
      </x:c>
      <x:c r="G501" s="50" t="n">
        <x:f>IF(Plan_Raw!G501="","",IFERROR(VALUE(Plan_Raw!G501),""))</x:f>
        <x:v>57.7125</x:v>
      </x:c>
      <x:c r="H501" t="str">
        <x:f>Plan_Raw!AH501</x:f>
        <x:v>1370|COMMN|2025-01-04</x:v>
      </x:c>
      <x:c r="I501" t="n">
        <x:f>COUNTIF(Rates_Raw!$AF$5:$AF$464,H501)</x:f>
        <x:v>1</x:v>
      </x:c>
      <x:c r="J501" t="str">
        <x:f>IF(I501=1,_xlfn.XLOOKUP(H501,Rates_Raw!$AF$5:$AF$464,Rates_Raw!$E$5:$E$464,""),"")</x:f>
        <x:v>Special Assistant XI</x:v>
      </x:c>
      <x:c r="K501" t="n">
        <x:f>IF(I501=1,_xlfn.XLOOKUP(H501,Rates_Raw!$AF$5:$AF$464,Rates_Raw!$F$5:$F$464,""),"")</x:f>
        <x:v>21</x:v>
      </x:c>
      <x:c r="L501" s="50" t="n">
        <x:f>IF(I501=1,IFERROR(VALUE(SUBSTITUTE(_xlfn.XLOOKUP(H501,Rates_Raw!$AF$5:$AF$464,Rates_Raw!$L$5:$L$464,""),"$","")),""),"")</x:f>
        <x:v>57.7125</x:v>
      </x:c>
      <x:c r="M501" s="50" t="n">
        <x:f>IF(OR(G501="",L501=""),"",ROUND(G501-L501,4))</x:f>
        <x:v>0</x:v>
      </x:c>
      <x:c r="N501" t="str">
        <x:f>IF(I501=0,"NO MATCH",IF(I501&gt;1,"AMBIGUOUS",IF(EXACT(TRIM(E501),TRIM(J501)),"EXACT","TITLE VARIANT")))</x:f>
        <x:v>EXACT</x:v>
      </x:c>
      <x:c r="O501" t="str">
        <x:f>IF(I501&lt;&gt;1,"NOT TESTED",IF(OR(G501="",L501=""),"MISSING",IF(ABS(M501)&lt;=Guide!$B$16,"PASS","REVIEW")))</x:f>
        <x:v>PASS</x:v>
      </x:c>
      <x:c r="P501" s="52" t="n">
        <x:f>IF(I501=1,IFERROR(VALUE(SUBSTITUTE(SUBSTITUTE(_xlfn.XLOOKUP(H501,Rates_Raw!$AF$5:$AF$464,Rates_Raw!$I$5:$I$464,""),"$",""),",","")),""),"")</x:f>
        <x:v>4617</x:v>
      </x:c>
      <x:c r="Q501" s="52" t="n">
        <x:f>IF(P501="","",P501*Guide!$B$15)</x:f>
        <x:v>120042</x:v>
      </x:c>
      <x:c r="R501" t="str">
        <x:f>IF(I501=0,"UNMATCHED",IF(I501&gt;1,"DUPLICATE KEY",IF(OR(N501="TITLE VARIANT",O501="REVIEW",O501="MISSING"),"REVIEW","VERIFIED")))</x:f>
        <x:v>VERIFIED</x:v>
      </x:c>
      <x:c r="S501" s="46" t="str">
        <x:v>Not Reviewed</x:v>
      </x:c>
      <x:c r="T501" s="48"/>
    </x:row>
    <x:row r="502">
      <x:c r="A502" t="n">
        <x:f>Plan_Raw!A502</x:f>
        <x:v>2157</x:v>
      </x:c>
      <x:c r="B502" t="str">
        <x:f>Plan_Raw!D502</x:f>
        <x:v>1370</x:v>
      </x:c>
      <x:c r="C502" t="str">
        <x:f>LEFT(Plan_Raw!B502,10)</x:f>
        <x:v>2025-01-04</x:v>
      </x:c>
      <x:c r="D502" t="str">
        <x:f>Plan_Raw!F502</x:f>
        <x:v>SFMTA</x:v>
      </x:c>
      <x:c r="E502" t="str">
        <x:f>Plan_Raw!E502</x:f>
        <x:v>Special Assistant XI</x:v>
      </x:c>
      <x:c r="F502" t="str">
        <x:f>Plan_Raw!C502</x:f>
        <x:v>1370A</x:v>
      </x:c>
      <x:c r="G502" s="50" t="n">
        <x:f>IF(Plan_Raw!G502="","",IFERROR(VALUE(Plan_Raw!G502),""))</x:f>
        <x:v>57.7125</x:v>
      </x:c>
      <x:c r="H502" t="str">
        <x:f>Plan_Raw!AH502</x:f>
        <x:v>1370|SFMTA|2025-01-04</x:v>
      </x:c>
      <x:c r="I502" t="n">
        <x:f>COUNTIF(Rates_Raw!$AF$5:$AF$464,H502)</x:f>
        <x:v>1</x:v>
      </x:c>
      <x:c r="J502" t="str">
        <x:f>IF(I502=1,_xlfn.XLOOKUP(H502,Rates_Raw!$AF$5:$AF$464,Rates_Raw!$E$5:$E$464,""),"")</x:f>
        <x:v>Special Assistant XI</x:v>
      </x:c>
      <x:c r="K502" t="n">
        <x:f>IF(I502=1,_xlfn.XLOOKUP(H502,Rates_Raw!$AF$5:$AF$464,Rates_Raw!$F$5:$F$464,""),"")</x:f>
        <x:v>21</x:v>
      </x:c>
      <x:c r="L502" s="50" t="n">
        <x:f>IF(I502=1,IFERROR(VALUE(SUBSTITUTE(_xlfn.XLOOKUP(H502,Rates_Raw!$AF$5:$AF$464,Rates_Raw!$L$5:$L$464,""),"$","")),""),"")</x:f>
        <x:v>57.7125</x:v>
      </x:c>
      <x:c r="M502" s="50" t="n">
        <x:f>IF(OR(G502="",L502=""),"",ROUND(G502-L502,4))</x:f>
        <x:v>0</x:v>
      </x:c>
      <x:c r="N502" t="str">
        <x:f>IF(I502=0,"NO MATCH",IF(I502&gt;1,"AMBIGUOUS",IF(EXACT(TRIM(E502),TRIM(J502)),"EXACT","TITLE VARIANT")))</x:f>
        <x:v>EXACT</x:v>
      </x:c>
      <x:c r="O502" t="str">
        <x:f>IF(I502&lt;&gt;1,"NOT TESTED",IF(OR(G502="",L502=""),"MISSING",IF(ABS(M502)&lt;=Guide!$B$16,"PASS","REVIEW")))</x:f>
        <x:v>PASS</x:v>
      </x:c>
      <x:c r="P502" s="52" t="n">
        <x:f>IF(I502=1,IFERROR(VALUE(SUBSTITUTE(SUBSTITUTE(_xlfn.XLOOKUP(H502,Rates_Raw!$AF$5:$AF$464,Rates_Raw!$I$5:$I$464,""),"$",""),",","")),""),"")</x:f>
        <x:v>4617</x:v>
      </x:c>
      <x:c r="Q502" s="52" t="n">
        <x:f>IF(P502="","",P502*Guide!$B$15)</x:f>
        <x:v>120042</x:v>
      </x:c>
      <x:c r="R502" t="str">
        <x:f>IF(I502=0,"UNMATCHED",IF(I502&gt;1,"DUPLICATE KEY",IF(OR(N502="TITLE VARIANT",O502="REVIEW",O502="MISSING"),"REVIEW","VERIFIED")))</x:f>
        <x:v>VERIFIED</x:v>
      </x:c>
      <x:c r="S502" s="46" t="str">
        <x:v>Not Reviewed</x:v>
      </x:c>
      <x:c r="T502" s="48"/>
    </x:row>
    <x:row r="503">
      <x:c r="A503" t="n">
        <x:f>Plan_Raw!A503</x:f>
        <x:v>2146</x:v>
      </x:c>
      <x:c r="B503" t="str">
        <x:f>Plan_Raw!D503</x:f>
        <x:v>1370</x:v>
      </x:c>
      <x:c r="C503" t="str">
        <x:f>LEFT(Plan_Raw!B503,10)</x:f>
        <x:v>2025-07-01</x:v>
      </x:c>
      <x:c r="D503" t="str">
        <x:f>Plan_Raw!F503</x:f>
        <x:v>COMMN</x:v>
      </x:c>
      <x:c r="E503" t="str">
        <x:f>Plan_Raw!E503</x:f>
        <x:v>Special Assistant 11</x:v>
      </x:c>
      <x:c r="F503" t="str">
        <x:f>Plan_Raw!C503</x:f>
        <x:v>1370B</x:v>
      </x:c>
      <x:c r="G503" s="50" t="n">
        <x:f>IF(Plan_Raw!G503="","",IFERROR(VALUE(Plan_Raw!G503),""))</x:f>
        <x:v>58.875</x:v>
      </x:c>
      <x:c r="H503" t="str">
        <x:f>Plan_Raw!AH503</x:f>
        <x:v>1370|COMMN|2025-07-01</x:v>
      </x:c>
      <x:c r="I503" t="n">
        <x:f>COUNTIF(Rates_Raw!$AF$5:$AF$464,H503)</x:f>
        <x:v>1</x:v>
      </x:c>
      <x:c r="J503" t="str">
        <x:f>IF(I503=1,_xlfn.XLOOKUP(H503,Rates_Raw!$AF$5:$AF$464,Rates_Raw!$E$5:$E$464,""),"")</x:f>
        <x:v>Special Assistant 11</x:v>
      </x:c>
      <x:c r="K503" t="n">
        <x:f>IF(I503=1,_xlfn.XLOOKUP(H503,Rates_Raw!$AF$5:$AF$464,Rates_Raw!$F$5:$F$464,""),"")</x:f>
        <x:v>21</x:v>
      </x:c>
      <x:c r="L503" s="50" t="n">
        <x:f>IF(I503=1,IFERROR(VALUE(SUBSTITUTE(_xlfn.XLOOKUP(H503,Rates_Raw!$AF$5:$AF$464,Rates_Raw!$L$5:$L$464,""),"$","")),""),"")</x:f>
        <x:v>58.875</x:v>
      </x:c>
      <x:c r="M503" s="50" t="n">
        <x:f>IF(OR(G503="",L503=""),"",ROUND(G503-L503,4))</x:f>
        <x:v>0</x:v>
      </x:c>
      <x:c r="N503" t="str">
        <x:f>IF(I503=0,"NO MATCH",IF(I503&gt;1,"AMBIGUOUS",IF(EXACT(TRIM(E503),TRIM(J503)),"EXACT","TITLE VARIANT")))</x:f>
        <x:v>EXACT</x:v>
      </x:c>
      <x:c r="O503" t="str">
        <x:f>IF(I503&lt;&gt;1,"NOT TESTED",IF(OR(G503="",L503=""),"MISSING",IF(ABS(M503)&lt;=Guide!$B$16,"PASS","REVIEW")))</x:f>
        <x:v>PASS</x:v>
      </x:c>
      <x:c r="P503" s="52" t="n">
        <x:f>IF(I503=1,IFERROR(VALUE(SUBSTITUTE(SUBSTITUTE(_xlfn.XLOOKUP(H503,Rates_Raw!$AF$5:$AF$464,Rates_Raw!$I$5:$I$464,""),"$",""),",","")),""),"")</x:f>
        <x:v>4710</x:v>
      </x:c>
      <x:c r="Q503" s="52" t="n">
        <x:f>IF(P503="","",P503*Guide!$B$15)</x:f>
        <x:v>122460</x:v>
      </x:c>
      <x:c r="R503" t="str">
        <x:f>IF(I503=0,"UNMATCHED",IF(I503&gt;1,"DUPLICATE KEY",IF(OR(N503="TITLE VARIANT",O503="REVIEW",O503="MISSING"),"REVIEW","VERIFIED")))</x:f>
        <x:v>VERIFIED</x:v>
      </x:c>
      <x:c r="S503" s="46" t="str">
        <x:v>Not Reviewed</x:v>
      </x:c>
      <x:c r="T503" s="48"/>
    </x:row>
    <x:row r="504">
      <x:c r="A504" t="n">
        <x:f>Plan_Raw!A504</x:f>
        <x:v>2158</x:v>
      </x:c>
      <x:c r="B504" t="str">
        <x:f>Plan_Raw!D504</x:f>
        <x:v>1370</x:v>
      </x:c>
      <x:c r="C504" t="str">
        <x:f>LEFT(Plan_Raw!B504,10)</x:f>
        <x:v>2025-07-01</x:v>
      </x:c>
      <x:c r="D504" t="str">
        <x:f>Plan_Raw!F504</x:f>
        <x:v>SFMTA</x:v>
      </x:c>
      <x:c r="E504" t="str">
        <x:f>Plan_Raw!E504</x:f>
        <x:v>Special Assistant 11</x:v>
      </x:c>
      <x:c r="F504" t="str">
        <x:f>Plan_Raw!C504</x:f>
        <x:v>1370B</x:v>
      </x:c>
      <x:c r="G504" s="50" t="n">
        <x:f>IF(Plan_Raw!G504="","",IFERROR(VALUE(Plan_Raw!G504),""))</x:f>
        <x:v>58.875</x:v>
      </x:c>
      <x:c r="H504" t="str">
        <x:f>Plan_Raw!AH504</x:f>
        <x:v>1370|SFMTA|2025-07-01</x:v>
      </x:c>
      <x:c r="I504" t="n">
        <x:f>COUNTIF(Rates_Raw!$AF$5:$AF$464,H504)</x:f>
        <x:v>1</x:v>
      </x:c>
      <x:c r="J504" t="str">
        <x:f>IF(I504=1,_xlfn.XLOOKUP(H504,Rates_Raw!$AF$5:$AF$464,Rates_Raw!$E$5:$E$464,""),"")</x:f>
        <x:v>Special Assistant 11</x:v>
      </x:c>
      <x:c r="K504" t="n">
        <x:f>IF(I504=1,_xlfn.XLOOKUP(H504,Rates_Raw!$AF$5:$AF$464,Rates_Raw!$F$5:$F$464,""),"")</x:f>
        <x:v>21</x:v>
      </x:c>
      <x:c r="L504" s="50" t="n">
        <x:f>IF(I504=1,IFERROR(VALUE(SUBSTITUTE(_xlfn.XLOOKUP(H504,Rates_Raw!$AF$5:$AF$464,Rates_Raw!$L$5:$L$464,""),"$","")),""),"")</x:f>
        <x:v>58.875</x:v>
      </x:c>
      <x:c r="M504" s="50" t="n">
        <x:f>IF(OR(G504="",L504=""),"",ROUND(G504-L504,4))</x:f>
        <x:v>0</x:v>
      </x:c>
      <x:c r="N504" t="str">
        <x:f>IF(I504=0,"NO MATCH",IF(I504&gt;1,"AMBIGUOUS",IF(EXACT(TRIM(E504),TRIM(J504)),"EXACT","TITLE VARIANT")))</x:f>
        <x:v>EXACT</x:v>
      </x:c>
      <x:c r="O504" t="str">
        <x:f>IF(I504&lt;&gt;1,"NOT TESTED",IF(OR(G504="",L504=""),"MISSING",IF(ABS(M504)&lt;=Guide!$B$16,"PASS","REVIEW")))</x:f>
        <x:v>PASS</x:v>
      </x:c>
      <x:c r="P504" s="52" t="n">
        <x:f>IF(I504=1,IFERROR(VALUE(SUBSTITUTE(SUBSTITUTE(_xlfn.XLOOKUP(H504,Rates_Raw!$AF$5:$AF$464,Rates_Raw!$I$5:$I$464,""),"$",""),",","")),""),"")</x:f>
        <x:v>4710</x:v>
      </x:c>
      <x:c r="Q504" s="52" t="n">
        <x:f>IF(P504="","",P504*Guide!$B$15)</x:f>
        <x:v>122460</x:v>
      </x:c>
      <x:c r="R504" t="str">
        <x:f>IF(I504=0,"UNMATCHED",IF(I504&gt;1,"DUPLICATE KEY",IF(OR(N504="TITLE VARIANT",O504="REVIEW",O504="MISSING"),"REVIEW","VERIFIED")))</x:f>
        <x:v>VERIFIED</x:v>
      </x:c>
      <x:c r="S504" s="46" t="str">
        <x:v>Not Reviewed</x:v>
      </x:c>
      <x:c r="T504" s="48"/>
    </x:row>
    <x:row r="505">
      <x:c r="A505" t="n">
        <x:f>Plan_Raw!A505</x:f>
        <x:v>2147</x:v>
      </x:c>
      <x:c r="B505" t="str">
        <x:f>Plan_Raw!D505</x:f>
        <x:v>1370</x:v>
      </x:c>
      <x:c r="C505" t="str">
        <x:f>LEFT(Plan_Raw!B505,10)</x:f>
        <x:v>2026-01-03</x:v>
      </x:c>
      <x:c r="D505" t="str">
        <x:f>Plan_Raw!F505</x:f>
        <x:v>COMMN</x:v>
      </x:c>
      <x:c r="E505" t="str">
        <x:f>Plan_Raw!E505</x:f>
        <x:v>Special Assistant 11</x:v>
      </x:c>
      <x:c r="F505" t="str">
        <x:f>Plan_Raw!C505</x:f>
        <x:v>1370C</x:v>
      </x:c>
      <x:c r="G505" s="50" t="n">
        <x:f>IF(Plan_Raw!G505="","",IFERROR(VALUE(Plan_Raw!G505),""))</x:f>
        <x:v>59.7625</x:v>
      </x:c>
      <x:c r="H505" t="str">
        <x:f>Plan_Raw!AH505</x:f>
        <x:v>1370|COMMN|2026-01-03</x:v>
      </x:c>
      <x:c r="I505" t="n">
        <x:f>COUNTIF(Rates_Raw!$AF$5:$AF$464,H505)</x:f>
        <x:v>1</x:v>
      </x:c>
      <x:c r="J505" t="str">
        <x:f>IF(I505=1,_xlfn.XLOOKUP(H505,Rates_Raw!$AF$5:$AF$464,Rates_Raw!$E$5:$E$464,""),"")</x:f>
        <x:v>Special Assistant 11</x:v>
      </x:c>
      <x:c r="K505" t="n">
        <x:f>IF(I505=1,_xlfn.XLOOKUP(H505,Rates_Raw!$AF$5:$AF$464,Rates_Raw!$F$5:$F$464,""),"")</x:f>
        <x:v>21</x:v>
      </x:c>
      <x:c r="L505" s="50" t="n">
        <x:f>IF(I505=1,IFERROR(VALUE(SUBSTITUTE(_xlfn.XLOOKUP(H505,Rates_Raw!$AF$5:$AF$464,Rates_Raw!$L$5:$L$464,""),"$","")),""),"")</x:f>
        <x:v>59.7625</x:v>
      </x:c>
      <x:c r="M505" s="50" t="n">
        <x:f>IF(OR(G505="",L505=""),"",ROUND(G505-L505,4))</x:f>
        <x:v>0</x:v>
      </x:c>
      <x:c r="N505" t="str">
        <x:f>IF(I505=0,"NO MATCH",IF(I505&gt;1,"AMBIGUOUS",IF(EXACT(TRIM(E505),TRIM(J505)),"EXACT","TITLE VARIANT")))</x:f>
        <x:v>EXACT</x:v>
      </x:c>
      <x:c r="O505" t="str">
        <x:f>IF(I505&lt;&gt;1,"NOT TESTED",IF(OR(G505="",L505=""),"MISSING",IF(ABS(M505)&lt;=Guide!$B$16,"PASS","REVIEW")))</x:f>
        <x:v>PASS</x:v>
      </x:c>
      <x:c r="P505" s="52" t="n">
        <x:f>IF(I505=1,IFERROR(VALUE(SUBSTITUTE(SUBSTITUTE(_xlfn.XLOOKUP(H505,Rates_Raw!$AF$5:$AF$464,Rates_Raw!$I$5:$I$464,""),"$",""),",","")),""),"")</x:f>
        <x:v>4781</x:v>
      </x:c>
      <x:c r="Q505" s="52" t="n">
        <x:f>IF(P505="","",P505*Guide!$B$15)</x:f>
        <x:v>124306</x:v>
      </x:c>
      <x:c r="R505" t="str">
        <x:f>IF(I505=0,"UNMATCHED",IF(I505&gt;1,"DUPLICATE KEY",IF(OR(N505="TITLE VARIANT",O505="REVIEW",O505="MISSING"),"REVIEW","VERIFIED")))</x:f>
        <x:v>VERIFIED</x:v>
      </x:c>
      <x:c r="S505" s="46" t="str">
        <x:v>Not Reviewed</x:v>
      </x:c>
      <x:c r="T505" s="48"/>
    </x:row>
    <x:row r="506">
      <x:c r="A506" t="n">
        <x:f>Plan_Raw!A506</x:f>
        <x:v>2159</x:v>
      </x:c>
      <x:c r="B506" t="str">
        <x:f>Plan_Raw!D506</x:f>
        <x:v>1370</x:v>
      </x:c>
      <x:c r="C506" t="str">
        <x:f>LEFT(Plan_Raw!B506,10)</x:f>
        <x:v>2026-01-03</x:v>
      </x:c>
      <x:c r="D506" t="str">
        <x:f>Plan_Raw!F506</x:f>
        <x:v>SFMTA</x:v>
      </x:c>
      <x:c r="E506" t="str">
        <x:f>Plan_Raw!E506</x:f>
        <x:v>Special Assistant 11</x:v>
      </x:c>
      <x:c r="F506" t="str">
        <x:f>Plan_Raw!C506</x:f>
        <x:v>1370C</x:v>
      </x:c>
      <x:c r="G506" s="50" t="n">
        <x:f>IF(Plan_Raw!G506="","",IFERROR(VALUE(Plan_Raw!G506),""))</x:f>
        <x:v>59.7625</x:v>
      </x:c>
      <x:c r="H506" t="str">
        <x:f>Plan_Raw!AH506</x:f>
        <x:v>1370|SFMTA|2026-01-03</x:v>
      </x:c>
      <x:c r="I506" t="n">
        <x:f>COUNTIF(Rates_Raw!$AF$5:$AF$464,H506)</x:f>
        <x:v>1</x:v>
      </x:c>
      <x:c r="J506" t="str">
        <x:f>IF(I506=1,_xlfn.XLOOKUP(H506,Rates_Raw!$AF$5:$AF$464,Rates_Raw!$E$5:$E$464,""),"")</x:f>
        <x:v>Special Assistant 11</x:v>
      </x:c>
      <x:c r="K506" t="n">
        <x:f>IF(I506=1,_xlfn.XLOOKUP(H506,Rates_Raw!$AF$5:$AF$464,Rates_Raw!$F$5:$F$464,""),"")</x:f>
        <x:v>21</x:v>
      </x:c>
      <x:c r="L506" s="50" t="n">
        <x:f>IF(I506=1,IFERROR(VALUE(SUBSTITUTE(_xlfn.XLOOKUP(H506,Rates_Raw!$AF$5:$AF$464,Rates_Raw!$L$5:$L$464,""),"$","")),""),"")</x:f>
        <x:v>59.7625</x:v>
      </x:c>
      <x:c r="M506" s="50" t="n">
        <x:f>IF(OR(G506="",L506=""),"",ROUND(G506-L506,4))</x:f>
        <x:v>0</x:v>
      </x:c>
      <x:c r="N506" t="str">
        <x:f>IF(I506=0,"NO MATCH",IF(I506&gt;1,"AMBIGUOUS",IF(EXACT(TRIM(E506),TRIM(J506)),"EXACT","TITLE VARIANT")))</x:f>
        <x:v>EXACT</x:v>
      </x:c>
      <x:c r="O506" t="str">
        <x:f>IF(I506&lt;&gt;1,"NOT TESTED",IF(OR(G506="",L506=""),"MISSING",IF(ABS(M506)&lt;=Guide!$B$16,"PASS","REVIEW")))</x:f>
        <x:v>PASS</x:v>
      </x:c>
      <x:c r="P506" s="52" t="n">
        <x:f>IF(I506=1,IFERROR(VALUE(SUBSTITUTE(SUBSTITUTE(_xlfn.XLOOKUP(H506,Rates_Raw!$AF$5:$AF$464,Rates_Raw!$I$5:$I$464,""),"$",""),",","")),""),"")</x:f>
        <x:v>4781</x:v>
      </x:c>
      <x:c r="Q506" s="52" t="n">
        <x:f>IF(P506="","",P506*Guide!$B$15)</x:f>
        <x:v>124306</x:v>
      </x:c>
      <x:c r="R506" t="str">
        <x:f>IF(I506=0,"UNMATCHED",IF(I506&gt;1,"DUPLICATE KEY",IF(OR(N506="TITLE VARIANT",O506="REVIEW",O506="MISSING"),"REVIEW","VERIFIED")))</x:f>
        <x:v>VERIFIED</x:v>
      </x:c>
      <x:c r="S506" s="46" t="str">
        <x:v>Not Reviewed</x:v>
      </x:c>
      <x:c r="T506" s="48"/>
    </x:row>
    <x:row r="507">
      <x:c r="A507" t="n">
        <x:f>Plan_Raw!A507</x:f>
        <x:v>2148</x:v>
      </x:c>
      <x:c r="B507" t="str">
        <x:f>Plan_Raw!D507</x:f>
        <x:v>1370</x:v>
      </x:c>
      <x:c r="C507" t="str">
        <x:f>LEFT(Plan_Raw!B507,10)</x:f>
        <x:v>2026-07-01</x:v>
      </x:c>
      <x:c r="D507" t="str">
        <x:f>Plan_Raw!F507</x:f>
        <x:v>COMMN</x:v>
      </x:c>
      <x:c r="E507" t="str">
        <x:f>Plan_Raw!E507</x:f>
        <x:v>Special Assistant 11</x:v>
      </x:c>
      <x:c r="F507" t="str">
        <x:f>Plan_Raw!C507</x:f>
        <x:v>1370D</x:v>
      </x:c>
      <x:c r="G507" s="50" t="n">
        <x:f>IF(Plan_Raw!G507="","",IFERROR(VALUE(Plan_Raw!G507),""))</x:f>
        <x:v>60.9625</x:v>
      </x:c>
      <x:c r="H507" t="str">
        <x:f>Plan_Raw!AH507</x:f>
        <x:v>1370|COMMN|2026-07-01</x:v>
      </x:c>
      <x:c r="I507" t="n">
        <x:f>COUNTIF(Rates_Raw!$AF$5:$AF$464,H507)</x:f>
        <x:v>0</x:v>
      </x:c>
      <x:c r="J507" t="str">
        <x:f>IF(I507=1,_xlfn.XLOOKUP(H507,Rates_Raw!$AF$5:$AF$464,Rates_Raw!$E$5:$E$464,""),"")</x:f>
      </x:c>
      <x:c r="K507" t="str">
        <x:f>IF(I507=1,_xlfn.XLOOKUP(H507,Rates_Raw!$AF$5:$AF$464,Rates_Raw!$F$5:$F$464,""),"")</x:f>
      </x:c>
      <x:c r="L507" s="50" t="str">
        <x:f>IF(I507=1,IFERROR(VALUE(SUBSTITUTE(_xlfn.XLOOKUP(H507,Rates_Raw!$AF$5:$AF$464,Rates_Raw!$L$5:$L$464,""),"$","")),""),"")</x:f>
      </x:c>
      <x:c r="M507" s="50" t="str">
        <x:f>IF(OR(G507="",L507=""),"",ROUND(G507-L507,4))</x:f>
      </x:c>
      <x:c r="N507" t="str">
        <x:f>IF(I507=0,"NO MATCH",IF(I507&gt;1,"AMBIGUOUS",IF(EXACT(TRIM(E507),TRIM(J507)),"EXACT","TITLE VARIANT")))</x:f>
        <x:v>NO MATCH</x:v>
      </x:c>
      <x:c r="O507" t="str">
        <x:f>IF(I507&lt;&gt;1,"NOT TESTED",IF(OR(G507="",L507=""),"MISSING",IF(ABS(M507)&lt;=Guide!$B$16,"PASS","REVIEW")))</x:f>
        <x:v>NOT TESTED</x:v>
      </x:c>
      <x:c r="P507" s="52" t="str">
        <x:f>IF(I507=1,IFERROR(VALUE(SUBSTITUTE(SUBSTITUTE(_xlfn.XLOOKUP(H507,Rates_Raw!$AF$5:$AF$464,Rates_Raw!$I$5:$I$464,""),"$",""),",","")),""),"")</x:f>
      </x:c>
      <x:c r="Q507" s="52" t="str">
        <x:f>IF(P507="","",P507*Guide!$B$15)</x:f>
      </x:c>
      <x:c r="R507" t="str">
        <x:f>IF(I507=0,"UNMATCHED",IF(I507&gt;1,"DUPLICATE KEY",IF(OR(N507="TITLE VARIANT",O507="REVIEW",O507="MISSING"),"REVIEW","VERIFIED")))</x:f>
        <x:v>UNMATCHED</x:v>
      </x:c>
      <x:c r="S507" s="46" t="str">
        <x:v>Not Reviewed</x:v>
      </x:c>
      <x:c r="T507" s="48"/>
    </x:row>
    <x:row r="508">
      <x:c r="A508" t="n">
        <x:f>Plan_Raw!A508</x:f>
        <x:v>2160</x:v>
      </x:c>
      <x:c r="B508" t="str">
        <x:f>Plan_Raw!D508</x:f>
        <x:v>1370</x:v>
      </x:c>
      <x:c r="C508" t="str">
        <x:f>LEFT(Plan_Raw!B508,10)</x:f>
        <x:v>2026-07-01</x:v>
      </x:c>
      <x:c r="D508" t="str">
        <x:f>Plan_Raw!F508</x:f>
        <x:v>SFMTA</x:v>
      </x:c>
      <x:c r="E508" t="str">
        <x:f>Plan_Raw!E508</x:f>
        <x:v>Special Assistant 11</x:v>
      </x:c>
      <x:c r="F508" t="str">
        <x:f>Plan_Raw!C508</x:f>
        <x:v>1370D</x:v>
      </x:c>
      <x:c r="G508" s="50" t="n">
        <x:f>IF(Plan_Raw!G508="","",IFERROR(VALUE(Plan_Raw!G508),""))</x:f>
        <x:v>60.9625</x:v>
      </x:c>
      <x:c r="H508" t="str">
        <x:f>Plan_Raw!AH508</x:f>
        <x:v>1370|SFMTA|2026-07-01</x:v>
      </x:c>
      <x:c r="I508" t="n">
        <x:f>COUNTIF(Rates_Raw!$AF$5:$AF$464,H508)</x:f>
        <x:v>0</x:v>
      </x:c>
      <x:c r="J508" t="str">
        <x:f>IF(I508=1,_xlfn.XLOOKUP(H508,Rates_Raw!$AF$5:$AF$464,Rates_Raw!$E$5:$E$464,""),"")</x:f>
      </x:c>
      <x:c r="K508" t="str">
        <x:f>IF(I508=1,_xlfn.XLOOKUP(H508,Rates_Raw!$AF$5:$AF$464,Rates_Raw!$F$5:$F$464,""),"")</x:f>
      </x:c>
      <x:c r="L508" s="50" t="str">
        <x:f>IF(I508=1,IFERROR(VALUE(SUBSTITUTE(_xlfn.XLOOKUP(H508,Rates_Raw!$AF$5:$AF$464,Rates_Raw!$L$5:$L$464,""),"$","")),""),"")</x:f>
      </x:c>
      <x:c r="M508" s="50" t="str">
        <x:f>IF(OR(G508="",L508=""),"",ROUND(G508-L508,4))</x:f>
      </x:c>
      <x:c r="N508" t="str">
        <x:f>IF(I508=0,"NO MATCH",IF(I508&gt;1,"AMBIGUOUS",IF(EXACT(TRIM(E508),TRIM(J508)),"EXACT","TITLE VARIANT")))</x:f>
        <x:v>NO MATCH</x:v>
      </x:c>
      <x:c r="O508" t="str">
        <x:f>IF(I508&lt;&gt;1,"NOT TESTED",IF(OR(G508="",L508=""),"MISSING",IF(ABS(M508)&lt;=Guide!$B$16,"PASS","REVIEW")))</x:f>
        <x:v>NOT TESTED</x:v>
      </x:c>
      <x:c r="P508" s="52" t="str">
        <x:f>IF(I508=1,IFERROR(VALUE(SUBSTITUTE(SUBSTITUTE(_xlfn.XLOOKUP(H508,Rates_Raw!$AF$5:$AF$464,Rates_Raw!$I$5:$I$464,""),"$",""),",","")),""),"")</x:f>
      </x:c>
      <x:c r="Q508" s="52" t="str">
        <x:f>IF(P508="","",P508*Guide!$B$15)</x:f>
      </x:c>
      <x:c r="R508" t="str">
        <x:f>IF(I508=0,"UNMATCHED",IF(I508&gt;1,"DUPLICATE KEY",IF(OR(N508="TITLE VARIANT",O508="REVIEW",O508="MISSING"),"REVIEW","VERIFIED")))</x:f>
        <x:v>UNMATCHED</x:v>
      </x:c>
      <x:c r="S508" s="46" t="str">
        <x:v>Not Reviewed</x:v>
      </x:c>
      <x:c r="T508" s="48"/>
    </x:row>
    <x:row r="509">
      <x:c r="A509" t="n">
        <x:f>Plan_Raw!A509</x:f>
        <x:v>2167</x:v>
      </x:c>
      <x:c r="B509" t="str">
        <x:f>Plan_Raw!D509</x:f>
        <x:v>1371</x:v>
      </x:c>
      <x:c r="C509" t="str">
        <x:f>LEFT(Plan_Raw!B509,10)</x:f>
        <x:v>2024-01-06</x:v>
      </x:c>
      <x:c r="D509" t="str">
        <x:f>Plan_Raw!F509</x:f>
        <x:v>COMMN</x:v>
      </x:c>
      <x:c r="E509" t="str">
        <x:f>Plan_Raw!E509</x:f>
        <x:v>Special Assistant XII</x:v>
      </x:c>
      <x:c r="F509" t="str">
        <x:f>Plan_Raw!C509</x:f>
        <x:v>1371Y</x:v>
      </x:c>
      <x:c r="G509" s="50" t="n">
        <x:f>IF(Plan_Raw!G509="","",IFERROR(VALUE(Plan_Raw!G509),""))</x:f>
        <x:v>60.2625</x:v>
      </x:c>
      <x:c r="H509" t="str">
        <x:f>Plan_Raw!AH509</x:f>
        <x:v>1371|COMMN|2024-01-06</x:v>
      </x:c>
      <x:c r="I509" t="n">
        <x:f>COUNTIF(Rates_Raw!$AF$5:$AF$464,H509)</x:f>
        <x:v>1</x:v>
      </x:c>
      <x:c r="J509" t="str">
        <x:f>IF(I509=1,_xlfn.XLOOKUP(H509,Rates_Raw!$AF$5:$AF$464,Rates_Raw!$E$5:$E$464,""),"")</x:f>
        <x:v>Special Assistant XII</x:v>
      </x:c>
      <x:c r="K509" t="n">
        <x:f>IF(I509=1,_xlfn.XLOOKUP(H509,Rates_Raw!$AF$5:$AF$464,Rates_Raw!$F$5:$F$464,""),"")</x:f>
        <x:v>21</x:v>
      </x:c>
      <x:c r="L509" s="50" t="n">
        <x:f>IF(I509=1,IFERROR(VALUE(SUBSTITUTE(_xlfn.XLOOKUP(H509,Rates_Raw!$AF$5:$AF$464,Rates_Raw!$L$5:$L$464,""),"$","")),""),"")</x:f>
        <x:v>60.2625</x:v>
      </x:c>
      <x:c r="M509" s="50" t="n">
        <x:f>IF(OR(G509="",L509=""),"",ROUND(G509-L509,4))</x:f>
        <x:v>0</x:v>
      </x:c>
      <x:c r="N509" t="str">
        <x:f>IF(I509=0,"NO MATCH",IF(I509&gt;1,"AMBIGUOUS",IF(EXACT(TRIM(E509),TRIM(J509)),"EXACT","TITLE VARIANT")))</x:f>
        <x:v>EXACT</x:v>
      </x:c>
      <x:c r="O509" t="str">
        <x:f>IF(I509&lt;&gt;1,"NOT TESTED",IF(OR(G509="",L509=""),"MISSING",IF(ABS(M509)&lt;=Guide!$B$16,"PASS","REVIEW")))</x:f>
        <x:v>PASS</x:v>
      </x:c>
      <x:c r="P509" s="52" t="n">
        <x:f>IF(I509=1,IFERROR(VALUE(SUBSTITUTE(SUBSTITUTE(_xlfn.XLOOKUP(H509,Rates_Raw!$AF$5:$AF$464,Rates_Raw!$I$5:$I$464,""),"$",""),",","")),""),"")</x:f>
        <x:v>4821</x:v>
      </x:c>
      <x:c r="Q509" s="52" t="n">
        <x:f>IF(P509="","",P509*Guide!$B$15)</x:f>
        <x:v>125346</x:v>
      </x:c>
      <x:c r="R509" t="str">
        <x:f>IF(I509=0,"UNMATCHED",IF(I509&gt;1,"DUPLICATE KEY",IF(OR(N509="TITLE VARIANT",O509="REVIEW",O509="MISSING"),"REVIEW","VERIFIED")))</x:f>
        <x:v>VERIFIED</x:v>
      </x:c>
      <x:c r="S509" s="46" t="str">
        <x:v>Not Reviewed</x:v>
      </x:c>
      <x:c r="T509" s="48"/>
    </x:row>
    <x:row r="510">
      <x:c r="A510" t="n">
        <x:f>Plan_Raw!A510</x:f>
        <x:v>2179</x:v>
      </x:c>
      <x:c r="B510" t="str">
        <x:f>Plan_Raw!D510</x:f>
        <x:v>1371</x:v>
      </x:c>
      <x:c r="C510" t="str">
        <x:f>LEFT(Plan_Raw!B510,10)</x:f>
        <x:v>2024-01-06</x:v>
      </x:c>
      <x:c r="D510" t="str">
        <x:f>Plan_Raw!F510</x:f>
        <x:v>SFMTA</x:v>
      </x:c>
      <x:c r="E510" t="str">
        <x:f>Plan_Raw!E510</x:f>
        <x:v>Special Assistant XII</x:v>
      </x:c>
      <x:c r="F510" t="str">
        <x:f>Plan_Raw!C510</x:f>
        <x:v>1371Y</x:v>
      </x:c>
      <x:c r="G510" s="50" t="n">
        <x:f>IF(Plan_Raw!G510="","",IFERROR(VALUE(Plan_Raw!G510),""))</x:f>
        <x:v>60.2625</x:v>
      </x:c>
      <x:c r="H510" t="str">
        <x:f>Plan_Raw!AH510</x:f>
        <x:v>1371|SFMTA|2024-01-06</x:v>
      </x:c>
      <x:c r="I510" t="n">
        <x:f>COUNTIF(Rates_Raw!$AF$5:$AF$464,H510)</x:f>
        <x:v>1</x:v>
      </x:c>
      <x:c r="J510" t="str">
        <x:f>IF(I510=1,_xlfn.XLOOKUP(H510,Rates_Raw!$AF$5:$AF$464,Rates_Raw!$E$5:$E$464,""),"")</x:f>
        <x:v>Special Assistant XII</x:v>
      </x:c>
      <x:c r="K510" t="n">
        <x:f>IF(I510=1,_xlfn.XLOOKUP(H510,Rates_Raw!$AF$5:$AF$464,Rates_Raw!$F$5:$F$464,""),"")</x:f>
        <x:v>21</x:v>
      </x:c>
      <x:c r="L510" s="50" t="n">
        <x:f>IF(I510=1,IFERROR(VALUE(SUBSTITUTE(_xlfn.XLOOKUP(H510,Rates_Raw!$AF$5:$AF$464,Rates_Raw!$L$5:$L$464,""),"$","")),""),"")</x:f>
        <x:v>60.2625</x:v>
      </x:c>
      <x:c r="M510" s="50" t="n">
        <x:f>IF(OR(G510="",L510=""),"",ROUND(G510-L510,4))</x:f>
        <x:v>0</x:v>
      </x:c>
      <x:c r="N510" t="str">
        <x:f>IF(I510=0,"NO MATCH",IF(I510&gt;1,"AMBIGUOUS",IF(EXACT(TRIM(E510),TRIM(J510)),"EXACT","TITLE VARIANT")))</x:f>
        <x:v>EXACT</x:v>
      </x:c>
      <x:c r="O510" t="str">
        <x:f>IF(I510&lt;&gt;1,"NOT TESTED",IF(OR(G510="",L510=""),"MISSING",IF(ABS(M510)&lt;=Guide!$B$16,"PASS","REVIEW")))</x:f>
        <x:v>PASS</x:v>
      </x:c>
      <x:c r="P510" s="52" t="n">
        <x:f>IF(I510=1,IFERROR(VALUE(SUBSTITUTE(SUBSTITUTE(_xlfn.XLOOKUP(H510,Rates_Raw!$AF$5:$AF$464,Rates_Raw!$I$5:$I$464,""),"$",""),",","")),""),"")</x:f>
        <x:v>4821</x:v>
      </x:c>
      <x:c r="Q510" s="52" t="n">
        <x:f>IF(P510="","",P510*Guide!$B$15)</x:f>
        <x:v>125346</x:v>
      </x:c>
      <x:c r="R510" t="str">
        <x:f>IF(I510=0,"UNMATCHED",IF(I510&gt;1,"DUPLICATE KEY",IF(OR(N510="TITLE VARIANT",O510="REVIEW",O510="MISSING"),"REVIEW","VERIFIED")))</x:f>
        <x:v>VERIFIED</x:v>
      </x:c>
      <x:c r="S510" s="46" t="str">
        <x:v>Not Reviewed</x:v>
      </x:c>
      <x:c r="T510" s="48"/>
    </x:row>
    <x:row r="511">
      <x:c r="A511" t="n">
        <x:f>Plan_Raw!A511</x:f>
        <x:v>2168</x:v>
      </x:c>
      <x:c r="B511" t="str">
        <x:f>Plan_Raw!D511</x:f>
        <x:v>1371</x:v>
      </x:c>
      <x:c r="C511" t="str">
        <x:f>LEFT(Plan_Raw!B511,10)</x:f>
        <x:v>2024-07-01</x:v>
      </x:c>
      <x:c r="D511" t="str">
        <x:f>Plan_Raw!F511</x:f>
        <x:v>COMMN</x:v>
      </x:c>
      <x:c r="E511" t="str">
        <x:f>Plan_Raw!E511</x:f>
        <x:v>Special Assistant XII</x:v>
      </x:c>
      <x:c r="F511" t="str">
        <x:f>Plan_Raw!C511</x:f>
        <x:v>1371Z</x:v>
      </x:c>
      <x:c r="G511" s="50" t="n">
        <x:f>IF(Plan_Raw!G511="","",IFERROR(VALUE(Plan_Raw!G511),""))</x:f>
        <x:v>61.1625</x:v>
      </x:c>
      <x:c r="H511" t="str">
        <x:f>Plan_Raw!AH511</x:f>
        <x:v>1371|COMMN|2024-07-01</x:v>
      </x:c>
      <x:c r="I511" t="n">
        <x:f>COUNTIF(Rates_Raw!$AF$5:$AF$464,H511)</x:f>
        <x:v>1</x:v>
      </x:c>
      <x:c r="J511" t="str">
        <x:f>IF(I511=1,_xlfn.XLOOKUP(H511,Rates_Raw!$AF$5:$AF$464,Rates_Raw!$E$5:$E$464,""),"")</x:f>
        <x:v>Special Assistant XII</x:v>
      </x:c>
      <x:c r="K511" t="n">
        <x:f>IF(I511=1,_xlfn.XLOOKUP(H511,Rates_Raw!$AF$5:$AF$464,Rates_Raw!$F$5:$F$464,""),"")</x:f>
        <x:v>21</x:v>
      </x:c>
      <x:c r="L511" s="50" t="n">
        <x:f>IF(I511=1,IFERROR(VALUE(SUBSTITUTE(_xlfn.XLOOKUP(H511,Rates_Raw!$AF$5:$AF$464,Rates_Raw!$L$5:$L$464,""),"$","")),""),"")</x:f>
        <x:v>61.1625</x:v>
      </x:c>
      <x:c r="M511" s="50" t="n">
        <x:f>IF(OR(G511="",L511=""),"",ROUND(G511-L511,4))</x:f>
        <x:v>0</x:v>
      </x:c>
      <x:c r="N511" t="str">
        <x:f>IF(I511=0,"NO MATCH",IF(I511&gt;1,"AMBIGUOUS",IF(EXACT(TRIM(E511),TRIM(J511)),"EXACT","TITLE VARIANT")))</x:f>
        <x:v>EXACT</x:v>
      </x:c>
      <x:c r="O511" t="str">
        <x:f>IF(I511&lt;&gt;1,"NOT TESTED",IF(OR(G511="",L511=""),"MISSING",IF(ABS(M511)&lt;=Guide!$B$16,"PASS","REVIEW")))</x:f>
        <x:v>PASS</x:v>
      </x:c>
      <x:c r="P511" s="52" t="n">
        <x:f>IF(I511=1,IFERROR(VALUE(SUBSTITUTE(SUBSTITUTE(_xlfn.XLOOKUP(H511,Rates_Raw!$AF$5:$AF$464,Rates_Raw!$I$5:$I$464,""),"$",""),",","")),""),"")</x:f>
        <x:v>4893</x:v>
      </x:c>
      <x:c r="Q511" s="52" t="n">
        <x:f>IF(P511="","",P511*Guide!$B$15)</x:f>
        <x:v>127218</x:v>
      </x:c>
      <x:c r="R511" t="str">
        <x:f>IF(I511=0,"UNMATCHED",IF(I511&gt;1,"DUPLICATE KEY",IF(OR(N511="TITLE VARIANT",O511="REVIEW",O511="MISSING"),"REVIEW","VERIFIED")))</x:f>
        <x:v>VERIFIED</x:v>
      </x:c>
      <x:c r="S511" s="46" t="str">
        <x:v>Not Reviewed</x:v>
      </x:c>
      <x:c r="T511" s="48"/>
    </x:row>
    <x:row r="512">
      <x:c r="A512" t="n">
        <x:f>Plan_Raw!A512</x:f>
        <x:v>2180</x:v>
      </x:c>
      <x:c r="B512" t="str">
        <x:f>Plan_Raw!D512</x:f>
        <x:v>1371</x:v>
      </x:c>
      <x:c r="C512" t="str">
        <x:f>LEFT(Plan_Raw!B512,10)</x:f>
        <x:v>2024-07-01</x:v>
      </x:c>
      <x:c r="D512" t="str">
        <x:f>Plan_Raw!F512</x:f>
        <x:v>SFMTA</x:v>
      </x:c>
      <x:c r="E512" t="str">
        <x:f>Plan_Raw!E512</x:f>
        <x:v>Special Assistant XII</x:v>
      </x:c>
      <x:c r="F512" t="str">
        <x:f>Plan_Raw!C512</x:f>
        <x:v>1371Z</x:v>
      </x:c>
      <x:c r="G512" s="50" t="n">
        <x:f>IF(Plan_Raw!G512="","",IFERROR(VALUE(Plan_Raw!G512),""))</x:f>
        <x:v>61.1625</x:v>
      </x:c>
      <x:c r="H512" t="str">
        <x:f>Plan_Raw!AH512</x:f>
        <x:v>1371|SFMTA|2024-07-01</x:v>
      </x:c>
      <x:c r="I512" t="n">
        <x:f>COUNTIF(Rates_Raw!$AF$5:$AF$464,H512)</x:f>
        <x:v>1</x:v>
      </x:c>
      <x:c r="J512" t="str">
        <x:f>IF(I512=1,_xlfn.XLOOKUP(H512,Rates_Raw!$AF$5:$AF$464,Rates_Raw!$E$5:$E$464,""),"")</x:f>
        <x:v>Special Assistant XII</x:v>
      </x:c>
      <x:c r="K512" t="n">
        <x:f>IF(I512=1,_xlfn.XLOOKUP(H512,Rates_Raw!$AF$5:$AF$464,Rates_Raw!$F$5:$F$464,""),"")</x:f>
        <x:v>21</x:v>
      </x:c>
      <x:c r="L512" s="50" t="n">
        <x:f>IF(I512=1,IFERROR(VALUE(SUBSTITUTE(_xlfn.XLOOKUP(H512,Rates_Raw!$AF$5:$AF$464,Rates_Raw!$L$5:$L$464,""),"$","")),""),"")</x:f>
        <x:v>61.1625</x:v>
      </x:c>
      <x:c r="M512" s="50" t="n">
        <x:f>IF(OR(G512="",L512=""),"",ROUND(G512-L512,4))</x:f>
        <x:v>0</x:v>
      </x:c>
      <x:c r="N512" t="str">
        <x:f>IF(I512=0,"NO MATCH",IF(I512&gt;1,"AMBIGUOUS",IF(EXACT(TRIM(E512),TRIM(J512)),"EXACT","TITLE VARIANT")))</x:f>
        <x:v>EXACT</x:v>
      </x:c>
      <x:c r="O512" t="str">
        <x:f>IF(I512&lt;&gt;1,"NOT TESTED",IF(OR(G512="",L512=""),"MISSING",IF(ABS(M512)&lt;=Guide!$B$16,"PASS","REVIEW")))</x:f>
        <x:v>PASS</x:v>
      </x:c>
      <x:c r="P512" s="52" t="n">
        <x:f>IF(I512=1,IFERROR(VALUE(SUBSTITUTE(SUBSTITUTE(_xlfn.XLOOKUP(H512,Rates_Raw!$AF$5:$AF$464,Rates_Raw!$I$5:$I$464,""),"$",""),",","")),""),"")</x:f>
        <x:v>4893</x:v>
      </x:c>
      <x:c r="Q512" s="52" t="n">
        <x:f>IF(P512="","",P512*Guide!$B$15)</x:f>
        <x:v>127218</x:v>
      </x:c>
      <x:c r="R512" t="str">
        <x:f>IF(I512=0,"UNMATCHED",IF(I512&gt;1,"DUPLICATE KEY",IF(OR(N512="TITLE VARIANT",O512="REVIEW",O512="MISSING"),"REVIEW","VERIFIED")))</x:f>
        <x:v>VERIFIED</x:v>
      </x:c>
      <x:c r="S512" s="46" t="str">
        <x:v>Not Reviewed</x:v>
      </x:c>
      <x:c r="T512" s="48"/>
    </x:row>
    <x:row r="513">
      <x:c r="A513" t="n">
        <x:f>Plan_Raw!A513</x:f>
        <x:v>2169</x:v>
      </x:c>
      <x:c r="B513" t="str">
        <x:f>Plan_Raw!D513</x:f>
        <x:v>1371</x:v>
      </x:c>
      <x:c r="C513" t="str">
        <x:f>LEFT(Plan_Raw!B513,10)</x:f>
        <x:v>2025-01-04</x:v>
      </x:c>
      <x:c r="D513" t="str">
        <x:f>Plan_Raw!F513</x:f>
        <x:v>COMMN</x:v>
      </x:c>
      <x:c r="E513" t="str">
        <x:f>Plan_Raw!E513</x:f>
        <x:v>Special Assistant XII</x:v>
      </x:c>
      <x:c r="F513" t="str">
        <x:f>Plan_Raw!C513</x:f>
        <x:v>1371A</x:v>
      </x:c>
      <x:c r="G513" s="50" t="n">
        <x:f>IF(Plan_Raw!G513="","",IFERROR(VALUE(Plan_Raw!G513),""))</x:f>
        <x:v>62.075</x:v>
      </x:c>
      <x:c r="H513" t="str">
        <x:f>Plan_Raw!AH513</x:f>
        <x:v>1371|COMMN|2025-01-04</x:v>
      </x:c>
      <x:c r="I513" t="n">
        <x:f>COUNTIF(Rates_Raw!$AF$5:$AF$464,H513)</x:f>
        <x:v>1</x:v>
      </x:c>
      <x:c r="J513" t="str">
        <x:f>IF(I513=1,_xlfn.XLOOKUP(H513,Rates_Raw!$AF$5:$AF$464,Rates_Raw!$E$5:$E$464,""),"")</x:f>
        <x:v>Special Assistant XII</x:v>
      </x:c>
      <x:c r="K513" t="n">
        <x:f>IF(I513=1,_xlfn.XLOOKUP(H513,Rates_Raw!$AF$5:$AF$464,Rates_Raw!$F$5:$F$464,""),"")</x:f>
        <x:v>21</x:v>
      </x:c>
      <x:c r="L513" s="50" t="n">
        <x:f>IF(I513=1,IFERROR(VALUE(SUBSTITUTE(_xlfn.XLOOKUP(H513,Rates_Raw!$AF$5:$AF$464,Rates_Raw!$L$5:$L$464,""),"$","")),""),"")</x:f>
        <x:v>62.075</x:v>
      </x:c>
      <x:c r="M513" s="50" t="n">
        <x:f>IF(OR(G513="",L513=""),"",ROUND(G513-L513,4))</x:f>
        <x:v>0</x:v>
      </x:c>
      <x:c r="N513" t="str">
        <x:f>IF(I513=0,"NO MATCH",IF(I513&gt;1,"AMBIGUOUS",IF(EXACT(TRIM(E513),TRIM(J513)),"EXACT","TITLE VARIANT")))</x:f>
        <x:v>EXACT</x:v>
      </x:c>
      <x:c r="O513" t="str">
        <x:f>IF(I513&lt;&gt;1,"NOT TESTED",IF(OR(G513="",L513=""),"MISSING",IF(ABS(M513)&lt;=Guide!$B$16,"PASS","REVIEW")))</x:f>
        <x:v>PASS</x:v>
      </x:c>
      <x:c r="P513" s="52" t="n">
        <x:f>IF(I513=1,IFERROR(VALUE(SUBSTITUTE(SUBSTITUTE(_xlfn.XLOOKUP(H513,Rates_Raw!$AF$5:$AF$464,Rates_Raw!$I$5:$I$464,""),"$",""),",","")),""),"")</x:f>
        <x:v>4966</x:v>
      </x:c>
      <x:c r="Q513" s="52" t="n">
        <x:f>IF(P513="","",P513*Guide!$B$15)</x:f>
        <x:v>129116</x:v>
      </x:c>
      <x:c r="R513" t="str">
        <x:f>IF(I513=0,"UNMATCHED",IF(I513&gt;1,"DUPLICATE KEY",IF(OR(N513="TITLE VARIANT",O513="REVIEW",O513="MISSING"),"REVIEW","VERIFIED")))</x:f>
        <x:v>VERIFIED</x:v>
      </x:c>
      <x:c r="S513" s="46" t="str">
        <x:v>Not Reviewed</x:v>
      </x:c>
      <x:c r="T513" s="48"/>
    </x:row>
    <x:row r="514">
      <x:c r="A514" t="n">
        <x:f>Plan_Raw!A514</x:f>
        <x:v>2181</x:v>
      </x:c>
      <x:c r="B514" t="str">
        <x:f>Plan_Raw!D514</x:f>
        <x:v>1371</x:v>
      </x:c>
      <x:c r="C514" t="str">
        <x:f>LEFT(Plan_Raw!B514,10)</x:f>
        <x:v>2025-01-04</x:v>
      </x:c>
      <x:c r="D514" t="str">
        <x:f>Plan_Raw!F514</x:f>
        <x:v>SFMTA</x:v>
      </x:c>
      <x:c r="E514" t="str">
        <x:f>Plan_Raw!E514</x:f>
        <x:v>Special Assistant XII</x:v>
      </x:c>
      <x:c r="F514" t="str">
        <x:f>Plan_Raw!C514</x:f>
        <x:v>1371A</x:v>
      </x:c>
      <x:c r="G514" s="50" t="n">
        <x:f>IF(Plan_Raw!G514="","",IFERROR(VALUE(Plan_Raw!G514),""))</x:f>
        <x:v>62.075</x:v>
      </x:c>
      <x:c r="H514" t="str">
        <x:f>Plan_Raw!AH514</x:f>
        <x:v>1371|SFMTA|2025-01-04</x:v>
      </x:c>
      <x:c r="I514" t="n">
        <x:f>COUNTIF(Rates_Raw!$AF$5:$AF$464,H514)</x:f>
        <x:v>1</x:v>
      </x:c>
      <x:c r="J514" t="str">
        <x:f>IF(I514=1,_xlfn.XLOOKUP(H514,Rates_Raw!$AF$5:$AF$464,Rates_Raw!$E$5:$E$464,""),"")</x:f>
        <x:v>Special Assistant XII</x:v>
      </x:c>
      <x:c r="K514" t="n">
        <x:f>IF(I514=1,_xlfn.XLOOKUP(H514,Rates_Raw!$AF$5:$AF$464,Rates_Raw!$F$5:$F$464,""),"")</x:f>
        <x:v>21</x:v>
      </x:c>
      <x:c r="L514" s="50" t="n">
        <x:f>IF(I514=1,IFERROR(VALUE(SUBSTITUTE(_xlfn.XLOOKUP(H514,Rates_Raw!$AF$5:$AF$464,Rates_Raw!$L$5:$L$464,""),"$","")),""),"")</x:f>
        <x:v>62.075</x:v>
      </x:c>
      <x:c r="M514" s="50" t="n">
        <x:f>IF(OR(G514="",L514=""),"",ROUND(G514-L514,4))</x:f>
        <x:v>0</x:v>
      </x:c>
      <x:c r="N514" t="str">
        <x:f>IF(I514=0,"NO MATCH",IF(I514&gt;1,"AMBIGUOUS",IF(EXACT(TRIM(E514),TRIM(J514)),"EXACT","TITLE VARIANT")))</x:f>
        <x:v>EXACT</x:v>
      </x:c>
      <x:c r="O514" t="str">
        <x:f>IF(I514&lt;&gt;1,"NOT TESTED",IF(OR(G514="",L514=""),"MISSING",IF(ABS(M514)&lt;=Guide!$B$16,"PASS","REVIEW")))</x:f>
        <x:v>PASS</x:v>
      </x:c>
      <x:c r="P514" s="52" t="n">
        <x:f>IF(I514=1,IFERROR(VALUE(SUBSTITUTE(SUBSTITUTE(_xlfn.XLOOKUP(H514,Rates_Raw!$AF$5:$AF$464,Rates_Raw!$I$5:$I$464,""),"$",""),",","")),""),"")</x:f>
        <x:v>4966</x:v>
      </x:c>
      <x:c r="Q514" s="52" t="n">
        <x:f>IF(P514="","",P514*Guide!$B$15)</x:f>
        <x:v>129116</x:v>
      </x:c>
      <x:c r="R514" t="str">
        <x:f>IF(I514=0,"UNMATCHED",IF(I514&gt;1,"DUPLICATE KEY",IF(OR(N514="TITLE VARIANT",O514="REVIEW",O514="MISSING"),"REVIEW","VERIFIED")))</x:f>
        <x:v>VERIFIED</x:v>
      </x:c>
      <x:c r="S514" s="46" t="str">
        <x:v>Not Reviewed</x:v>
      </x:c>
      <x:c r="T514" s="48"/>
    </x:row>
    <x:row r="515">
      <x:c r="A515" t="n">
        <x:f>Plan_Raw!A515</x:f>
        <x:v>2170</x:v>
      </x:c>
      <x:c r="B515" t="str">
        <x:f>Plan_Raw!D515</x:f>
        <x:v>1371</x:v>
      </x:c>
      <x:c r="C515" t="str">
        <x:f>LEFT(Plan_Raw!B515,10)</x:f>
        <x:v>2025-07-01</x:v>
      </x:c>
      <x:c r="D515" t="str">
        <x:f>Plan_Raw!F515</x:f>
        <x:v>COMMN</x:v>
      </x:c>
      <x:c r="E515" t="str">
        <x:f>Plan_Raw!E515</x:f>
        <x:v>Special Assistant 12</x:v>
      </x:c>
      <x:c r="F515" t="str">
        <x:f>Plan_Raw!C515</x:f>
        <x:v>1371B</x:v>
      </x:c>
      <x:c r="G515" s="50" t="n">
        <x:f>IF(Plan_Raw!G515="","",IFERROR(VALUE(Plan_Raw!G515),""))</x:f>
        <x:v>63.325</x:v>
      </x:c>
      <x:c r="H515" t="str">
        <x:f>Plan_Raw!AH515</x:f>
        <x:v>1371|COMMN|2025-07-01</x:v>
      </x:c>
      <x:c r="I515" t="n">
        <x:f>COUNTIF(Rates_Raw!$AF$5:$AF$464,H515)</x:f>
        <x:v>1</x:v>
      </x:c>
      <x:c r="J515" t="str">
        <x:f>IF(I515=1,_xlfn.XLOOKUP(H515,Rates_Raw!$AF$5:$AF$464,Rates_Raw!$E$5:$E$464,""),"")</x:f>
        <x:v>Special Assistant 12</x:v>
      </x:c>
      <x:c r="K515" t="n">
        <x:f>IF(I515=1,_xlfn.XLOOKUP(H515,Rates_Raw!$AF$5:$AF$464,Rates_Raw!$F$5:$F$464,""),"")</x:f>
        <x:v>21</x:v>
      </x:c>
      <x:c r="L515" s="50" t="n">
        <x:f>IF(I515=1,IFERROR(VALUE(SUBSTITUTE(_xlfn.XLOOKUP(H515,Rates_Raw!$AF$5:$AF$464,Rates_Raw!$L$5:$L$464,""),"$","")),""),"")</x:f>
        <x:v>63.325</x:v>
      </x:c>
      <x:c r="M515" s="50" t="n">
        <x:f>IF(OR(G515="",L515=""),"",ROUND(G515-L515,4))</x:f>
        <x:v>0</x:v>
      </x:c>
      <x:c r="N515" t="str">
        <x:f>IF(I515=0,"NO MATCH",IF(I515&gt;1,"AMBIGUOUS",IF(EXACT(TRIM(E515),TRIM(J515)),"EXACT","TITLE VARIANT")))</x:f>
        <x:v>EXACT</x:v>
      </x:c>
      <x:c r="O515" t="str">
        <x:f>IF(I515&lt;&gt;1,"NOT TESTED",IF(OR(G515="",L515=""),"MISSING",IF(ABS(M515)&lt;=Guide!$B$16,"PASS","REVIEW")))</x:f>
        <x:v>PASS</x:v>
      </x:c>
      <x:c r="P515" s="52" t="n">
        <x:f>IF(I515=1,IFERROR(VALUE(SUBSTITUTE(SUBSTITUTE(_xlfn.XLOOKUP(H515,Rates_Raw!$AF$5:$AF$464,Rates_Raw!$I$5:$I$464,""),"$",""),",","")),""),"")</x:f>
        <x:v>5066</x:v>
      </x:c>
      <x:c r="Q515" s="52" t="n">
        <x:f>IF(P515="","",P515*Guide!$B$15)</x:f>
        <x:v>131716</x:v>
      </x:c>
      <x:c r="R515" t="str">
        <x:f>IF(I515=0,"UNMATCHED",IF(I515&gt;1,"DUPLICATE KEY",IF(OR(N515="TITLE VARIANT",O515="REVIEW",O515="MISSING"),"REVIEW","VERIFIED")))</x:f>
        <x:v>VERIFIED</x:v>
      </x:c>
      <x:c r="S515" s="46" t="str">
        <x:v>Not Reviewed</x:v>
      </x:c>
      <x:c r="T515" s="48"/>
    </x:row>
    <x:row r="516">
      <x:c r="A516" t="n">
        <x:f>Plan_Raw!A516</x:f>
        <x:v>2182</x:v>
      </x:c>
      <x:c r="B516" t="str">
        <x:f>Plan_Raw!D516</x:f>
        <x:v>1371</x:v>
      </x:c>
      <x:c r="C516" t="str">
        <x:f>LEFT(Plan_Raw!B516,10)</x:f>
        <x:v>2025-07-01</x:v>
      </x:c>
      <x:c r="D516" t="str">
        <x:f>Plan_Raw!F516</x:f>
        <x:v>SFMTA</x:v>
      </x:c>
      <x:c r="E516" t="str">
        <x:f>Plan_Raw!E516</x:f>
        <x:v>Special Assistant 12</x:v>
      </x:c>
      <x:c r="F516" t="str">
        <x:f>Plan_Raw!C516</x:f>
        <x:v>1371B</x:v>
      </x:c>
      <x:c r="G516" s="50" t="n">
        <x:f>IF(Plan_Raw!G516="","",IFERROR(VALUE(Plan_Raw!G516),""))</x:f>
        <x:v>63.325</x:v>
      </x:c>
      <x:c r="H516" t="str">
        <x:f>Plan_Raw!AH516</x:f>
        <x:v>1371|SFMTA|2025-07-01</x:v>
      </x:c>
      <x:c r="I516" t="n">
        <x:f>COUNTIF(Rates_Raw!$AF$5:$AF$464,H516)</x:f>
        <x:v>1</x:v>
      </x:c>
      <x:c r="J516" t="str">
        <x:f>IF(I516=1,_xlfn.XLOOKUP(H516,Rates_Raw!$AF$5:$AF$464,Rates_Raw!$E$5:$E$464,""),"")</x:f>
        <x:v>Special Assistant 12</x:v>
      </x:c>
      <x:c r="K516" t="n">
        <x:f>IF(I516=1,_xlfn.XLOOKUP(H516,Rates_Raw!$AF$5:$AF$464,Rates_Raw!$F$5:$F$464,""),"")</x:f>
        <x:v>21</x:v>
      </x:c>
      <x:c r="L516" s="50" t="n">
        <x:f>IF(I516=1,IFERROR(VALUE(SUBSTITUTE(_xlfn.XLOOKUP(H516,Rates_Raw!$AF$5:$AF$464,Rates_Raw!$L$5:$L$464,""),"$","")),""),"")</x:f>
        <x:v>63.325</x:v>
      </x:c>
      <x:c r="M516" s="50" t="n">
        <x:f>IF(OR(G516="",L516=""),"",ROUND(G516-L516,4))</x:f>
        <x:v>0</x:v>
      </x:c>
      <x:c r="N516" t="str">
        <x:f>IF(I516=0,"NO MATCH",IF(I516&gt;1,"AMBIGUOUS",IF(EXACT(TRIM(E516),TRIM(J516)),"EXACT","TITLE VARIANT")))</x:f>
        <x:v>EXACT</x:v>
      </x:c>
      <x:c r="O516" t="str">
        <x:f>IF(I516&lt;&gt;1,"NOT TESTED",IF(OR(G516="",L516=""),"MISSING",IF(ABS(M516)&lt;=Guide!$B$16,"PASS","REVIEW")))</x:f>
        <x:v>PASS</x:v>
      </x:c>
      <x:c r="P516" s="52" t="n">
        <x:f>IF(I516=1,IFERROR(VALUE(SUBSTITUTE(SUBSTITUTE(_xlfn.XLOOKUP(H516,Rates_Raw!$AF$5:$AF$464,Rates_Raw!$I$5:$I$464,""),"$",""),",","")),""),"")</x:f>
        <x:v>5066</x:v>
      </x:c>
      <x:c r="Q516" s="52" t="n">
        <x:f>IF(P516="","",P516*Guide!$B$15)</x:f>
        <x:v>131716</x:v>
      </x:c>
      <x:c r="R516" t="str">
        <x:f>IF(I516=0,"UNMATCHED",IF(I516&gt;1,"DUPLICATE KEY",IF(OR(N516="TITLE VARIANT",O516="REVIEW",O516="MISSING"),"REVIEW","VERIFIED")))</x:f>
        <x:v>VERIFIED</x:v>
      </x:c>
      <x:c r="S516" s="46" t="str">
        <x:v>Not Reviewed</x:v>
      </x:c>
      <x:c r="T516" s="48"/>
    </x:row>
    <x:row r="517">
      <x:c r="A517" t="n">
        <x:f>Plan_Raw!A517</x:f>
        <x:v>2171</x:v>
      </x:c>
      <x:c r="B517" t="str">
        <x:f>Plan_Raw!D517</x:f>
        <x:v>1371</x:v>
      </x:c>
      <x:c r="C517" t="str">
        <x:f>LEFT(Plan_Raw!B517,10)</x:f>
        <x:v>2026-01-03</x:v>
      </x:c>
      <x:c r="D517" t="str">
        <x:f>Plan_Raw!F517</x:f>
        <x:v>COMMN</x:v>
      </x:c>
      <x:c r="E517" t="str">
        <x:f>Plan_Raw!E517</x:f>
        <x:v>Special Assistant 12</x:v>
      </x:c>
      <x:c r="F517" t="str">
        <x:f>Plan_Raw!C517</x:f>
        <x:v>1371C</x:v>
      </x:c>
      <x:c r="G517" s="50" t="n">
        <x:f>IF(Plan_Raw!G517="","",IFERROR(VALUE(Plan_Raw!G517),""))</x:f>
        <x:v>64.275</x:v>
      </x:c>
      <x:c r="H517" t="str">
        <x:f>Plan_Raw!AH517</x:f>
        <x:v>1371|COMMN|2026-01-03</x:v>
      </x:c>
      <x:c r="I517" t="n">
        <x:f>COUNTIF(Rates_Raw!$AF$5:$AF$464,H517)</x:f>
        <x:v>1</x:v>
      </x:c>
      <x:c r="J517" t="str">
        <x:f>IF(I517=1,_xlfn.XLOOKUP(H517,Rates_Raw!$AF$5:$AF$464,Rates_Raw!$E$5:$E$464,""),"")</x:f>
        <x:v>Special Assistant 12</x:v>
      </x:c>
      <x:c r="K517" t="n">
        <x:f>IF(I517=1,_xlfn.XLOOKUP(H517,Rates_Raw!$AF$5:$AF$464,Rates_Raw!$F$5:$F$464,""),"")</x:f>
        <x:v>21</x:v>
      </x:c>
      <x:c r="L517" s="50" t="n">
        <x:f>IF(I517=1,IFERROR(VALUE(SUBSTITUTE(_xlfn.XLOOKUP(H517,Rates_Raw!$AF$5:$AF$464,Rates_Raw!$L$5:$L$464,""),"$","")),""),"")</x:f>
        <x:v>64.275</x:v>
      </x:c>
      <x:c r="M517" s="50" t="n">
        <x:f>IF(OR(G517="",L517=""),"",ROUND(G517-L517,4))</x:f>
        <x:v>0</x:v>
      </x:c>
      <x:c r="N517" t="str">
        <x:f>IF(I517=0,"NO MATCH",IF(I517&gt;1,"AMBIGUOUS",IF(EXACT(TRIM(E517),TRIM(J517)),"EXACT","TITLE VARIANT")))</x:f>
        <x:v>EXACT</x:v>
      </x:c>
      <x:c r="O517" t="str">
        <x:f>IF(I517&lt;&gt;1,"NOT TESTED",IF(OR(G517="",L517=""),"MISSING",IF(ABS(M517)&lt;=Guide!$B$16,"PASS","REVIEW")))</x:f>
        <x:v>PASS</x:v>
      </x:c>
      <x:c r="P517" s="52" t="n">
        <x:f>IF(I517=1,IFERROR(VALUE(SUBSTITUTE(SUBSTITUTE(_xlfn.XLOOKUP(H517,Rates_Raw!$AF$5:$AF$464,Rates_Raw!$I$5:$I$464,""),"$",""),",","")),""),"")</x:f>
        <x:v>5142</x:v>
      </x:c>
      <x:c r="Q517" s="52" t="n">
        <x:f>IF(P517="","",P517*Guide!$B$15)</x:f>
        <x:v>133692</x:v>
      </x:c>
      <x:c r="R517" t="str">
        <x:f>IF(I517=0,"UNMATCHED",IF(I517&gt;1,"DUPLICATE KEY",IF(OR(N517="TITLE VARIANT",O517="REVIEW",O517="MISSING"),"REVIEW","VERIFIED")))</x:f>
        <x:v>VERIFIED</x:v>
      </x:c>
      <x:c r="S517" s="46" t="str">
        <x:v>Not Reviewed</x:v>
      </x:c>
      <x:c r="T517" s="48"/>
    </x:row>
    <x:row r="518">
      <x:c r="A518" t="n">
        <x:f>Plan_Raw!A518</x:f>
        <x:v>2183</x:v>
      </x:c>
      <x:c r="B518" t="str">
        <x:f>Plan_Raw!D518</x:f>
        <x:v>1371</x:v>
      </x:c>
      <x:c r="C518" t="str">
        <x:f>LEFT(Plan_Raw!B518,10)</x:f>
        <x:v>2026-01-03</x:v>
      </x:c>
      <x:c r="D518" t="str">
        <x:f>Plan_Raw!F518</x:f>
        <x:v>SFMTA</x:v>
      </x:c>
      <x:c r="E518" t="str">
        <x:f>Plan_Raw!E518</x:f>
        <x:v>Special Assistant 12</x:v>
      </x:c>
      <x:c r="F518" t="str">
        <x:f>Plan_Raw!C518</x:f>
        <x:v>1371C</x:v>
      </x:c>
      <x:c r="G518" s="50" t="n">
        <x:f>IF(Plan_Raw!G518="","",IFERROR(VALUE(Plan_Raw!G518),""))</x:f>
        <x:v>64.275</x:v>
      </x:c>
      <x:c r="H518" t="str">
        <x:f>Plan_Raw!AH518</x:f>
        <x:v>1371|SFMTA|2026-01-03</x:v>
      </x:c>
      <x:c r="I518" t="n">
        <x:f>COUNTIF(Rates_Raw!$AF$5:$AF$464,H518)</x:f>
        <x:v>1</x:v>
      </x:c>
      <x:c r="J518" t="str">
        <x:f>IF(I518=1,_xlfn.XLOOKUP(H518,Rates_Raw!$AF$5:$AF$464,Rates_Raw!$E$5:$E$464,""),"")</x:f>
        <x:v>Special Assistant 12</x:v>
      </x:c>
      <x:c r="K518" t="n">
        <x:f>IF(I518=1,_xlfn.XLOOKUP(H518,Rates_Raw!$AF$5:$AF$464,Rates_Raw!$F$5:$F$464,""),"")</x:f>
        <x:v>21</x:v>
      </x:c>
      <x:c r="L518" s="50" t="n">
        <x:f>IF(I518=1,IFERROR(VALUE(SUBSTITUTE(_xlfn.XLOOKUP(H518,Rates_Raw!$AF$5:$AF$464,Rates_Raw!$L$5:$L$464,""),"$","")),""),"")</x:f>
        <x:v>64.275</x:v>
      </x:c>
      <x:c r="M518" s="50" t="n">
        <x:f>IF(OR(G518="",L518=""),"",ROUND(G518-L518,4))</x:f>
        <x:v>0</x:v>
      </x:c>
      <x:c r="N518" t="str">
        <x:f>IF(I518=0,"NO MATCH",IF(I518&gt;1,"AMBIGUOUS",IF(EXACT(TRIM(E518),TRIM(J518)),"EXACT","TITLE VARIANT")))</x:f>
        <x:v>EXACT</x:v>
      </x:c>
      <x:c r="O518" t="str">
        <x:f>IF(I518&lt;&gt;1,"NOT TESTED",IF(OR(G518="",L518=""),"MISSING",IF(ABS(M518)&lt;=Guide!$B$16,"PASS","REVIEW")))</x:f>
        <x:v>PASS</x:v>
      </x:c>
      <x:c r="P518" s="52" t="n">
        <x:f>IF(I518=1,IFERROR(VALUE(SUBSTITUTE(SUBSTITUTE(_xlfn.XLOOKUP(H518,Rates_Raw!$AF$5:$AF$464,Rates_Raw!$I$5:$I$464,""),"$",""),",","")),""),"")</x:f>
        <x:v>5142</x:v>
      </x:c>
      <x:c r="Q518" s="52" t="n">
        <x:f>IF(P518="","",P518*Guide!$B$15)</x:f>
        <x:v>133692</x:v>
      </x:c>
      <x:c r="R518" t="str">
        <x:f>IF(I518=0,"UNMATCHED",IF(I518&gt;1,"DUPLICATE KEY",IF(OR(N518="TITLE VARIANT",O518="REVIEW",O518="MISSING"),"REVIEW","VERIFIED")))</x:f>
        <x:v>VERIFIED</x:v>
      </x:c>
      <x:c r="S518" s="46" t="str">
        <x:v>Not Reviewed</x:v>
      </x:c>
      <x:c r="T518" s="48"/>
    </x:row>
    <x:row r="519">
      <x:c r="A519" t="n">
        <x:f>Plan_Raw!A519</x:f>
        <x:v>2172</x:v>
      </x:c>
      <x:c r="B519" t="str">
        <x:f>Plan_Raw!D519</x:f>
        <x:v>1371</x:v>
      </x:c>
      <x:c r="C519" t="str">
        <x:f>LEFT(Plan_Raw!B519,10)</x:f>
        <x:v>2026-07-01</x:v>
      </x:c>
      <x:c r="D519" t="str">
        <x:f>Plan_Raw!F519</x:f>
        <x:v>COMMN</x:v>
      </x:c>
      <x:c r="E519" t="str">
        <x:f>Plan_Raw!E519</x:f>
        <x:v>Special Assistant 12</x:v>
      </x:c>
      <x:c r="F519" t="str">
        <x:f>Plan_Raw!C519</x:f>
        <x:v>1371D</x:v>
      </x:c>
      <x:c r="G519" s="50" t="n">
        <x:f>IF(Plan_Raw!G519="","",IFERROR(VALUE(Plan_Raw!G519),""))</x:f>
        <x:v>65.5625</x:v>
      </x:c>
      <x:c r="H519" t="str">
        <x:f>Plan_Raw!AH519</x:f>
        <x:v>1371|COMMN|2026-07-01</x:v>
      </x:c>
      <x:c r="I519" t="n">
        <x:f>COUNTIF(Rates_Raw!$AF$5:$AF$464,H519)</x:f>
        <x:v>0</x:v>
      </x:c>
      <x:c r="J519" t="str">
        <x:f>IF(I519=1,_xlfn.XLOOKUP(H519,Rates_Raw!$AF$5:$AF$464,Rates_Raw!$E$5:$E$464,""),"")</x:f>
      </x:c>
      <x:c r="K519" t="str">
        <x:f>IF(I519=1,_xlfn.XLOOKUP(H519,Rates_Raw!$AF$5:$AF$464,Rates_Raw!$F$5:$F$464,""),"")</x:f>
      </x:c>
      <x:c r="L519" s="50" t="str">
        <x:f>IF(I519=1,IFERROR(VALUE(SUBSTITUTE(_xlfn.XLOOKUP(H519,Rates_Raw!$AF$5:$AF$464,Rates_Raw!$L$5:$L$464,""),"$","")),""),"")</x:f>
      </x:c>
      <x:c r="M519" s="50" t="str">
        <x:f>IF(OR(G519="",L519=""),"",ROUND(G519-L519,4))</x:f>
      </x:c>
      <x:c r="N519" t="str">
        <x:f>IF(I519=0,"NO MATCH",IF(I519&gt;1,"AMBIGUOUS",IF(EXACT(TRIM(E519),TRIM(J519)),"EXACT","TITLE VARIANT")))</x:f>
        <x:v>NO MATCH</x:v>
      </x:c>
      <x:c r="O519" t="str">
        <x:f>IF(I519&lt;&gt;1,"NOT TESTED",IF(OR(G519="",L519=""),"MISSING",IF(ABS(M519)&lt;=Guide!$B$16,"PASS","REVIEW")))</x:f>
        <x:v>NOT TESTED</x:v>
      </x:c>
      <x:c r="P519" s="52" t="str">
        <x:f>IF(I519=1,IFERROR(VALUE(SUBSTITUTE(SUBSTITUTE(_xlfn.XLOOKUP(H519,Rates_Raw!$AF$5:$AF$464,Rates_Raw!$I$5:$I$464,""),"$",""),",","")),""),"")</x:f>
      </x:c>
      <x:c r="Q519" s="52" t="str">
        <x:f>IF(P519="","",P519*Guide!$B$15)</x:f>
      </x:c>
      <x:c r="R519" t="str">
        <x:f>IF(I519=0,"UNMATCHED",IF(I519&gt;1,"DUPLICATE KEY",IF(OR(N519="TITLE VARIANT",O519="REVIEW",O519="MISSING"),"REVIEW","VERIFIED")))</x:f>
        <x:v>UNMATCHED</x:v>
      </x:c>
      <x:c r="S519" s="46" t="str">
        <x:v>Not Reviewed</x:v>
      </x:c>
      <x:c r="T519" s="48"/>
    </x:row>
    <x:row r="520">
      <x:c r="A520" t="n">
        <x:f>Plan_Raw!A520</x:f>
        <x:v>2184</x:v>
      </x:c>
      <x:c r="B520" t="str">
        <x:f>Plan_Raw!D520</x:f>
        <x:v>1371</x:v>
      </x:c>
      <x:c r="C520" t="str">
        <x:f>LEFT(Plan_Raw!B520,10)</x:f>
        <x:v>2026-07-01</x:v>
      </x:c>
      <x:c r="D520" t="str">
        <x:f>Plan_Raw!F520</x:f>
        <x:v>SFMTA</x:v>
      </x:c>
      <x:c r="E520" t="str">
        <x:f>Plan_Raw!E520</x:f>
        <x:v>Special Assistant 12</x:v>
      </x:c>
      <x:c r="F520" t="str">
        <x:f>Plan_Raw!C520</x:f>
        <x:v>1371D</x:v>
      </x:c>
      <x:c r="G520" s="50" t="n">
        <x:f>IF(Plan_Raw!G520="","",IFERROR(VALUE(Plan_Raw!G520),""))</x:f>
        <x:v>65.5625</x:v>
      </x:c>
      <x:c r="H520" t="str">
        <x:f>Plan_Raw!AH520</x:f>
        <x:v>1371|SFMTA|2026-07-01</x:v>
      </x:c>
      <x:c r="I520" t="n">
        <x:f>COUNTIF(Rates_Raw!$AF$5:$AF$464,H520)</x:f>
        <x:v>0</x:v>
      </x:c>
      <x:c r="J520" t="str">
        <x:f>IF(I520=1,_xlfn.XLOOKUP(H520,Rates_Raw!$AF$5:$AF$464,Rates_Raw!$E$5:$E$464,""),"")</x:f>
      </x:c>
      <x:c r="K520" t="str">
        <x:f>IF(I520=1,_xlfn.XLOOKUP(H520,Rates_Raw!$AF$5:$AF$464,Rates_Raw!$F$5:$F$464,""),"")</x:f>
      </x:c>
      <x:c r="L520" s="50" t="str">
        <x:f>IF(I520=1,IFERROR(VALUE(SUBSTITUTE(_xlfn.XLOOKUP(H520,Rates_Raw!$AF$5:$AF$464,Rates_Raw!$L$5:$L$464,""),"$","")),""),"")</x:f>
      </x:c>
      <x:c r="M520" s="50" t="str">
        <x:f>IF(OR(G520="",L520=""),"",ROUND(G520-L520,4))</x:f>
      </x:c>
      <x:c r="N520" t="str">
        <x:f>IF(I520=0,"NO MATCH",IF(I520&gt;1,"AMBIGUOUS",IF(EXACT(TRIM(E520),TRIM(J520)),"EXACT","TITLE VARIANT")))</x:f>
        <x:v>NO MATCH</x:v>
      </x:c>
      <x:c r="O520" t="str">
        <x:f>IF(I520&lt;&gt;1,"NOT TESTED",IF(OR(G520="",L520=""),"MISSING",IF(ABS(M520)&lt;=Guide!$B$16,"PASS","REVIEW")))</x:f>
        <x:v>NOT TESTED</x:v>
      </x:c>
      <x:c r="P520" s="52" t="str">
        <x:f>IF(I520=1,IFERROR(VALUE(SUBSTITUTE(SUBSTITUTE(_xlfn.XLOOKUP(H520,Rates_Raw!$AF$5:$AF$464,Rates_Raw!$I$5:$I$464,""),"$",""),",","")),""),"")</x:f>
      </x:c>
      <x:c r="Q520" s="52" t="str">
        <x:f>IF(P520="","",P520*Guide!$B$15)</x:f>
      </x:c>
      <x:c r="R520" t="str">
        <x:f>IF(I520=0,"UNMATCHED",IF(I520&gt;1,"DUPLICATE KEY",IF(OR(N520="TITLE VARIANT",O520="REVIEW",O520="MISSING"),"REVIEW","VERIFIED")))</x:f>
        <x:v>UNMATCHED</x:v>
      </x:c>
      <x:c r="S520" s="46" t="str">
        <x:v>Not Reviewed</x:v>
      </x:c>
      <x:c r="T520" s="48"/>
    </x:row>
    <x:row r="521">
      <x:c r="A521" t="n">
        <x:f>Plan_Raw!A521</x:f>
        <x:v>2191</x:v>
      </x:c>
      <x:c r="B521" t="str">
        <x:f>Plan_Raw!D521</x:f>
        <x:v>1372</x:v>
      </x:c>
      <x:c r="C521" t="str">
        <x:f>LEFT(Plan_Raw!B521,10)</x:f>
        <x:v>2024-01-06</x:v>
      </x:c>
      <x:c r="D521" t="str">
        <x:f>Plan_Raw!F521</x:f>
        <x:v>COMMN</x:v>
      </x:c>
      <x:c r="E521" t="str">
        <x:f>Plan_Raw!E521</x:f>
        <x:v>Special Assistant XIII</x:v>
      </x:c>
      <x:c r="F521" t="str">
        <x:f>Plan_Raw!C521</x:f>
        <x:v>1372Y</x:v>
      </x:c>
      <x:c r="G521" s="50" t="n">
        <x:f>IF(Plan_Raw!G521="","",IFERROR(VALUE(Plan_Raw!G521),""))</x:f>
        <x:v>64.525</x:v>
      </x:c>
      <x:c r="H521" t="str">
        <x:f>Plan_Raw!AH521</x:f>
        <x:v>1372|COMMN|2024-01-06</x:v>
      </x:c>
      <x:c r="I521" t="n">
        <x:f>COUNTIF(Rates_Raw!$AF$5:$AF$464,H521)</x:f>
        <x:v>1</x:v>
      </x:c>
      <x:c r="J521" t="str">
        <x:f>IF(I521=1,_xlfn.XLOOKUP(H521,Rates_Raw!$AF$5:$AF$464,Rates_Raw!$E$5:$E$464,""),"")</x:f>
        <x:v>Special Assistant XIII</x:v>
      </x:c>
      <x:c r="K521" t="n">
        <x:f>IF(I521=1,_xlfn.XLOOKUP(H521,Rates_Raw!$AF$5:$AF$464,Rates_Raw!$F$5:$F$464,""),"")</x:f>
        <x:v>351</x:v>
      </x:c>
      <x:c r="L521" s="50" t="n">
        <x:f>IF(I521=1,IFERROR(VALUE(SUBSTITUTE(_xlfn.XLOOKUP(H521,Rates_Raw!$AF$5:$AF$464,Rates_Raw!$L$5:$L$464,""),"$","")),""),"")</x:f>
        <x:v>64.525</x:v>
      </x:c>
      <x:c r="M521" s="50" t="n">
        <x:f>IF(OR(G521="",L521=""),"",ROUND(G521-L521,4))</x:f>
        <x:v>0</x:v>
      </x:c>
      <x:c r="N521" t="str">
        <x:f>IF(I521=0,"NO MATCH",IF(I521&gt;1,"AMBIGUOUS",IF(EXACT(TRIM(E521),TRIM(J521)),"EXACT","TITLE VARIANT")))</x:f>
        <x:v>EXACT</x:v>
      </x:c>
      <x:c r="O521" t="str">
        <x:f>IF(I521&lt;&gt;1,"NOT TESTED",IF(OR(G521="",L521=""),"MISSING",IF(ABS(M521)&lt;=Guide!$B$16,"PASS","REVIEW")))</x:f>
        <x:v>PASS</x:v>
      </x:c>
      <x:c r="P521" s="52" t="n">
        <x:f>IF(I521=1,IFERROR(VALUE(SUBSTITUTE(SUBSTITUTE(_xlfn.XLOOKUP(H521,Rates_Raw!$AF$5:$AF$464,Rates_Raw!$I$5:$I$464,""),"$",""),",","")),""),"")</x:f>
        <x:v>5162</x:v>
      </x:c>
      <x:c r="Q521" s="52" t="n">
        <x:f>IF(P521="","",P521*Guide!$B$15)</x:f>
        <x:v>134212</x:v>
      </x:c>
      <x:c r="R521" t="str">
        <x:f>IF(I521=0,"UNMATCHED",IF(I521&gt;1,"DUPLICATE KEY",IF(OR(N521="TITLE VARIANT",O521="REVIEW",O521="MISSING"),"REVIEW","VERIFIED")))</x:f>
        <x:v>VERIFIED</x:v>
      </x:c>
      <x:c r="S521" s="46" t="str">
        <x:v>Not Reviewed</x:v>
      </x:c>
      <x:c r="T521" s="48"/>
    </x:row>
    <x:row r="522">
      <x:c r="A522" t="n">
        <x:f>Plan_Raw!A522</x:f>
        <x:v>2203</x:v>
      </x:c>
      <x:c r="B522" t="str">
        <x:f>Plan_Raw!D522</x:f>
        <x:v>1372</x:v>
      </x:c>
      <x:c r="C522" t="str">
        <x:f>LEFT(Plan_Raw!B522,10)</x:f>
        <x:v>2024-01-06</x:v>
      </x:c>
      <x:c r="D522" t="str">
        <x:f>Plan_Raw!F522</x:f>
        <x:v>SFMTA</x:v>
      </x:c>
      <x:c r="E522" t="str">
        <x:f>Plan_Raw!E522</x:f>
        <x:v>Special Assistant XIII</x:v>
      </x:c>
      <x:c r="F522" t="str">
        <x:f>Plan_Raw!C522</x:f>
        <x:v>1372Y</x:v>
      </x:c>
      <x:c r="G522" s="50" t="n">
        <x:f>IF(Plan_Raw!G522="","",IFERROR(VALUE(Plan_Raw!G522),""))</x:f>
        <x:v>64.525</x:v>
      </x:c>
      <x:c r="H522" t="str">
        <x:f>Plan_Raw!AH522</x:f>
        <x:v>1372|SFMTA|2024-01-06</x:v>
      </x:c>
      <x:c r="I522" t="n">
        <x:f>COUNTIF(Rates_Raw!$AF$5:$AF$464,H522)</x:f>
        <x:v>1</x:v>
      </x:c>
      <x:c r="J522" t="str">
        <x:f>IF(I522=1,_xlfn.XLOOKUP(H522,Rates_Raw!$AF$5:$AF$464,Rates_Raw!$E$5:$E$464,""),"")</x:f>
        <x:v>Special Assistant XIII</x:v>
      </x:c>
      <x:c r="K522" t="n">
        <x:f>IF(I522=1,_xlfn.XLOOKUP(H522,Rates_Raw!$AF$5:$AF$464,Rates_Raw!$F$5:$F$464,""),"")</x:f>
        <x:v>351</x:v>
      </x:c>
      <x:c r="L522" s="50" t="n">
        <x:f>IF(I522=1,IFERROR(VALUE(SUBSTITUTE(_xlfn.XLOOKUP(H522,Rates_Raw!$AF$5:$AF$464,Rates_Raw!$L$5:$L$464,""),"$","")),""),"")</x:f>
        <x:v>64.525</x:v>
      </x:c>
      <x:c r="M522" s="50" t="n">
        <x:f>IF(OR(G522="",L522=""),"",ROUND(G522-L522,4))</x:f>
        <x:v>0</x:v>
      </x:c>
      <x:c r="N522" t="str">
        <x:f>IF(I522=0,"NO MATCH",IF(I522&gt;1,"AMBIGUOUS",IF(EXACT(TRIM(E522),TRIM(J522)),"EXACT","TITLE VARIANT")))</x:f>
        <x:v>EXACT</x:v>
      </x:c>
      <x:c r="O522" t="str">
        <x:f>IF(I522&lt;&gt;1,"NOT TESTED",IF(OR(G522="",L522=""),"MISSING",IF(ABS(M522)&lt;=Guide!$B$16,"PASS","REVIEW")))</x:f>
        <x:v>PASS</x:v>
      </x:c>
      <x:c r="P522" s="52" t="n">
        <x:f>IF(I522=1,IFERROR(VALUE(SUBSTITUTE(SUBSTITUTE(_xlfn.XLOOKUP(H522,Rates_Raw!$AF$5:$AF$464,Rates_Raw!$I$5:$I$464,""),"$",""),",","")),""),"")</x:f>
        <x:v>5162</x:v>
      </x:c>
      <x:c r="Q522" s="52" t="n">
        <x:f>IF(P522="","",P522*Guide!$B$15)</x:f>
        <x:v>134212</x:v>
      </x:c>
      <x:c r="R522" t="str">
        <x:f>IF(I522=0,"UNMATCHED",IF(I522&gt;1,"DUPLICATE KEY",IF(OR(N522="TITLE VARIANT",O522="REVIEW",O522="MISSING"),"REVIEW","VERIFIED")))</x:f>
        <x:v>VERIFIED</x:v>
      </x:c>
      <x:c r="S522" s="46" t="str">
        <x:v>Not Reviewed</x:v>
      </x:c>
      <x:c r="T522" s="48"/>
    </x:row>
    <x:row r="523">
      <x:c r="A523" t="n">
        <x:f>Plan_Raw!A523</x:f>
        <x:v>2192</x:v>
      </x:c>
      <x:c r="B523" t="str">
        <x:f>Plan_Raw!D523</x:f>
        <x:v>1372</x:v>
      </x:c>
      <x:c r="C523" t="str">
        <x:f>LEFT(Plan_Raw!B523,10)</x:f>
        <x:v>2024-07-01</x:v>
      </x:c>
      <x:c r="D523" t="str">
        <x:f>Plan_Raw!F523</x:f>
        <x:v>COMMN</x:v>
      </x:c>
      <x:c r="E523" t="str">
        <x:f>Plan_Raw!E523</x:f>
        <x:v>Special Assistant XIII</x:v>
      </x:c>
      <x:c r="F523" t="str">
        <x:f>Plan_Raw!C523</x:f>
        <x:v>1372Z</x:v>
      </x:c>
      <x:c r="G523" s="50" t="n">
        <x:f>IF(Plan_Raw!G523="","",IFERROR(VALUE(Plan_Raw!G523),""))</x:f>
        <x:v>65.4875</x:v>
      </x:c>
      <x:c r="H523" t="str">
        <x:f>Plan_Raw!AH523</x:f>
        <x:v>1372|COMMN|2024-07-01</x:v>
      </x:c>
      <x:c r="I523" t="n">
        <x:f>COUNTIF(Rates_Raw!$AF$5:$AF$464,H523)</x:f>
        <x:v>1</x:v>
      </x:c>
      <x:c r="J523" t="str">
        <x:f>IF(I523=1,_xlfn.XLOOKUP(H523,Rates_Raw!$AF$5:$AF$464,Rates_Raw!$E$5:$E$464,""),"")</x:f>
        <x:v>Special Assistant XIII</x:v>
      </x:c>
      <x:c r="K523" t="n">
        <x:f>IF(I523=1,_xlfn.XLOOKUP(H523,Rates_Raw!$AF$5:$AF$464,Rates_Raw!$F$5:$F$464,""),"")</x:f>
        <x:v>351</x:v>
      </x:c>
      <x:c r="L523" s="50" t="n">
        <x:f>IF(I523=1,IFERROR(VALUE(SUBSTITUTE(_xlfn.XLOOKUP(H523,Rates_Raw!$AF$5:$AF$464,Rates_Raw!$L$5:$L$464,""),"$","")),""),"")</x:f>
        <x:v>65.4875</x:v>
      </x:c>
      <x:c r="M523" s="50" t="n">
        <x:f>IF(OR(G523="",L523=""),"",ROUND(G523-L523,4))</x:f>
        <x:v>0</x:v>
      </x:c>
      <x:c r="N523" t="str">
        <x:f>IF(I523=0,"NO MATCH",IF(I523&gt;1,"AMBIGUOUS",IF(EXACT(TRIM(E523),TRIM(J523)),"EXACT","TITLE VARIANT")))</x:f>
        <x:v>EXACT</x:v>
      </x:c>
      <x:c r="O523" t="str">
        <x:f>IF(I523&lt;&gt;1,"NOT TESTED",IF(OR(G523="",L523=""),"MISSING",IF(ABS(M523)&lt;=Guide!$B$16,"PASS","REVIEW")))</x:f>
        <x:v>PASS</x:v>
      </x:c>
      <x:c r="P523" s="52" t="n">
        <x:f>IF(I523=1,IFERROR(VALUE(SUBSTITUTE(SUBSTITUTE(_xlfn.XLOOKUP(H523,Rates_Raw!$AF$5:$AF$464,Rates_Raw!$I$5:$I$464,""),"$",""),",","")),""),"")</x:f>
        <x:v>5239</x:v>
      </x:c>
      <x:c r="Q523" s="52" t="n">
        <x:f>IF(P523="","",P523*Guide!$B$15)</x:f>
        <x:v>136214</x:v>
      </x:c>
      <x:c r="R523" t="str">
        <x:f>IF(I523=0,"UNMATCHED",IF(I523&gt;1,"DUPLICATE KEY",IF(OR(N523="TITLE VARIANT",O523="REVIEW",O523="MISSING"),"REVIEW","VERIFIED")))</x:f>
        <x:v>VERIFIED</x:v>
      </x:c>
      <x:c r="S523" s="46" t="str">
        <x:v>Not Reviewed</x:v>
      </x:c>
      <x:c r="T523" s="48"/>
    </x:row>
    <x:row r="524">
      <x:c r="A524" t="n">
        <x:f>Plan_Raw!A524</x:f>
        <x:v>2204</x:v>
      </x:c>
      <x:c r="B524" t="str">
        <x:f>Plan_Raw!D524</x:f>
        <x:v>1372</x:v>
      </x:c>
      <x:c r="C524" t="str">
        <x:f>LEFT(Plan_Raw!B524,10)</x:f>
        <x:v>2024-07-01</x:v>
      </x:c>
      <x:c r="D524" t="str">
        <x:f>Plan_Raw!F524</x:f>
        <x:v>SFMTA</x:v>
      </x:c>
      <x:c r="E524" t="str">
        <x:f>Plan_Raw!E524</x:f>
        <x:v>Special Assistant XIII</x:v>
      </x:c>
      <x:c r="F524" t="str">
        <x:f>Plan_Raw!C524</x:f>
        <x:v>1372Z</x:v>
      </x:c>
      <x:c r="G524" s="50" t="n">
        <x:f>IF(Plan_Raw!G524="","",IFERROR(VALUE(Plan_Raw!G524),""))</x:f>
        <x:v>65.4875</x:v>
      </x:c>
      <x:c r="H524" t="str">
        <x:f>Plan_Raw!AH524</x:f>
        <x:v>1372|SFMTA|2024-07-01</x:v>
      </x:c>
      <x:c r="I524" t="n">
        <x:f>COUNTIF(Rates_Raw!$AF$5:$AF$464,H524)</x:f>
        <x:v>1</x:v>
      </x:c>
      <x:c r="J524" t="str">
        <x:f>IF(I524=1,_xlfn.XLOOKUP(H524,Rates_Raw!$AF$5:$AF$464,Rates_Raw!$E$5:$E$464,""),"")</x:f>
        <x:v>Special Assistant XIII</x:v>
      </x:c>
      <x:c r="K524" t="n">
        <x:f>IF(I524=1,_xlfn.XLOOKUP(H524,Rates_Raw!$AF$5:$AF$464,Rates_Raw!$F$5:$F$464,""),"")</x:f>
        <x:v>351</x:v>
      </x:c>
      <x:c r="L524" s="50" t="n">
        <x:f>IF(I524=1,IFERROR(VALUE(SUBSTITUTE(_xlfn.XLOOKUP(H524,Rates_Raw!$AF$5:$AF$464,Rates_Raw!$L$5:$L$464,""),"$","")),""),"")</x:f>
        <x:v>65.4875</x:v>
      </x:c>
      <x:c r="M524" s="50" t="n">
        <x:f>IF(OR(G524="",L524=""),"",ROUND(G524-L524,4))</x:f>
        <x:v>0</x:v>
      </x:c>
      <x:c r="N524" t="str">
        <x:f>IF(I524=0,"NO MATCH",IF(I524&gt;1,"AMBIGUOUS",IF(EXACT(TRIM(E524),TRIM(J524)),"EXACT","TITLE VARIANT")))</x:f>
        <x:v>EXACT</x:v>
      </x:c>
      <x:c r="O524" t="str">
        <x:f>IF(I524&lt;&gt;1,"NOT TESTED",IF(OR(G524="",L524=""),"MISSING",IF(ABS(M524)&lt;=Guide!$B$16,"PASS","REVIEW")))</x:f>
        <x:v>PASS</x:v>
      </x:c>
      <x:c r="P524" s="52" t="n">
        <x:f>IF(I524=1,IFERROR(VALUE(SUBSTITUTE(SUBSTITUTE(_xlfn.XLOOKUP(H524,Rates_Raw!$AF$5:$AF$464,Rates_Raw!$I$5:$I$464,""),"$",""),",","")),""),"")</x:f>
        <x:v>5239</x:v>
      </x:c>
      <x:c r="Q524" s="52" t="n">
        <x:f>IF(P524="","",P524*Guide!$B$15)</x:f>
        <x:v>136214</x:v>
      </x:c>
      <x:c r="R524" t="str">
        <x:f>IF(I524=0,"UNMATCHED",IF(I524&gt;1,"DUPLICATE KEY",IF(OR(N524="TITLE VARIANT",O524="REVIEW",O524="MISSING"),"REVIEW","VERIFIED")))</x:f>
        <x:v>VERIFIED</x:v>
      </x:c>
      <x:c r="S524" s="46" t="str">
        <x:v>Not Reviewed</x:v>
      </x:c>
      <x:c r="T524" s="48"/>
    </x:row>
    <x:row r="525">
      <x:c r="A525" t="n">
        <x:f>Plan_Raw!A525</x:f>
        <x:v>2193</x:v>
      </x:c>
      <x:c r="B525" t="str">
        <x:f>Plan_Raw!D525</x:f>
        <x:v>1372</x:v>
      </x:c>
      <x:c r="C525" t="str">
        <x:f>LEFT(Plan_Raw!B525,10)</x:f>
        <x:v>2025-01-04</x:v>
      </x:c>
      <x:c r="D525" t="str">
        <x:f>Plan_Raw!F525</x:f>
        <x:v>COMMN</x:v>
      </x:c>
      <x:c r="E525" t="str">
        <x:f>Plan_Raw!E525</x:f>
        <x:v>Special Assistant XIII</x:v>
      </x:c>
      <x:c r="F525" t="str">
        <x:f>Plan_Raw!C525</x:f>
        <x:v>1372A</x:v>
      </x:c>
      <x:c r="G525" s="50" t="n">
        <x:f>IF(Plan_Raw!G525="","",IFERROR(VALUE(Plan_Raw!G525),""))</x:f>
        <x:v>66.475</x:v>
      </x:c>
      <x:c r="H525" t="str">
        <x:f>Plan_Raw!AH525</x:f>
        <x:v>1372|COMMN|2025-01-04</x:v>
      </x:c>
      <x:c r="I525" t="n">
        <x:f>COUNTIF(Rates_Raw!$AF$5:$AF$464,H525)</x:f>
        <x:v>1</x:v>
      </x:c>
      <x:c r="J525" t="str">
        <x:f>IF(I525=1,_xlfn.XLOOKUP(H525,Rates_Raw!$AF$5:$AF$464,Rates_Raw!$E$5:$E$464,""),"")</x:f>
        <x:v>Special Assistant XIII</x:v>
      </x:c>
      <x:c r="K525" t="n">
        <x:f>IF(I525=1,_xlfn.XLOOKUP(H525,Rates_Raw!$AF$5:$AF$464,Rates_Raw!$F$5:$F$464,""),"")</x:f>
        <x:v>351</x:v>
      </x:c>
      <x:c r="L525" s="50" t="n">
        <x:f>IF(I525=1,IFERROR(VALUE(SUBSTITUTE(_xlfn.XLOOKUP(H525,Rates_Raw!$AF$5:$AF$464,Rates_Raw!$L$5:$L$464,""),"$","")),""),"")</x:f>
        <x:v>66.475</x:v>
      </x:c>
      <x:c r="M525" s="50" t="n">
        <x:f>IF(OR(G525="",L525=""),"",ROUND(G525-L525,4))</x:f>
        <x:v>0</x:v>
      </x:c>
      <x:c r="N525" t="str">
        <x:f>IF(I525=0,"NO MATCH",IF(I525&gt;1,"AMBIGUOUS",IF(EXACT(TRIM(E525),TRIM(J525)),"EXACT","TITLE VARIANT")))</x:f>
        <x:v>EXACT</x:v>
      </x:c>
      <x:c r="O525" t="str">
        <x:f>IF(I525&lt;&gt;1,"NOT TESTED",IF(OR(G525="",L525=""),"MISSING",IF(ABS(M525)&lt;=Guide!$B$16,"PASS","REVIEW")))</x:f>
        <x:v>PASS</x:v>
      </x:c>
      <x:c r="P525" s="52" t="n">
        <x:f>IF(I525=1,IFERROR(VALUE(SUBSTITUTE(SUBSTITUTE(_xlfn.XLOOKUP(H525,Rates_Raw!$AF$5:$AF$464,Rates_Raw!$I$5:$I$464,""),"$",""),",","")),""),"")</x:f>
        <x:v>5318</x:v>
      </x:c>
      <x:c r="Q525" s="52" t="n">
        <x:f>IF(P525="","",P525*Guide!$B$15)</x:f>
        <x:v>138268</x:v>
      </x:c>
      <x:c r="R525" t="str">
        <x:f>IF(I525=0,"UNMATCHED",IF(I525&gt;1,"DUPLICATE KEY",IF(OR(N525="TITLE VARIANT",O525="REVIEW",O525="MISSING"),"REVIEW","VERIFIED")))</x:f>
        <x:v>VERIFIED</x:v>
      </x:c>
      <x:c r="S525" s="46" t="str">
        <x:v>Not Reviewed</x:v>
      </x:c>
      <x:c r="T525" s="48"/>
    </x:row>
    <x:row r="526">
      <x:c r="A526" t="n">
        <x:f>Plan_Raw!A526</x:f>
        <x:v>2205</x:v>
      </x:c>
      <x:c r="B526" t="str">
        <x:f>Plan_Raw!D526</x:f>
        <x:v>1372</x:v>
      </x:c>
      <x:c r="C526" t="str">
        <x:f>LEFT(Plan_Raw!B526,10)</x:f>
        <x:v>2025-01-04</x:v>
      </x:c>
      <x:c r="D526" t="str">
        <x:f>Plan_Raw!F526</x:f>
        <x:v>SFMTA</x:v>
      </x:c>
      <x:c r="E526" t="str">
        <x:f>Plan_Raw!E526</x:f>
        <x:v>Special Assistant XIII</x:v>
      </x:c>
      <x:c r="F526" t="str">
        <x:f>Plan_Raw!C526</x:f>
        <x:v>1372A</x:v>
      </x:c>
      <x:c r="G526" s="50" t="n">
        <x:f>IF(Plan_Raw!G526="","",IFERROR(VALUE(Plan_Raw!G526),""))</x:f>
        <x:v>66.475</x:v>
      </x:c>
      <x:c r="H526" t="str">
        <x:f>Plan_Raw!AH526</x:f>
        <x:v>1372|SFMTA|2025-01-04</x:v>
      </x:c>
      <x:c r="I526" t="n">
        <x:f>COUNTIF(Rates_Raw!$AF$5:$AF$464,H526)</x:f>
        <x:v>1</x:v>
      </x:c>
      <x:c r="J526" t="str">
        <x:f>IF(I526=1,_xlfn.XLOOKUP(H526,Rates_Raw!$AF$5:$AF$464,Rates_Raw!$E$5:$E$464,""),"")</x:f>
        <x:v>Special Assistant XIII</x:v>
      </x:c>
      <x:c r="K526" t="n">
        <x:f>IF(I526=1,_xlfn.XLOOKUP(H526,Rates_Raw!$AF$5:$AF$464,Rates_Raw!$F$5:$F$464,""),"")</x:f>
        <x:v>351</x:v>
      </x:c>
      <x:c r="L526" s="50" t="n">
        <x:f>IF(I526=1,IFERROR(VALUE(SUBSTITUTE(_xlfn.XLOOKUP(H526,Rates_Raw!$AF$5:$AF$464,Rates_Raw!$L$5:$L$464,""),"$","")),""),"")</x:f>
        <x:v>66.475</x:v>
      </x:c>
      <x:c r="M526" s="50" t="n">
        <x:f>IF(OR(G526="",L526=""),"",ROUND(G526-L526,4))</x:f>
        <x:v>0</x:v>
      </x:c>
      <x:c r="N526" t="str">
        <x:f>IF(I526=0,"NO MATCH",IF(I526&gt;1,"AMBIGUOUS",IF(EXACT(TRIM(E526),TRIM(J526)),"EXACT","TITLE VARIANT")))</x:f>
        <x:v>EXACT</x:v>
      </x:c>
      <x:c r="O526" t="str">
        <x:f>IF(I526&lt;&gt;1,"NOT TESTED",IF(OR(G526="",L526=""),"MISSING",IF(ABS(M526)&lt;=Guide!$B$16,"PASS","REVIEW")))</x:f>
        <x:v>PASS</x:v>
      </x:c>
      <x:c r="P526" s="52" t="n">
        <x:f>IF(I526=1,IFERROR(VALUE(SUBSTITUTE(SUBSTITUTE(_xlfn.XLOOKUP(H526,Rates_Raw!$AF$5:$AF$464,Rates_Raw!$I$5:$I$464,""),"$",""),",","")),""),"")</x:f>
        <x:v>5318</x:v>
      </x:c>
      <x:c r="Q526" s="52" t="n">
        <x:f>IF(P526="","",P526*Guide!$B$15)</x:f>
        <x:v>138268</x:v>
      </x:c>
      <x:c r="R526" t="str">
        <x:f>IF(I526=0,"UNMATCHED",IF(I526&gt;1,"DUPLICATE KEY",IF(OR(N526="TITLE VARIANT",O526="REVIEW",O526="MISSING"),"REVIEW","VERIFIED")))</x:f>
        <x:v>VERIFIED</x:v>
      </x:c>
      <x:c r="S526" s="46" t="str">
        <x:v>Not Reviewed</x:v>
      </x:c>
      <x:c r="T526" s="48"/>
    </x:row>
    <x:row r="527">
      <x:c r="A527" t="n">
        <x:f>Plan_Raw!A527</x:f>
        <x:v>2194</x:v>
      </x:c>
      <x:c r="B527" t="str">
        <x:f>Plan_Raw!D527</x:f>
        <x:v>1372</x:v>
      </x:c>
      <x:c r="C527" t="str">
        <x:f>LEFT(Plan_Raw!B527,10)</x:f>
        <x:v>2025-07-01</x:v>
      </x:c>
      <x:c r="D527" t="str">
        <x:f>Plan_Raw!F527</x:f>
        <x:v>COMMN</x:v>
      </x:c>
      <x:c r="E527" t="str">
        <x:f>Plan_Raw!E527</x:f>
        <x:v>Special Assistant 13</x:v>
      </x:c>
      <x:c r="F527" t="str">
        <x:f>Plan_Raw!C527</x:f>
        <x:v>1372B</x:v>
      </x:c>
      <x:c r="G527" s="50" t="n">
        <x:f>IF(Plan_Raw!G527="","",IFERROR(VALUE(Plan_Raw!G527),""))</x:f>
        <x:v>67.8125</x:v>
      </x:c>
      <x:c r="H527" t="str">
        <x:f>Plan_Raw!AH527</x:f>
        <x:v>1372|COMMN|2025-07-01</x:v>
      </x:c>
      <x:c r="I527" t="n">
        <x:f>COUNTIF(Rates_Raw!$AF$5:$AF$464,H527)</x:f>
        <x:v>1</x:v>
      </x:c>
      <x:c r="J527" t="str">
        <x:f>IF(I527=1,_xlfn.XLOOKUP(H527,Rates_Raw!$AF$5:$AF$464,Rates_Raw!$E$5:$E$464,""),"")</x:f>
        <x:v>Special Assistant 13</x:v>
      </x:c>
      <x:c r="K527" t="n">
        <x:f>IF(I527=1,_xlfn.XLOOKUP(H527,Rates_Raw!$AF$5:$AF$464,Rates_Raw!$F$5:$F$464,""),"")</x:f>
        <x:v>351</x:v>
      </x:c>
      <x:c r="L527" s="50" t="n">
        <x:f>IF(I527=1,IFERROR(VALUE(SUBSTITUTE(_xlfn.XLOOKUP(H527,Rates_Raw!$AF$5:$AF$464,Rates_Raw!$L$5:$L$464,""),"$","")),""),"")</x:f>
        <x:v>67.8125</x:v>
      </x:c>
      <x:c r="M527" s="50" t="n">
        <x:f>IF(OR(G527="",L527=""),"",ROUND(G527-L527,4))</x:f>
        <x:v>0</x:v>
      </x:c>
      <x:c r="N527" t="str">
        <x:f>IF(I527=0,"NO MATCH",IF(I527&gt;1,"AMBIGUOUS",IF(EXACT(TRIM(E527),TRIM(J527)),"EXACT","TITLE VARIANT")))</x:f>
        <x:v>EXACT</x:v>
      </x:c>
      <x:c r="O527" t="str">
        <x:f>IF(I527&lt;&gt;1,"NOT TESTED",IF(OR(G527="",L527=""),"MISSING",IF(ABS(M527)&lt;=Guide!$B$16,"PASS","REVIEW")))</x:f>
        <x:v>PASS</x:v>
      </x:c>
      <x:c r="P527" s="52" t="n">
        <x:f>IF(I527=1,IFERROR(VALUE(SUBSTITUTE(SUBSTITUTE(_xlfn.XLOOKUP(H527,Rates_Raw!$AF$5:$AF$464,Rates_Raw!$I$5:$I$464,""),"$",""),",","")),""),"")</x:f>
        <x:v>5425</x:v>
      </x:c>
      <x:c r="Q527" s="52" t="n">
        <x:f>IF(P527="","",P527*Guide!$B$15)</x:f>
        <x:v>141050</x:v>
      </x:c>
      <x:c r="R527" t="str">
        <x:f>IF(I527=0,"UNMATCHED",IF(I527&gt;1,"DUPLICATE KEY",IF(OR(N527="TITLE VARIANT",O527="REVIEW",O527="MISSING"),"REVIEW","VERIFIED")))</x:f>
        <x:v>VERIFIED</x:v>
      </x:c>
      <x:c r="S527" s="46" t="str">
        <x:v>Not Reviewed</x:v>
      </x:c>
      <x:c r="T527" s="48"/>
    </x:row>
    <x:row r="528">
      <x:c r="A528" t="n">
        <x:f>Plan_Raw!A528</x:f>
        <x:v>2206</x:v>
      </x:c>
      <x:c r="B528" t="str">
        <x:f>Plan_Raw!D528</x:f>
        <x:v>1372</x:v>
      </x:c>
      <x:c r="C528" t="str">
        <x:f>LEFT(Plan_Raw!B528,10)</x:f>
        <x:v>2025-07-01</x:v>
      </x:c>
      <x:c r="D528" t="str">
        <x:f>Plan_Raw!F528</x:f>
        <x:v>SFMTA</x:v>
      </x:c>
      <x:c r="E528" t="str">
        <x:f>Plan_Raw!E528</x:f>
        <x:v>Special Assistant 13</x:v>
      </x:c>
      <x:c r="F528" t="str">
        <x:f>Plan_Raw!C528</x:f>
        <x:v>1372B</x:v>
      </x:c>
      <x:c r="G528" s="50" t="n">
        <x:f>IF(Plan_Raw!G528="","",IFERROR(VALUE(Plan_Raw!G528),""))</x:f>
        <x:v>67.8125</x:v>
      </x:c>
      <x:c r="H528" t="str">
        <x:f>Plan_Raw!AH528</x:f>
        <x:v>1372|SFMTA|2025-07-01</x:v>
      </x:c>
      <x:c r="I528" t="n">
        <x:f>COUNTIF(Rates_Raw!$AF$5:$AF$464,H528)</x:f>
        <x:v>1</x:v>
      </x:c>
      <x:c r="J528" t="str">
        <x:f>IF(I528=1,_xlfn.XLOOKUP(H528,Rates_Raw!$AF$5:$AF$464,Rates_Raw!$E$5:$E$464,""),"")</x:f>
        <x:v>Special Assistant 13</x:v>
      </x:c>
      <x:c r="K528" t="n">
        <x:f>IF(I528=1,_xlfn.XLOOKUP(H528,Rates_Raw!$AF$5:$AF$464,Rates_Raw!$F$5:$F$464,""),"")</x:f>
        <x:v>351</x:v>
      </x:c>
      <x:c r="L528" s="50" t="n">
        <x:f>IF(I528=1,IFERROR(VALUE(SUBSTITUTE(_xlfn.XLOOKUP(H528,Rates_Raw!$AF$5:$AF$464,Rates_Raw!$L$5:$L$464,""),"$","")),""),"")</x:f>
        <x:v>67.8125</x:v>
      </x:c>
      <x:c r="M528" s="50" t="n">
        <x:f>IF(OR(G528="",L528=""),"",ROUND(G528-L528,4))</x:f>
        <x:v>0</x:v>
      </x:c>
      <x:c r="N528" t="str">
        <x:f>IF(I528=0,"NO MATCH",IF(I528&gt;1,"AMBIGUOUS",IF(EXACT(TRIM(E528),TRIM(J528)),"EXACT","TITLE VARIANT")))</x:f>
        <x:v>EXACT</x:v>
      </x:c>
      <x:c r="O528" t="str">
        <x:f>IF(I528&lt;&gt;1,"NOT TESTED",IF(OR(G528="",L528=""),"MISSING",IF(ABS(M528)&lt;=Guide!$B$16,"PASS","REVIEW")))</x:f>
        <x:v>PASS</x:v>
      </x:c>
      <x:c r="P528" s="52" t="n">
        <x:f>IF(I528=1,IFERROR(VALUE(SUBSTITUTE(SUBSTITUTE(_xlfn.XLOOKUP(H528,Rates_Raw!$AF$5:$AF$464,Rates_Raw!$I$5:$I$464,""),"$",""),",","")),""),"")</x:f>
        <x:v>5425</x:v>
      </x:c>
      <x:c r="Q528" s="52" t="n">
        <x:f>IF(P528="","",P528*Guide!$B$15)</x:f>
        <x:v>141050</x:v>
      </x:c>
      <x:c r="R528" t="str">
        <x:f>IF(I528=0,"UNMATCHED",IF(I528&gt;1,"DUPLICATE KEY",IF(OR(N528="TITLE VARIANT",O528="REVIEW",O528="MISSING"),"REVIEW","VERIFIED")))</x:f>
        <x:v>VERIFIED</x:v>
      </x:c>
      <x:c r="S528" s="46" t="str">
        <x:v>Not Reviewed</x:v>
      </x:c>
      <x:c r="T528" s="48"/>
    </x:row>
    <x:row r="529">
      <x:c r="A529" t="n">
        <x:f>Plan_Raw!A529</x:f>
        <x:v>2195</x:v>
      </x:c>
      <x:c r="B529" t="str">
        <x:f>Plan_Raw!D529</x:f>
        <x:v>1372</x:v>
      </x:c>
      <x:c r="C529" t="str">
        <x:f>LEFT(Plan_Raw!B529,10)</x:f>
        <x:v>2026-01-03</x:v>
      </x:c>
      <x:c r="D529" t="str">
        <x:f>Plan_Raw!F529</x:f>
        <x:v>COMMN</x:v>
      </x:c>
      <x:c r="E529" t="str">
        <x:f>Plan_Raw!E529</x:f>
        <x:v>Special Assistant 13</x:v>
      </x:c>
      <x:c r="F529" t="str">
        <x:f>Plan_Raw!C529</x:f>
        <x:v>1372C</x:v>
      </x:c>
      <x:c r="G529" s="50" t="n">
        <x:f>IF(Plan_Raw!G529="","",IFERROR(VALUE(Plan_Raw!G529),""))</x:f>
        <x:v>68.825</x:v>
      </x:c>
      <x:c r="H529" t="str">
        <x:f>Plan_Raw!AH529</x:f>
        <x:v>1372|COMMN|2026-01-03</x:v>
      </x:c>
      <x:c r="I529" t="n">
        <x:f>COUNTIF(Rates_Raw!$AF$5:$AF$464,H529)</x:f>
        <x:v>1</x:v>
      </x:c>
      <x:c r="J529" t="str">
        <x:f>IF(I529=1,_xlfn.XLOOKUP(H529,Rates_Raw!$AF$5:$AF$464,Rates_Raw!$E$5:$E$464,""),"")</x:f>
        <x:v>Special Assistant 13</x:v>
      </x:c>
      <x:c r="K529" t="n">
        <x:f>IF(I529=1,_xlfn.XLOOKUP(H529,Rates_Raw!$AF$5:$AF$464,Rates_Raw!$F$5:$F$464,""),"")</x:f>
        <x:v>351</x:v>
      </x:c>
      <x:c r="L529" s="50" t="n">
        <x:f>IF(I529=1,IFERROR(VALUE(SUBSTITUTE(_xlfn.XLOOKUP(H529,Rates_Raw!$AF$5:$AF$464,Rates_Raw!$L$5:$L$464,""),"$","")),""),"")</x:f>
        <x:v>68.825</x:v>
      </x:c>
      <x:c r="M529" s="50" t="n">
        <x:f>IF(OR(G529="",L529=""),"",ROUND(G529-L529,4))</x:f>
        <x:v>0</x:v>
      </x:c>
      <x:c r="N529" t="str">
        <x:f>IF(I529=0,"NO MATCH",IF(I529&gt;1,"AMBIGUOUS",IF(EXACT(TRIM(E529),TRIM(J529)),"EXACT","TITLE VARIANT")))</x:f>
        <x:v>EXACT</x:v>
      </x:c>
      <x:c r="O529" t="str">
        <x:f>IF(I529&lt;&gt;1,"NOT TESTED",IF(OR(G529="",L529=""),"MISSING",IF(ABS(M529)&lt;=Guide!$B$16,"PASS","REVIEW")))</x:f>
        <x:v>PASS</x:v>
      </x:c>
      <x:c r="P529" s="52" t="n">
        <x:f>IF(I529=1,IFERROR(VALUE(SUBSTITUTE(SUBSTITUTE(_xlfn.XLOOKUP(H529,Rates_Raw!$AF$5:$AF$464,Rates_Raw!$I$5:$I$464,""),"$",""),",","")),""),"")</x:f>
        <x:v>5506</x:v>
      </x:c>
      <x:c r="Q529" s="52" t="n">
        <x:f>IF(P529="","",P529*Guide!$B$15)</x:f>
        <x:v>143156</x:v>
      </x:c>
      <x:c r="R529" t="str">
        <x:f>IF(I529=0,"UNMATCHED",IF(I529&gt;1,"DUPLICATE KEY",IF(OR(N529="TITLE VARIANT",O529="REVIEW",O529="MISSING"),"REVIEW","VERIFIED")))</x:f>
        <x:v>VERIFIED</x:v>
      </x:c>
      <x:c r="S529" s="46" t="str">
        <x:v>Not Reviewed</x:v>
      </x:c>
      <x:c r="T529" s="48"/>
    </x:row>
    <x:row r="530">
      <x:c r="A530" t="n">
        <x:f>Plan_Raw!A530</x:f>
        <x:v>2207</x:v>
      </x:c>
      <x:c r="B530" t="str">
        <x:f>Plan_Raw!D530</x:f>
        <x:v>1372</x:v>
      </x:c>
      <x:c r="C530" t="str">
        <x:f>LEFT(Plan_Raw!B530,10)</x:f>
        <x:v>2026-01-03</x:v>
      </x:c>
      <x:c r="D530" t="str">
        <x:f>Plan_Raw!F530</x:f>
        <x:v>SFMTA</x:v>
      </x:c>
      <x:c r="E530" t="str">
        <x:f>Plan_Raw!E530</x:f>
        <x:v>Special Assistant 13</x:v>
      </x:c>
      <x:c r="F530" t="str">
        <x:f>Plan_Raw!C530</x:f>
        <x:v>1372C</x:v>
      </x:c>
      <x:c r="G530" s="50" t="n">
        <x:f>IF(Plan_Raw!G530="","",IFERROR(VALUE(Plan_Raw!G530),""))</x:f>
        <x:v>68.825</x:v>
      </x:c>
      <x:c r="H530" t="str">
        <x:f>Plan_Raw!AH530</x:f>
        <x:v>1372|SFMTA|2026-01-03</x:v>
      </x:c>
      <x:c r="I530" t="n">
        <x:f>COUNTIF(Rates_Raw!$AF$5:$AF$464,H530)</x:f>
        <x:v>1</x:v>
      </x:c>
      <x:c r="J530" t="str">
        <x:f>IF(I530=1,_xlfn.XLOOKUP(H530,Rates_Raw!$AF$5:$AF$464,Rates_Raw!$E$5:$E$464,""),"")</x:f>
        <x:v>Special Assistant 13</x:v>
      </x:c>
      <x:c r="K530" t="n">
        <x:f>IF(I530=1,_xlfn.XLOOKUP(H530,Rates_Raw!$AF$5:$AF$464,Rates_Raw!$F$5:$F$464,""),"")</x:f>
        <x:v>351</x:v>
      </x:c>
      <x:c r="L530" s="50" t="n">
        <x:f>IF(I530=1,IFERROR(VALUE(SUBSTITUTE(_xlfn.XLOOKUP(H530,Rates_Raw!$AF$5:$AF$464,Rates_Raw!$L$5:$L$464,""),"$","")),""),"")</x:f>
        <x:v>68.825</x:v>
      </x:c>
      <x:c r="M530" s="50" t="n">
        <x:f>IF(OR(G530="",L530=""),"",ROUND(G530-L530,4))</x:f>
        <x:v>0</x:v>
      </x:c>
      <x:c r="N530" t="str">
        <x:f>IF(I530=0,"NO MATCH",IF(I530&gt;1,"AMBIGUOUS",IF(EXACT(TRIM(E530),TRIM(J530)),"EXACT","TITLE VARIANT")))</x:f>
        <x:v>EXACT</x:v>
      </x:c>
      <x:c r="O530" t="str">
        <x:f>IF(I530&lt;&gt;1,"NOT TESTED",IF(OR(G530="",L530=""),"MISSING",IF(ABS(M530)&lt;=Guide!$B$16,"PASS","REVIEW")))</x:f>
        <x:v>PASS</x:v>
      </x:c>
      <x:c r="P530" s="52" t="n">
        <x:f>IF(I530=1,IFERROR(VALUE(SUBSTITUTE(SUBSTITUTE(_xlfn.XLOOKUP(H530,Rates_Raw!$AF$5:$AF$464,Rates_Raw!$I$5:$I$464,""),"$",""),",","")),""),"")</x:f>
        <x:v>5506</x:v>
      </x:c>
      <x:c r="Q530" s="52" t="n">
        <x:f>IF(P530="","",P530*Guide!$B$15)</x:f>
        <x:v>143156</x:v>
      </x:c>
      <x:c r="R530" t="str">
        <x:f>IF(I530=0,"UNMATCHED",IF(I530&gt;1,"DUPLICATE KEY",IF(OR(N530="TITLE VARIANT",O530="REVIEW",O530="MISSING"),"REVIEW","VERIFIED")))</x:f>
        <x:v>VERIFIED</x:v>
      </x:c>
      <x:c r="S530" s="46" t="str">
        <x:v>Not Reviewed</x:v>
      </x:c>
      <x:c r="T530" s="48"/>
    </x:row>
    <x:row r="531">
      <x:c r="A531" t="n">
        <x:f>Plan_Raw!A531</x:f>
        <x:v>2196</x:v>
      </x:c>
      <x:c r="B531" t="str">
        <x:f>Plan_Raw!D531</x:f>
        <x:v>1372</x:v>
      </x:c>
      <x:c r="C531" t="str">
        <x:f>LEFT(Plan_Raw!B531,10)</x:f>
        <x:v>2026-07-01</x:v>
      </x:c>
      <x:c r="D531" t="str">
        <x:f>Plan_Raw!F531</x:f>
        <x:v>COMMN</x:v>
      </x:c>
      <x:c r="E531" t="str">
        <x:f>Plan_Raw!E531</x:f>
        <x:v>Special Assistant 13</x:v>
      </x:c>
      <x:c r="F531" t="str">
        <x:f>Plan_Raw!C531</x:f>
        <x:v>1372D</x:v>
      </x:c>
      <x:c r="G531" s="50" t="n">
        <x:f>IF(Plan_Raw!G531="","",IFERROR(VALUE(Plan_Raw!G531),""))</x:f>
        <x:v>70.2</x:v>
      </x:c>
      <x:c r="H531" t="str">
        <x:f>Plan_Raw!AH531</x:f>
        <x:v>1372|COMMN|2026-07-01</x:v>
      </x:c>
      <x:c r="I531" t="n">
        <x:f>COUNTIF(Rates_Raw!$AF$5:$AF$464,H531)</x:f>
        <x:v>0</x:v>
      </x:c>
      <x:c r="J531" t="str">
        <x:f>IF(I531=1,_xlfn.XLOOKUP(H531,Rates_Raw!$AF$5:$AF$464,Rates_Raw!$E$5:$E$464,""),"")</x:f>
      </x:c>
      <x:c r="K531" t="str">
        <x:f>IF(I531=1,_xlfn.XLOOKUP(H531,Rates_Raw!$AF$5:$AF$464,Rates_Raw!$F$5:$F$464,""),"")</x:f>
      </x:c>
      <x:c r="L531" s="50" t="str">
        <x:f>IF(I531=1,IFERROR(VALUE(SUBSTITUTE(_xlfn.XLOOKUP(H531,Rates_Raw!$AF$5:$AF$464,Rates_Raw!$L$5:$L$464,""),"$","")),""),"")</x:f>
      </x:c>
      <x:c r="M531" s="50" t="str">
        <x:f>IF(OR(G531="",L531=""),"",ROUND(G531-L531,4))</x:f>
      </x:c>
      <x:c r="N531" t="str">
        <x:f>IF(I531=0,"NO MATCH",IF(I531&gt;1,"AMBIGUOUS",IF(EXACT(TRIM(E531),TRIM(J531)),"EXACT","TITLE VARIANT")))</x:f>
        <x:v>NO MATCH</x:v>
      </x:c>
      <x:c r="O531" t="str">
        <x:f>IF(I531&lt;&gt;1,"NOT TESTED",IF(OR(G531="",L531=""),"MISSING",IF(ABS(M531)&lt;=Guide!$B$16,"PASS","REVIEW")))</x:f>
        <x:v>NOT TESTED</x:v>
      </x:c>
      <x:c r="P531" s="52" t="str">
        <x:f>IF(I531=1,IFERROR(VALUE(SUBSTITUTE(SUBSTITUTE(_xlfn.XLOOKUP(H531,Rates_Raw!$AF$5:$AF$464,Rates_Raw!$I$5:$I$464,""),"$",""),",","")),""),"")</x:f>
      </x:c>
      <x:c r="Q531" s="52" t="str">
        <x:f>IF(P531="","",P531*Guide!$B$15)</x:f>
      </x:c>
      <x:c r="R531" t="str">
        <x:f>IF(I531=0,"UNMATCHED",IF(I531&gt;1,"DUPLICATE KEY",IF(OR(N531="TITLE VARIANT",O531="REVIEW",O531="MISSING"),"REVIEW","VERIFIED")))</x:f>
        <x:v>UNMATCHED</x:v>
      </x:c>
      <x:c r="S531" s="46" t="str">
        <x:v>Not Reviewed</x:v>
      </x:c>
      <x:c r="T531" s="48"/>
    </x:row>
    <x:row r="532">
      <x:c r="A532" t="n">
        <x:f>Plan_Raw!A532</x:f>
        <x:v>2208</x:v>
      </x:c>
      <x:c r="B532" t="str">
        <x:f>Plan_Raw!D532</x:f>
        <x:v>1372</x:v>
      </x:c>
      <x:c r="C532" t="str">
        <x:f>LEFT(Plan_Raw!B532,10)</x:f>
        <x:v>2026-07-01</x:v>
      </x:c>
      <x:c r="D532" t="str">
        <x:f>Plan_Raw!F532</x:f>
        <x:v>SFMTA</x:v>
      </x:c>
      <x:c r="E532" t="str">
        <x:f>Plan_Raw!E532</x:f>
        <x:v>Special Assistant 13</x:v>
      </x:c>
      <x:c r="F532" t="str">
        <x:f>Plan_Raw!C532</x:f>
        <x:v>1372D</x:v>
      </x:c>
      <x:c r="G532" s="50" t="n">
        <x:f>IF(Plan_Raw!G532="","",IFERROR(VALUE(Plan_Raw!G532),""))</x:f>
        <x:v>70.2</x:v>
      </x:c>
      <x:c r="H532" t="str">
        <x:f>Plan_Raw!AH532</x:f>
        <x:v>1372|SFMTA|2026-07-01</x:v>
      </x:c>
      <x:c r="I532" t="n">
        <x:f>COUNTIF(Rates_Raw!$AF$5:$AF$464,H532)</x:f>
        <x:v>0</x:v>
      </x:c>
      <x:c r="J532" t="str">
        <x:f>IF(I532=1,_xlfn.XLOOKUP(H532,Rates_Raw!$AF$5:$AF$464,Rates_Raw!$E$5:$E$464,""),"")</x:f>
      </x:c>
      <x:c r="K532" t="str">
        <x:f>IF(I532=1,_xlfn.XLOOKUP(H532,Rates_Raw!$AF$5:$AF$464,Rates_Raw!$F$5:$F$464,""),"")</x:f>
      </x:c>
      <x:c r="L532" s="50" t="str">
        <x:f>IF(I532=1,IFERROR(VALUE(SUBSTITUTE(_xlfn.XLOOKUP(H532,Rates_Raw!$AF$5:$AF$464,Rates_Raw!$L$5:$L$464,""),"$","")),""),"")</x:f>
      </x:c>
      <x:c r="M532" s="50" t="str">
        <x:f>IF(OR(G532="",L532=""),"",ROUND(G532-L532,4))</x:f>
      </x:c>
      <x:c r="N532" t="str">
        <x:f>IF(I532=0,"NO MATCH",IF(I532&gt;1,"AMBIGUOUS",IF(EXACT(TRIM(E532),TRIM(J532)),"EXACT","TITLE VARIANT")))</x:f>
        <x:v>NO MATCH</x:v>
      </x:c>
      <x:c r="O532" t="str">
        <x:f>IF(I532&lt;&gt;1,"NOT TESTED",IF(OR(G532="",L532=""),"MISSING",IF(ABS(M532)&lt;=Guide!$B$16,"PASS","REVIEW")))</x:f>
        <x:v>NOT TESTED</x:v>
      </x:c>
      <x:c r="P532" s="52" t="str">
        <x:f>IF(I532=1,IFERROR(VALUE(SUBSTITUTE(SUBSTITUTE(_xlfn.XLOOKUP(H532,Rates_Raw!$AF$5:$AF$464,Rates_Raw!$I$5:$I$464,""),"$",""),",","")),""),"")</x:f>
      </x:c>
      <x:c r="Q532" s="52" t="str">
        <x:f>IF(P532="","",P532*Guide!$B$15)</x:f>
      </x:c>
      <x:c r="R532" t="str">
        <x:f>IF(I532=0,"UNMATCHED",IF(I532&gt;1,"DUPLICATE KEY",IF(OR(N532="TITLE VARIANT",O532="REVIEW",O532="MISSING"),"REVIEW","VERIFIED")))</x:f>
        <x:v>UNMATCHED</x:v>
      </x:c>
      <x:c r="S532" s="46" t="str">
        <x:v>Not Reviewed</x:v>
      </x:c>
      <x:c r="T532" s="48"/>
    </x:row>
    <x:row r="533">
      <x:c r="A533" t="n">
        <x:f>Plan_Raw!A533</x:f>
        <x:v>18268</x:v>
      </x:c>
      <x:c r="B533" t="str">
        <x:f>Plan_Raw!D533</x:f>
        <x:v>8578</x:v>
      </x:c>
      <x:c r="C533" t="str">
        <x:f>LEFT(Plan_Raw!B533,10)</x:f>
        <x:v>2024-01-06</x:v>
      </x:c>
      <x:c r="D533" t="str">
        <x:f>Plan_Raw!F533</x:f>
        <x:v>COMMN</x:v>
      </x:c>
      <x:c r="E533" t="str">
        <x:f>Plan_Raw!E533</x:f>
        <x:v>Senior Supervising Institution Manager (SFERS)</x:v>
      </x:c>
      <x:c r="F533" t="str">
        <x:f>Plan_Raw!C533</x:f>
        <x:v>8578Y</x:v>
      </x:c>
      <x:c r="G533" s="50" t="n">
        <x:f>IF(Plan_Raw!G533="","",IFERROR(VALUE(Plan_Raw!G533),""))</x:f>
        <x:v>50.675</x:v>
      </x:c>
      <x:c r="H533" t="str">
        <x:f>Plan_Raw!AH533</x:f>
        <x:v>8578|COMMN|2024-01-06</x:v>
      </x:c>
      <x:c r="I533" t="n">
        <x:f>COUNTIF(Rates_Raw!$AF$5:$AF$464,H533)</x:f>
        <x:v>1</x:v>
      </x:c>
      <x:c r="J533" t="str">
        <x:f>IF(I533=1,_xlfn.XLOOKUP(H533,Rates_Raw!$AF$5:$AF$464,Rates_Raw!$E$5:$E$464,""),"")</x:f>
        <x:v>Senior Supervising Institution Manager (SFERS)</x:v>
      </x:c>
      <x:c r="K533" t="n">
        <x:f>IF(I533=1,_xlfn.XLOOKUP(H533,Rates_Raw!$AF$5:$AF$464,Rates_Raw!$F$5:$F$464,""),"")</x:f>
        <x:v>351</x:v>
      </x:c>
      <x:c r="L533" s="50" t="n">
        <x:f>IF(I533=1,IFERROR(VALUE(SUBSTITUTE(_xlfn.XLOOKUP(H533,Rates_Raw!$AF$5:$AF$464,Rates_Raw!$L$5:$L$464,""),"$","")),""),"")</x:f>
        <x:v>50.675</x:v>
      </x:c>
      <x:c r="M533" s="50" t="n">
        <x:f>IF(OR(G533="",L533=""),"",ROUND(G533-L533,4))</x:f>
        <x:v>0</x:v>
      </x:c>
      <x:c r="N533" t="str">
        <x:f>IF(I533=0,"NO MATCH",IF(I533&gt;1,"AMBIGUOUS",IF(EXACT(TRIM(E533),TRIM(J533)),"EXACT","TITLE VARIANT")))</x:f>
        <x:v>EXACT</x:v>
      </x:c>
      <x:c r="O533" t="str">
        <x:f>IF(I533&lt;&gt;1,"NOT TESTED",IF(OR(G533="",L533=""),"MISSING",IF(ABS(M533)&lt;=Guide!$B$16,"PASS","REVIEW")))</x:f>
        <x:v>PASS</x:v>
      </x:c>
      <x:c r="P533" s="52" t="n">
        <x:f>IF(I533=1,IFERROR(VALUE(SUBSTITUTE(SUBSTITUTE(_xlfn.XLOOKUP(H533,Rates_Raw!$AF$5:$AF$464,Rates_Raw!$I$5:$I$464,""),"$",""),",","")),""),"")</x:f>
        <x:v>4054</x:v>
      </x:c>
      <x:c r="Q533" s="52" t="n">
        <x:f>IF(P533="","",P533*Guide!$B$15)</x:f>
        <x:v>105404</x:v>
      </x:c>
      <x:c r="R533" t="str">
        <x:f>IF(I533=0,"UNMATCHED",IF(I533&gt;1,"DUPLICATE KEY",IF(OR(N533="TITLE VARIANT",O533="REVIEW",O533="MISSING"),"REVIEW","VERIFIED")))</x:f>
        <x:v>VERIFIED</x:v>
      </x:c>
      <x:c r="S533" s="46" t="str">
        <x:v>Not Reviewed</x:v>
      </x:c>
      <x:c r="T533" s="48"/>
    </x:row>
    <x:row r="534">
      <x:c r="A534" t="n">
        <x:f>Plan_Raw!A534</x:f>
        <x:v>18269</x:v>
      </x:c>
      <x:c r="B534" t="str">
        <x:f>Plan_Raw!D534</x:f>
        <x:v>8578</x:v>
      </x:c>
      <x:c r="C534" t="str">
        <x:f>LEFT(Plan_Raw!B534,10)</x:f>
        <x:v>2024-07-01</x:v>
      </x:c>
      <x:c r="D534" t="str">
        <x:f>Plan_Raw!F534</x:f>
        <x:v>COMMN</x:v>
      </x:c>
      <x:c r="E534" t="str">
        <x:f>Plan_Raw!E534</x:f>
        <x:v>Senior Supervising Institution Manager (SFERS)</x:v>
      </x:c>
      <x:c r="F534" t="str">
        <x:f>Plan_Raw!C534</x:f>
        <x:v>8578Z</x:v>
      </x:c>
      <x:c r="G534" s="50" t="n">
        <x:f>IF(Plan_Raw!G534="","",IFERROR(VALUE(Plan_Raw!G534),""))</x:f>
        <x:v>51.4375</x:v>
      </x:c>
      <x:c r="H534" t="str">
        <x:f>Plan_Raw!AH534</x:f>
        <x:v>8578|COMMN|2024-07-01</x:v>
      </x:c>
      <x:c r="I534" t="n">
        <x:f>COUNTIF(Rates_Raw!$AF$5:$AF$464,H534)</x:f>
        <x:v>1</x:v>
      </x:c>
      <x:c r="J534" t="str">
        <x:f>IF(I534=1,_xlfn.XLOOKUP(H534,Rates_Raw!$AF$5:$AF$464,Rates_Raw!$E$5:$E$464,""),"")</x:f>
        <x:v>Senior Supervising Institution Manager (SFERS)</x:v>
      </x:c>
      <x:c r="K534" t="n">
        <x:f>IF(I534=1,_xlfn.XLOOKUP(H534,Rates_Raw!$AF$5:$AF$464,Rates_Raw!$F$5:$F$464,""),"")</x:f>
        <x:v>351</x:v>
      </x:c>
      <x:c r="L534" s="50" t="n">
        <x:f>IF(I534=1,IFERROR(VALUE(SUBSTITUTE(_xlfn.XLOOKUP(H534,Rates_Raw!$AF$5:$AF$464,Rates_Raw!$L$5:$L$464,""),"$","")),""),"")</x:f>
        <x:v>51.4375</x:v>
      </x:c>
      <x:c r="M534" s="50" t="n">
        <x:f>IF(OR(G534="",L534=""),"",ROUND(G534-L534,4))</x:f>
        <x:v>0</x:v>
      </x:c>
      <x:c r="N534" t="str">
        <x:f>IF(I534=0,"NO MATCH",IF(I534&gt;1,"AMBIGUOUS",IF(EXACT(TRIM(E534),TRIM(J534)),"EXACT","TITLE VARIANT")))</x:f>
        <x:v>EXACT</x:v>
      </x:c>
      <x:c r="O534" t="str">
        <x:f>IF(I534&lt;&gt;1,"NOT TESTED",IF(OR(G534="",L534=""),"MISSING",IF(ABS(M534)&lt;=Guide!$B$16,"PASS","REVIEW")))</x:f>
        <x:v>PASS</x:v>
      </x:c>
      <x:c r="P534" s="52" t="n">
        <x:f>IF(I534=1,IFERROR(VALUE(SUBSTITUTE(SUBSTITUTE(_xlfn.XLOOKUP(H534,Rates_Raw!$AF$5:$AF$464,Rates_Raw!$I$5:$I$464,""),"$",""),",","")),""),"")</x:f>
        <x:v>4115</x:v>
      </x:c>
      <x:c r="Q534" s="52" t="n">
        <x:f>IF(P534="","",P534*Guide!$B$15)</x:f>
        <x:v>106990</x:v>
      </x:c>
      <x:c r="R534" t="str">
        <x:f>IF(I534=0,"UNMATCHED",IF(I534&gt;1,"DUPLICATE KEY",IF(OR(N534="TITLE VARIANT",O534="REVIEW",O534="MISSING"),"REVIEW","VERIFIED")))</x:f>
        <x:v>VERIFIED</x:v>
      </x:c>
      <x:c r="S534" s="46" t="str">
        <x:v>Not Reviewed</x:v>
      </x:c>
      <x:c r="T534" s="48"/>
    </x:row>
    <x:row r="535">
      <x:c r="A535" t="n">
        <x:f>Plan_Raw!A535</x:f>
        <x:v>18270</x:v>
      </x:c>
      <x:c r="B535" t="str">
        <x:f>Plan_Raw!D535</x:f>
        <x:v>8578</x:v>
      </x:c>
      <x:c r="C535" t="str">
        <x:f>LEFT(Plan_Raw!B535,10)</x:f>
        <x:v>2025-01-04</x:v>
      </x:c>
      <x:c r="D535" t="str">
        <x:f>Plan_Raw!F535</x:f>
        <x:v>COMMN</x:v>
      </x:c>
      <x:c r="E535" t="str">
        <x:f>Plan_Raw!E535</x:f>
        <x:v>Senior Supervising Institution Manager (SFERS)</x:v>
      </x:c>
      <x:c r="F535" t="str">
        <x:f>Plan_Raw!C535</x:f>
        <x:v>8578A</x:v>
      </x:c>
      <x:c r="G535" s="50" t="n">
        <x:f>IF(Plan_Raw!G535="","",IFERROR(VALUE(Plan_Raw!G535),""))</x:f>
        <x:v>52.2125</x:v>
      </x:c>
      <x:c r="H535" t="str">
        <x:f>Plan_Raw!AH535</x:f>
        <x:v>8578|COMMN|2025-01-04</x:v>
      </x:c>
      <x:c r="I535" t="n">
        <x:f>COUNTIF(Rates_Raw!$AF$5:$AF$464,H535)</x:f>
        <x:v>1</x:v>
      </x:c>
      <x:c r="J535" t="str">
        <x:f>IF(I535=1,_xlfn.XLOOKUP(H535,Rates_Raw!$AF$5:$AF$464,Rates_Raw!$E$5:$E$464,""),"")</x:f>
        <x:v>Senior Supervising Institution Manager (SFERS)</x:v>
      </x:c>
      <x:c r="K535" t="n">
        <x:f>IF(I535=1,_xlfn.XLOOKUP(H535,Rates_Raw!$AF$5:$AF$464,Rates_Raw!$F$5:$F$464,""),"")</x:f>
        <x:v>351</x:v>
      </x:c>
      <x:c r="L535" s="50" t="n">
        <x:f>IF(I535=1,IFERROR(VALUE(SUBSTITUTE(_xlfn.XLOOKUP(H535,Rates_Raw!$AF$5:$AF$464,Rates_Raw!$L$5:$L$464,""),"$","")),""),"")</x:f>
        <x:v>52.2125</x:v>
      </x:c>
      <x:c r="M535" s="50" t="n">
        <x:f>IF(OR(G535="",L535=""),"",ROUND(G535-L535,4))</x:f>
        <x:v>0</x:v>
      </x:c>
      <x:c r="N535" t="str">
        <x:f>IF(I535=0,"NO MATCH",IF(I535&gt;1,"AMBIGUOUS",IF(EXACT(TRIM(E535),TRIM(J535)),"EXACT","TITLE VARIANT")))</x:f>
        <x:v>EXACT</x:v>
      </x:c>
      <x:c r="O535" t="str">
        <x:f>IF(I535&lt;&gt;1,"NOT TESTED",IF(OR(G535="",L535=""),"MISSING",IF(ABS(M535)&lt;=Guide!$B$16,"PASS","REVIEW")))</x:f>
        <x:v>PASS</x:v>
      </x:c>
      <x:c r="P535" s="52" t="n">
        <x:f>IF(I535=1,IFERROR(VALUE(SUBSTITUTE(SUBSTITUTE(_xlfn.XLOOKUP(H535,Rates_Raw!$AF$5:$AF$464,Rates_Raw!$I$5:$I$464,""),"$",""),",","")),""),"")</x:f>
        <x:v>4177</x:v>
      </x:c>
      <x:c r="Q535" s="52" t="n">
        <x:f>IF(P535="","",P535*Guide!$B$15)</x:f>
        <x:v>108602</x:v>
      </x:c>
      <x:c r="R535" t="str">
        <x:f>IF(I535=0,"UNMATCHED",IF(I535&gt;1,"DUPLICATE KEY",IF(OR(N535="TITLE VARIANT",O535="REVIEW",O535="MISSING"),"REVIEW","VERIFIED")))</x:f>
        <x:v>VERIFIED</x:v>
      </x:c>
      <x:c r="S535" s="46" t="str">
        <x:v>Not Reviewed</x:v>
      </x:c>
      <x:c r="T535" s="48"/>
    </x:row>
    <x:row r="536">
      <x:c r="A536" t="n">
        <x:f>Plan_Raw!A536</x:f>
        <x:v>18271</x:v>
      </x:c>
      <x:c r="B536" t="str">
        <x:f>Plan_Raw!D536</x:f>
        <x:v>8578</x:v>
      </x:c>
      <x:c r="C536" t="str">
        <x:f>LEFT(Plan_Raw!B536,10)</x:f>
        <x:v>2025-07-01</x:v>
      </x:c>
      <x:c r="D536" t="str">
        <x:f>Plan_Raw!F536</x:f>
        <x:v>COMMN</x:v>
      </x:c>
      <x:c r="E536" t="str">
        <x:f>Plan_Raw!E536</x:f>
        <x:v>Sr Sprvg Institut Mgr (SFERS)</x:v>
      </x:c>
      <x:c r="F536" t="str">
        <x:f>Plan_Raw!C536</x:f>
        <x:v>8578B</x:v>
      </x:c>
      <x:c r="G536" s="50" t="n">
        <x:f>IF(Plan_Raw!G536="","",IFERROR(VALUE(Plan_Raw!G536),""))</x:f>
        <x:v>53.2625</x:v>
      </x:c>
      <x:c r="H536" t="str">
        <x:f>Plan_Raw!AH536</x:f>
        <x:v>8578|COMMN|2025-07-01</x:v>
      </x:c>
      <x:c r="I536" t="n">
        <x:f>COUNTIF(Rates_Raw!$AF$5:$AF$464,H536)</x:f>
        <x:v>1</x:v>
      </x:c>
      <x:c r="J536" t="str">
        <x:f>IF(I536=1,_xlfn.XLOOKUP(H536,Rates_Raw!$AF$5:$AF$464,Rates_Raw!$E$5:$E$464,""),"")</x:f>
        <x:v>Sr Sprvg Institut Mgr (SFERS)</x:v>
      </x:c>
      <x:c r="K536" t="n">
        <x:f>IF(I536=1,_xlfn.XLOOKUP(H536,Rates_Raw!$AF$5:$AF$464,Rates_Raw!$F$5:$F$464,""),"")</x:f>
        <x:v>351</x:v>
      </x:c>
      <x:c r="L536" s="50" t="n">
        <x:f>IF(I536=1,IFERROR(VALUE(SUBSTITUTE(_xlfn.XLOOKUP(H536,Rates_Raw!$AF$5:$AF$464,Rates_Raw!$L$5:$L$464,""),"$","")),""),"")</x:f>
        <x:v>53.2625</x:v>
      </x:c>
      <x:c r="M536" s="50" t="n">
        <x:f>IF(OR(G536="",L536=""),"",ROUND(G536-L536,4))</x:f>
        <x:v>0</x:v>
      </x:c>
      <x:c r="N536" t="str">
        <x:f>IF(I536=0,"NO MATCH",IF(I536&gt;1,"AMBIGUOUS",IF(EXACT(TRIM(E536),TRIM(J536)),"EXACT","TITLE VARIANT")))</x:f>
        <x:v>EXACT</x:v>
      </x:c>
      <x:c r="O536" t="str">
        <x:f>IF(I536&lt;&gt;1,"NOT TESTED",IF(OR(G536="",L536=""),"MISSING",IF(ABS(M536)&lt;=Guide!$B$16,"PASS","REVIEW")))</x:f>
        <x:v>PASS</x:v>
      </x:c>
      <x:c r="P536" s="52" t="n">
        <x:f>IF(I536=1,IFERROR(VALUE(SUBSTITUTE(SUBSTITUTE(_xlfn.XLOOKUP(H536,Rates_Raw!$AF$5:$AF$464,Rates_Raw!$I$5:$I$464,""),"$",""),",","")),""),"")</x:f>
        <x:v>4261</x:v>
      </x:c>
      <x:c r="Q536" s="52" t="n">
        <x:f>IF(P536="","",P536*Guide!$B$15)</x:f>
        <x:v>110786</x:v>
      </x:c>
      <x:c r="R536" t="str">
        <x:f>IF(I536=0,"UNMATCHED",IF(I536&gt;1,"DUPLICATE KEY",IF(OR(N536="TITLE VARIANT",O536="REVIEW",O536="MISSING"),"REVIEW","VERIFIED")))</x:f>
        <x:v>VERIFIED</x:v>
      </x:c>
      <x:c r="S536" s="46" t="str">
        <x:v>Not Reviewed</x:v>
      </x:c>
      <x:c r="T536" s="48"/>
    </x:row>
    <x:row r="537">
      <x:c r="A537" t="n">
        <x:f>Plan_Raw!A537</x:f>
        <x:v>18272</x:v>
      </x:c>
      <x:c r="B537" t="str">
        <x:f>Plan_Raw!D537</x:f>
        <x:v>8578</x:v>
      </x:c>
      <x:c r="C537" t="str">
        <x:f>LEFT(Plan_Raw!B537,10)</x:f>
        <x:v>2026-01-03</x:v>
      </x:c>
      <x:c r="D537" t="str">
        <x:f>Plan_Raw!F537</x:f>
        <x:v>COMMN</x:v>
      </x:c>
      <x:c r="E537" t="str">
        <x:f>Plan_Raw!E537</x:f>
        <x:v>Sr Sprvg Institut Mgr (SFERS)</x:v>
      </x:c>
      <x:c r="F537" t="str">
        <x:f>Plan_Raw!C537</x:f>
        <x:v>8578C</x:v>
      </x:c>
      <x:c r="G537" s="50" t="n">
        <x:f>IF(Plan_Raw!G537="","",IFERROR(VALUE(Plan_Raw!G537),""))</x:f>
        <x:v>54.0625</x:v>
      </x:c>
      <x:c r="H537" t="str">
        <x:f>Plan_Raw!AH537</x:f>
        <x:v>8578|COMMN|2026-01-03</x:v>
      </x:c>
      <x:c r="I537" t="n">
        <x:f>COUNTIF(Rates_Raw!$AF$5:$AF$464,H537)</x:f>
        <x:v>1</x:v>
      </x:c>
      <x:c r="J537" t="str">
        <x:f>IF(I537=1,_xlfn.XLOOKUP(H537,Rates_Raw!$AF$5:$AF$464,Rates_Raw!$E$5:$E$464,""),"")</x:f>
        <x:v>Sr Sprvg Institut Mgr (SFERS)</x:v>
      </x:c>
      <x:c r="K537" t="n">
        <x:f>IF(I537=1,_xlfn.XLOOKUP(H537,Rates_Raw!$AF$5:$AF$464,Rates_Raw!$F$5:$F$464,""),"")</x:f>
        <x:v>351</x:v>
      </x:c>
      <x:c r="L537" s="50" t="n">
        <x:f>IF(I537=1,IFERROR(VALUE(SUBSTITUTE(_xlfn.XLOOKUP(H537,Rates_Raw!$AF$5:$AF$464,Rates_Raw!$L$5:$L$464,""),"$","")),""),"")</x:f>
        <x:v>54.0625</x:v>
      </x:c>
      <x:c r="M537" s="50" t="n">
        <x:f>IF(OR(G537="",L537=""),"",ROUND(G537-L537,4))</x:f>
        <x:v>0</x:v>
      </x:c>
      <x:c r="N537" t="str">
        <x:f>IF(I537=0,"NO MATCH",IF(I537&gt;1,"AMBIGUOUS",IF(EXACT(TRIM(E537),TRIM(J537)),"EXACT","TITLE VARIANT")))</x:f>
        <x:v>EXACT</x:v>
      </x:c>
      <x:c r="O537" t="str">
        <x:f>IF(I537&lt;&gt;1,"NOT TESTED",IF(OR(G537="",L537=""),"MISSING",IF(ABS(M537)&lt;=Guide!$B$16,"PASS","REVIEW")))</x:f>
        <x:v>PASS</x:v>
      </x:c>
      <x:c r="P537" s="52" t="n">
        <x:f>IF(I537=1,IFERROR(VALUE(SUBSTITUTE(SUBSTITUTE(_xlfn.XLOOKUP(H537,Rates_Raw!$AF$5:$AF$464,Rates_Raw!$I$5:$I$464,""),"$",""),",","")),""),"")</x:f>
        <x:v>4325</x:v>
      </x:c>
      <x:c r="Q537" s="52" t="n">
        <x:f>IF(P537="","",P537*Guide!$B$15)</x:f>
        <x:v>112450</x:v>
      </x:c>
      <x:c r="R537" t="str">
        <x:f>IF(I537=0,"UNMATCHED",IF(I537&gt;1,"DUPLICATE KEY",IF(OR(N537="TITLE VARIANT",O537="REVIEW",O537="MISSING"),"REVIEW","VERIFIED")))</x:f>
        <x:v>VERIFIED</x:v>
      </x:c>
      <x:c r="S537" s="46" t="str">
        <x:v>Not Reviewed</x:v>
      </x:c>
      <x:c r="T537" s="48"/>
    </x:row>
    <x:row r="538">
      <x:c r="A538" t="n">
        <x:f>Plan_Raw!A538</x:f>
        <x:v>18273</x:v>
      </x:c>
      <x:c r="B538" t="str">
        <x:f>Plan_Raw!D538</x:f>
        <x:v>8578</x:v>
      </x:c>
      <x:c r="C538" t="str">
        <x:f>LEFT(Plan_Raw!B538,10)</x:f>
        <x:v>2026-07-01</x:v>
      </x:c>
      <x:c r="D538" t="str">
        <x:f>Plan_Raw!F538</x:f>
        <x:v>COMMN</x:v>
      </x:c>
      <x:c r="E538" t="str">
        <x:f>Plan_Raw!E538</x:f>
        <x:v>Sr Sprvg Institut Mgr (SFERS)</x:v>
      </x:c>
      <x:c r="F538" t="str">
        <x:f>Plan_Raw!C538</x:f>
        <x:v>8578D</x:v>
      </x:c>
      <x:c r="G538" s="50" t="n">
        <x:f>IF(Plan_Raw!G538="","",IFERROR(VALUE(Plan_Raw!G538),""))</x:f>
        <x:v>55.15</x:v>
      </x:c>
      <x:c r="H538" t="str">
        <x:f>Plan_Raw!AH538</x:f>
        <x:v>8578|COMMN|2026-07-01</x:v>
      </x:c>
      <x:c r="I538" t="n">
        <x:f>COUNTIF(Rates_Raw!$AF$5:$AF$464,H538)</x:f>
        <x:v>0</x:v>
      </x:c>
      <x:c r="J538" t="str">
        <x:f>IF(I538=1,_xlfn.XLOOKUP(H538,Rates_Raw!$AF$5:$AF$464,Rates_Raw!$E$5:$E$464,""),"")</x:f>
      </x:c>
      <x:c r="K538" t="str">
        <x:f>IF(I538=1,_xlfn.XLOOKUP(H538,Rates_Raw!$AF$5:$AF$464,Rates_Raw!$F$5:$F$464,""),"")</x:f>
      </x:c>
      <x:c r="L538" s="50" t="str">
        <x:f>IF(I538=1,IFERROR(VALUE(SUBSTITUTE(_xlfn.XLOOKUP(H538,Rates_Raw!$AF$5:$AF$464,Rates_Raw!$L$5:$L$464,""),"$","")),""),"")</x:f>
      </x:c>
      <x:c r="M538" s="50" t="str">
        <x:f>IF(OR(G538="",L538=""),"",ROUND(G538-L538,4))</x:f>
      </x:c>
      <x:c r="N538" t="str">
        <x:f>IF(I538=0,"NO MATCH",IF(I538&gt;1,"AMBIGUOUS",IF(EXACT(TRIM(E538),TRIM(J538)),"EXACT","TITLE VARIANT")))</x:f>
        <x:v>NO MATCH</x:v>
      </x:c>
      <x:c r="O538" t="str">
        <x:f>IF(I538&lt;&gt;1,"NOT TESTED",IF(OR(G538="",L538=""),"MISSING",IF(ABS(M538)&lt;=Guide!$B$16,"PASS","REVIEW")))</x:f>
        <x:v>NOT TESTED</x:v>
      </x:c>
      <x:c r="P538" s="52" t="str">
        <x:f>IF(I538=1,IFERROR(VALUE(SUBSTITUTE(SUBSTITUTE(_xlfn.XLOOKUP(H538,Rates_Raw!$AF$5:$AF$464,Rates_Raw!$I$5:$I$464,""),"$",""),",","")),""),"")</x:f>
      </x:c>
      <x:c r="Q538" s="52" t="str">
        <x:f>IF(P538="","",P538*Guide!$B$15)</x:f>
      </x:c>
      <x:c r="R538" t="str">
        <x:f>IF(I538=0,"UNMATCHED",IF(I538&gt;1,"DUPLICATE KEY",IF(OR(N538="TITLE VARIANT",O538="REVIEW",O538="MISSING"),"REVIEW","VERIFIED")))</x:f>
        <x:v>UNMATCHED</x:v>
      </x:c>
      <x:c r="S538" s="46" t="str">
        <x:v>Not Reviewed</x:v>
      </x:c>
      <x:c r="T538" s="48"/>
    </x:row>
    <x:row r="539">
      <x:c r="A539" t="n">
        <x:f>Plan_Raw!A539</x:f>
        <x:v>19876</x:v>
      </x:c>
      <x:c r="B539" t="str">
        <x:f>Plan_Raw!D539</x:f>
        <x:v>9916</x:v>
      </x:c>
      <x:c r="C539" t="str">
        <x:f>LEFT(Plan_Raw!B539,10)</x:f>
        <x:v>2024-01-06</x:v>
      </x:c>
      <x:c r="D539" t="str">
        <x:f>Plan_Raw!F539</x:f>
        <x:v>COMMN</x:v>
      </x:c>
      <x:c r="E539" t="str">
        <x:f>Plan_Raw!E539</x:f>
        <x:v>Public Service Aide - Public Works</x:v>
      </x:c>
      <x:c r="F539" t="str">
        <x:f>Plan_Raw!C539</x:f>
        <x:v>9916Y</x:v>
      </x:c>
      <x:c r="G539" s="50" t="n">
        <x:f>IF(Plan_Raw!G539="","",IFERROR(VALUE(Plan_Raw!G539),""))</x:f>
        <x:v>21.2125</x:v>
      </x:c>
      <x:c r="H539" t="str">
        <x:f>Plan_Raw!AH539</x:f>
        <x:v>9916|COMMN|2024-01-06</x:v>
      </x:c>
      <x:c r="I539" t="n">
        <x:f>COUNTIF(Rates_Raw!$AF$5:$AF$464,H539)</x:f>
        <x:v>1</x:v>
      </x:c>
      <x:c r="J539" t="str">
        <x:f>IF(I539=1,_xlfn.XLOOKUP(H539,Rates_Raw!$AF$5:$AF$464,Rates_Raw!$E$5:$E$464,""),"")</x:f>
        <x:v>Public Service Aide - Public Works</x:v>
      </x:c>
      <x:c r="K539" t="n">
        <x:f>IF(I539=1,_xlfn.XLOOKUP(H539,Rates_Raw!$AF$5:$AF$464,Rates_Raw!$F$5:$F$464,""),"")</x:f>
        <x:v>261</x:v>
      </x:c>
      <x:c r="L539" s="50" t="n">
        <x:f>IF(I539=1,IFERROR(VALUE(SUBSTITUTE(_xlfn.XLOOKUP(H539,Rates_Raw!$AF$5:$AF$464,Rates_Raw!$L$5:$L$464,""),"$","")),""),"")</x:f>
        <x:v>21.215</x:v>
      </x:c>
      <x:c r="M539" s="50" t="n">
        <x:f>IF(OR(G539="",L539=""),"",ROUND(G539-L539,4))</x:f>
        <x:v>-0.0025</x:v>
      </x:c>
      <x:c r="N539" t="str">
        <x:f>IF(I539=0,"NO MATCH",IF(I539&gt;1,"AMBIGUOUS",IF(EXACT(TRIM(E539),TRIM(J539)),"EXACT","TITLE VARIANT")))</x:f>
        <x:v>EXACT</x:v>
      </x:c>
      <x:c r="O539" t="str">
        <x:f>IF(I539&lt;&gt;1,"NOT TESTED",IF(OR(G539="",L539=""),"MISSING",IF(ABS(M539)&lt;=Guide!$B$16,"PASS","REVIEW")))</x:f>
        <x:v>REVIEW</x:v>
      </x:c>
      <x:c r="P539" s="52" t="n">
        <x:f>IF(I539=1,IFERROR(VALUE(SUBSTITUTE(SUBSTITUTE(_xlfn.XLOOKUP(H539,Rates_Raw!$AF$5:$AF$464,Rates_Raw!$I$5:$I$464,""),"$",""),",","")),""),"")</x:f>
        <x:v>1697</x:v>
      </x:c>
      <x:c r="Q539" s="52" t="n">
        <x:f>IF(P539="","",P539*Guide!$B$15)</x:f>
        <x:v>44122</x:v>
      </x:c>
      <x:c r="R539" t="str">
        <x:f>IF(I539=0,"UNMATCHED",IF(I539&gt;1,"DUPLICATE KEY",IF(OR(N539="TITLE VARIANT",O539="REVIEW",O539="MISSING"),"REVIEW","VERIFIED")))</x:f>
        <x:v>REVIEW</x:v>
      </x:c>
      <x:c r="S539" s="46" t="str">
        <x:v>Not Reviewed</x:v>
      </x:c>
      <x:c r="T539" s="48"/>
    </x:row>
    <x:row r="540">
      <x:c r="A540" t="n">
        <x:f>Plan_Raw!A540</x:f>
        <x:v>19888</x:v>
      </x:c>
      <x:c r="B540" t="str">
        <x:f>Plan_Raw!D540</x:f>
        <x:v>9916</x:v>
      </x:c>
      <x:c r="C540" t="str">
        <x:f>LEFT(Plan_Raw!B540,10)</x:f>
        <x:v>2024-01-06</x:v>
      </x:c>
      <x:c r="D540" t="str">
        <x:f>Plan_Raw!F540</x:f>
        <x:v>SFMTA</x:v>
      </x:c>
      <x:c r="E540" t="str">
        <x:f>Plan_Raw!E540</x:f>
        <x:v>Public Service Aide - Public Works</x:v>
      </x:c>
      <x:c r="F540" t="str">
        <x:f>Plan_Raw!C540</x:f>
        <x:v>9916Y</x:v>
      </x:c>
      <x:c r="G540" s="50" t="n">
        <x:f>IF(Plan_Raw!G540="","",IFERROR(VALUE(Plan_Raw!G540),""))</x:f>
        <x:v>21.2125</x:v>
      </x:c>
      <x:c r="H540" t="str">
        <x:f>Plan_Raw!AH540</x:f>
        <x:v>9916|SFMTA|2024-01-06</x:v>
      </x:c>
      <x:c r="I540" t="n">
        <x:f>COUNTIF(Rates_Raw!$AF$5:$AF$464,H540)</x:f>
        <x:v>1</x:v>
      </x:c>
      <x:c r="J540" t="str">
        <x:f>IF(I540=1,_xlfn.XLOOKUP(H540,Rates_Raw!$AF$5:$AF$464,Rates_Raw!$E$5:$E$464,""),"")</x:f>
        <x:v>Public Service Aide - Public Works</x:v>
      </x:c>
      <x:c r="K540" t="n">
        <x:f>IF(I540=1,_xlfn.XLOOKUP(H540,Rates_Raw!$AF$5:$AF$464,Rates_Raw!$F$5:$F$464,""),"")</x:f>
        <x:v>261</x:v>
      </x:c>
      <x:c r="L540" s="50" t="n">
        <x:f>IF(I540=1,IFERROR(VALUE(SUBSTITUTE(_xlfn.XLOOKUP(H540,Rates_Raw!$AF$5:$AF$464,Rates_Raw!$L$5:$L$464,""),"$","")),""),"")</x:f>
        <x:v>21.215</x:v>
      </x:c>
      <x:c r="M540" s="50" t="n">
        <x:f>IF(OR(G540="",L540=""),"",ROUND(G540-L540,4))</x:f>
        <x:v>-0.0025</x:v>
      </x:c>
      <x:c r="N540" t="str">
        <x:f>IF(I540=0,"NO MATCH",IF(I540&gt;1,"AMBIGUOUS",IF(EXACT(TRIM(E540),TRIM(J540)),"EXACT","TITLE VARIANT")))</x:f>
        <x:v>EXACT</x:v>
      </x:c>
      <x:c r="O540" t="str">
        <x:f>IF(I540&lt;&gt;1,"NOT TESTED",IF(OR(G540="",L540=""),"MISSING",IF(ABS(M540)&lt;=Guide!$B$16,"PASS","REVIEW")))</x:f>
        <x:v>REVIEW</x:v>
      </x:c>
      <x:c r="P540" s="52" t="n">
        <x:f>IF(I540=1,IFERROR(VALUE(SUBSTITUTE(SUBSTITUTE(_xlfn.XLOOKUP(H540,Rates_Raw!$AF$5:$AF$464,Rates_Raw!$I$5:$I$464,""),"$",""),",","")),""),"")</x:f>
        <x:v>1697</x:v>
      </x:c>
      <x:c r="Q540" s="52" t="n">
        <x:f>IF(P540="","",P540*Guide!$B$15)</x:f>
        <x:v>44122</x:v>
      </x:c>
      <x:c r="R540" t="str">
        <x:f>IF(I540=0,"UNMATCHED",IF(I540&gt;1,"DUPLICATE KEY",IF(OR(N540="TITLE VARIANT",O540="REVIEW",O540="MISSING"),"REVIEW","VERIFIED")))</x:f>
        <x:v>REVIEW</x:v>
      </x:c>
      <x:c r="S540" s="46" t="str">
        <x:v>Not Reviewed</x:v>
      </x:c>
      <x:c r="T540" s="48"/>
    </x:row>
    <x:row r="541">
      <x:c r="A541" t="n">
        <x:f>Plan_Raw!A541</x:f>
        <x:v>19877</x:v>
      </x:c>
      <x:c r="B541" t="str">
        <x:f>Plan_Raw!D541</x:f>
        <x:v>9916</x:v>
      </x:c>
      <x:c r="C541" t="str">
        <x:f>LEFT(Plan_Raw!B541,10)</x:f>
        <x:v>2024-07-01</x:v>
      </x:c>
      <x:c r="D541" t="str">
        <x:f>Plan_Raw!F541</x:f>
        <x:v>COMMN</x:v>
      </x:c>
      <x:c r="E541" t="str">
        <x:f>Plan_Raw!E541</x:f>
        <x:v>Public Service Aide - Public Works</x:v>
      </x:c>
      <x:c r="F541" t="str">
        <x:f>Plan_Raw!C541</x:f>
        <x:v>9916Z</x:v>
      </x:c>
      <x:c r="G541" s="50" t="n">
        <x:f>IF(Plan_Raw!G541="","",IFERROR(VALUE(Plan_Raw!G541),""))</x:f>
        <x:v>25</x:v>
      </x:c>
      <x:c r="H541" t="str">
        <x:f>Plan_Raw!AH541</x:f>
        <x:v>9916|COMMN|2024-07-01</x:v>
      </x:c>
      <x:c r="I541" t="n">
        <x:f>COUNTIF(Rates_Raw!$AF$5:$AF$464,H541)</x:f>
        <x:v>1</x:v>
      </x:c>
      <x:c r="J541" t="str">
        <x:f>IF(I541=1,_xlfn.XLOOKUP(H541,Rates_Raw!$AF$5:$AF$464,Rates_Raw!$E$5:$E$464,""),"")</x:f>
        <x:v>Public Service Aide - Public Works</x:v>
      </x:c>
      <x:c r="K541" t="n">
        <x:f>IF(I541=1,_xlfn.XLOOKUP(H541,Rates_Raw!$AF$5:$AF$464,Rates_Raw!$F$5:$F$464,""),"")</x:f>
        <x:v>261</x:v>
      </x:c>
      <x:c r="L541" s="50" t="n">
        <x:f>IF(I541=1,IFERROR(VALUE(SUBSTITUTE(_xlfn.XLOOKUP(H541,Rates_Raw!$AF$5:$AF$464,Rates_Raw!$L$5:$L$464,""),"$","")),""),"")</x:f>
        <x:v>25</x:v>
      </x:c>
      <x:c r="M541" s="50" t="n">
        <x:f>IF(OR(G541="",L541=""),"",ROUND(G541-L541,4))</x:f>
        <x:v>0</x:v>
      </x:c>
      <x:c r="N541" t="str">
        <x:f>IF(I541=0,"NO MATCH",IF(I541&gt;1,"AMBIGUOUS",IF(EXACT(TRIM(E541),TRIM(J541)),"EXACT","TITLE VARIANT")))</x:f>
        <x:v>EXACT</x:v>
      </x:c>
      <x:c r="O541" t="str">
        <x:f>IF(I541&lt;&gt;1,"NOT TESTED",IF(OR(G541="",L541=""),"MISSING",IF(ABS(M541)&lt;=Guide!$B$16,"PASS","REVIEW")))</x:f>
        <x:v>PASS</x:v>
      </x:c>
      <x:c r="P541" s="52" t="n">
        <x:f>IF(I541=1,IFERROR(VALUE(SUBSTITUTE(SUBSTITUTE(_xlfn.XLOOKUP(H541,Rates_Raw!$AF$5:$AF$464,Rates_Raw!$I$5:$I$464,""),"$",""),",","")),""),"")</x:f>
        <x:v>2000</x:v>
      </x:c>
      <x:c r="Q541" s="52" t="n">
        <x:f>IF(P541="","",P541*Guide!$B$15)</x:f>
        <x:v>52000</x:v>
      </x:c>
      <x:c r="R541" t="str">
        <x:f>IF(I541=0,"UNMATCHED",IF(I541&gt;1,"DUPLICATE KEY",IF(OR(N541="TITLE VARIANT",O541="REVIEW",O541="MISSING"),"REVIEW","VERIFIED")))</x:f>
        <x:v>VERIFIED</x:v>
      </x:c>
      <x:c r="S541" s="46" t="str">
        <x:v>Not Reviewed</x:v>
      </x:c>
      <x:c r="T541" s="48"/>
    </x:row>
    <x:row r="542">
      <x:c r="A542" t="n">
        <x:f>Plan_Raw!A542</x:f>
        <x:v>19889</x:v>
      </x:c>
      <x:c r="B542" t="str">
        <x:f>Plan_Raw!D542</x:f>
        <x:v>9916</x:v>
      </x:c>
      <x:c r="C542" t="str">
        <x:f>LEFT(Plan_Raw!B542,10)</x:f>
        <x:v>2024-07-01</x:v>
      </x:c>
      <x:c r="D542" t="str">
        <x:f>Plan_Raw!F542</x:f>
        <x:v>SFMTA</x:v>
      </x:c>
      <x:c r="E542" t="str">
        <x:f>Plan_Raw!E542</x:f>
        <x:v>Public Service Aide - Public Works</x:v>
      </x:c>
      <x:c r="F542" t="str">
        <x:f>Plan_Raw!C542</x:f>
        <x:v>9916Z</x:v>
      </x:c>
      <x:c r="G542" s="50" t="n">
        <x:f>IF(Plan_Raw!G542="","",IFERROR(VALUE(Plan_Raw!G542),""))</x:f>
        <x:v>25</x:v>
      </x:c>
      <x:c r="H542" t="str">
        <x:f>Plan_Raw!AH542</x:f>
        <x:v>9916|SFMTA|2024-07-01</x:v>
      </x:c>
      <x:c r="I542" t="n">
        <x:f>COUNTIF(Rates_Raw!$AF$5:$AF$464,H542)</x:f>
        <x:v>1</x:v>
      </x:c>
      <x:c r="J542" t="str">
        <x:f>IF(I542=1,_xlfn.XLOOKUP(H542,Rates_Raw!$AF$5:$AF$464,Rates_Raw!$E$5:$E$464,""),"")</x:f>
        <x:v>Public Service Aide - Public Works</x:v>
      </x:c>
      <x:c r="K542" t="n">
        <x:f>IF(I542=1,_xlfn.XLOOKUP(H542,Rates_Raw!$AF$5:$AF$464,Rates_Raw!$F$5:$F$464,""),"")</x:f>
        <x:v>261</x:v>
      </x:c>
      <x:c r="L542" s="50" t="n">
        <x:f>IF(I542=1,IFERROR(VALUE(SUBSTITUTE(_xlfn.XLOOKUP(H542,Rates_Raw!$AF$5:$AF$464,Rates_Raw!$L$5:$L$464,""),"$","")),""),"")</x:f>
        <x:v>25</x:v>
      </x:c>
      <x:c r="M542" s="50" t="n">
        <x:f>IF(OR(G542="",L542=""),"",ROUND(G542-L542,4))</x:f>
        <x:v>0</x:v>
      </x:c>
      <x:c r="N542" t="str">
        <x:f>IF(I542=0,"NO MATCH",IF(I542&gt;1,"AMBIGUOUS",IF(EXACT(TRIM(E542),TRIM(J542)),"EXACT","TITLE VARIANT")))</x:f>
        <x:v>EXACT</x:v>
      </x:c>
      <x:c r="O542" t="str">
        <x:f>IF(I542&lt;&gt;1,"NOT TESTED",IF(OR(G542="",L542=""),"MISSING",IF(ABS(M542)&lt;=Guide!$B$16,"PASS","REVIEW")))</x:f>
        <x:v>PASS</x:v>
      </x:c>
      <x:c r="P542" s="52" t="n">
        <x:f>IF(I542=1,IFERROR(VALUE(SUBSTITUTE(SUBSTITUTE(_xlfn.XLOOKUP(H542,Rates_Raw!$AF$5:$AF$464,Rates_Raw!$I$5:$I$464,""),"$",""),",","")),""),"")</x:f>
        <x:v>2000</x:v>
      </x:c>
      <x:c r="Q542" s="52" t="n">
        <x:f>IF(P542="","",P542*Guide!$B$15)</x:f>
        <x:v>52000</x:v>
      </x:c>
      <x:c r="R542" t="str">
        <x:f>IF(I542=0,"UNMATCHED",IF(I542&gt;1,"DUPLICATE KEY",IF(OR(N542="TITLE VARIANT",O542="REVIEW",O542="MISSING"),"REVIEW","VERIFIED")))</x:f>
        <x:v>VERIFIED</x:v>
      </x:c>
      <x:c r="S542" s="46" t="str">
        <x:v>Not Reviewed</x:v>
      </x:c>
      <x:c r="T542" s="48"/>
    </x:row>
    <x:row r="543">
      <x:c r="A543" t="n">
        <x:f>Plan_Raw!A543</x:f>
        <x:v>19878</x:v>
      </x:c>
      <x:c r="B543" t="str">
        <x:f>Plan_Raw!D543</x:f>
        <x:v>9916</x:v>
      </x:c>
      <x:c r="C543" t="str">
        <x:f>LEFT(Plan_Raw!B543,10)</x:f>
        <x:v>2025-01-04</x:v>
      </x:c>
      <x:c r="D543" t="str">
        <x:f>Plan_Raw!F543</x:f>
        <x:v>COMMN</x:v>
      </x:c>
      <x:c r="E543" t="str">
        <x:f>Plan_Raw!E543</x:f>
        <x:v>Public Service Aide - Public Works</x:v>
      </x:c>
      <x:c r="F543" t="str">
        <x:f>Plan_Raw!C543</x:f>
        <x:v>9916A</x:v>
      </x:c>
      <x:c r="G543" s="50" t="n">
        <x:f>IF(Plan_Raw!G543="","",IFERROR(VALUE(Plan_Raw!G543),""))</x:f>
        <x:v>25.375</x:v>
      </x:c>
      <x:c r="H543" t="str">
        <x:f>Plan_Raw!AH543</x:f>
        <x:v>9916|COMMN|2025-01-04</x:v>
      </x:c>
      <x:c r="I543" t="n">
        <x:f>COUNTIF(Rates_Raw!$AF$5:$AF$464,H543)</x:f>
        <x:v>1</x:v>
      </x:c>
      <x:c r="J543" t="str">
        <x:f>IF(I543=1,_xlfn.XLOOKUP(H543,Rates_Raw!$AF$5:$AF$464,Rates_Raw!$E$5:$E$464,""),"")</x:f>
        <x:v>Public Service Aide - Public Works</x:v>
      </x:c>
      <x:c r="K543" t="n">
        <x:f>IF(I543=1,_xlfn.XLOOKUP(H543,Rates_Raw!$AF$5:$AF$464,Rates_Raw!$F$5:$F$464,""),"")</x:f>
        <x:v>261</x:v>
      </x:c>
      <x:c r="L543" s="50" t="n">
        <x:f>IF(I543=1,IFERROR(VALUE(SUBSTITUTE(_xlfn.XLOOKUP(H543,Rates_Raw!$AF$5:$AF$464,Rates_Raw!$L$5:$L$464,""),"$","")),""),"")</x:f>
        <x:v>25.375</x:v>
      </x:c>
      <x:c r="M543" s="50" t="n">
        <x:f>IF(OR(G543="",L543=""),"",ROUND(G543-L543,4))</x:f>
        <x:v>0</x:v>
      </x:c>
      <x:c r="N543" t="str">
        <x:f>IF(I543=0,"NO MATCH",IF(I543&gt;1,"AMBIGUOUS",IF(EXACT(TRIM(E543),TRIM(J543)),"EXACT","TITLE VARIANT")))</x:f>
        <x:v>EXACT</x:v>
      </x:c>
      <x:c r="O543" t="str">
        <x:f>IF(I543&lt;&gt;1,"NOT TESTED",IF(OR(G543="",L543=""),"MISSING",IF(ABS(M543)&lt;=Guide!$B$16,"PASS","REVIEW")))</x:f>
        <x:v>PASS</x:v>
      </x:c>
      <x:c r="P543" s="52" t="n">
        <x:f>IF(I543=1,IFERROR(VALUE(SUBSTITUTE(SUBSTITUTE(_xlfn.XLOOKUP(H543,Rates_Raw!$AF$5:$AF$464,Rates_Raw!$I$5:$I$464,""),"$",""),",","")),""),"")</x:f>
        <x:v>2030</x:v>
      </x:c>
      <x:c r="Q543" s="52" t="n">
        <x:f>IF(P543="","",P543*Guide!$B$15)</x:f>
        <x:v>52780</x:v>
      </x:c>
      <x:c r="R543" t="str">
        <x:f>IF(I543=0,"UNMATCHED",IF(I543&gt;1,"DUPLICATE KEY",IF(OR(N543="TITLE VARIANT",O543="REVIEW",O543="MISSING"),"REVIEW","VERIFIED")))</x:f>
        <x:v>VERIFIED</x:v>
      </x:c>
      <x:c r="S543" s="46" t="str">
        <x:v>Not Reviewed</x:v>
      </x:c>
      <x:c r="T543" s="48"/>
    </x:row>
    <x:row r="544">
      <x:c r="A544" t="n">
        <x:f>Plan_Raw!A544</x:f>
        <x:v>19890</x:v>
      </x:c>
      <x:c r="B544" t="str">
        <x:f>Plan_Raw!D544</x:f>
        <x:v>9916</x:v>
      </x:c>
      <x:c r="C544" t="str">
        <x:f>LEFT(Plan_Raw!B544,10)</x:f>
        <x:v>2025-01-04</x:v>
      </x:c>
      <x:c r="D544" t="str">
        <x:f>Plan_Raw!F544</x:f>
        <x:v>SFMTA</x:v>
      </x:c>
      <x:c r="E544" t="str">
        <x:f>Plan_Raw!E544</x:f>
        <x:v>Public Service Aide - Public Works</x:v>
      </x:c>
      <x:c r="F544" t="str">
        <x:f>Plan_Raw!C544</x:f>
        <x:v>9916A</x:v>
      </x:c>
      <x:c r="G544" s="50" t="n">
        <x:f>IF(Plan_Raw!G544="","",IFERROR(VALUE(Plan_Raw!G544),""))</x:f>
        <x:v>25.375</x:v>
      </x:c>
      <x:c r="H544" t="str">
        <x:f>Plan_Raw!AH544</x:f>
        <x:v>9916|SFMTA|2025-01-04</x:v>
      </x:c>
      <x:c r="I544" t="n">
        <x:f>COUNTIF(Rates_Raw!$AF$5:$AF$464,H544)</x:f>
        <x:v>1</x:v>
      </x:c>
      <x:c r="J544" t="str">
        <x:f>IF(I544=1,_xlfn.XLOOKUP(H544,Rates_Raw!$AF$5:$AF$464,Rates_Raw!$E$5:$E$464,""),"")</x:f>
        <x:v>Public Service Aide - Public Works</x:v>
      </x:c>
      <x:c r="K544" t="n">
        <x:f>IF(I544=1,_xlfn.XLOOKUP(H544,Rates_Raw!$AF$5:$AF$464,Rates_Raw!$F$5:$F$464,""),"")</x:f>
        <x:v>261</x:v>
      </x:c>
      <x:c r="L544" s="50" t="n">
        <x:f>IF(I544=1,IFERROR(VALUE(SUBSTITUTE(_xlfn.XLOOKUP(H544,Rates_Raw!$AF$5:$AF$464,Rates_Raw!$L$5:$L$464,""),"$","")),""),"")</x:f>
        <x:v>25.375</x:v>
      </x:c>
      <x:c r="M544" s="50" t="n">
        <x:f>IF(OR(G544="",L544=""),"",ROUND(G544-L544,4))</x:f>
        <x:v>0</x:v>
      </x:c>
      <x:c r="N544" t="str">
        <x:f>IF(I544=0,"NO MATCH",IF(I544&gt;1,"AMBIGUOUS",IF(EXACT(TRIM(E544),TRIM(J544)),"EXACT","TITLE VARIANT")))</x:f>
        <x:v>EXACT</x:v>
      </x:c>
      <x:c r="O544" t="str">
        <x:f>IF(I544&lt;&gt;1,"NOT TESTED",IF(OR(G544="",L544=""),"MISSING",IF(ABS(M544)&lt;=Guide!$B$16,"PASS","REVIEW")))</x:f>
        <x:v>PASS</x:v>
      </x:c>
      <x:c r="P544" s="52" t="n">
        <x:f>IF(I544=1,IFERROR(VALUE(SUBSTITUTE(SUBSTITUTE(_xlfn.XLOOKUP(H544,Rates_Raw!$AF$5:$AF$464,Rates_Raw!$I$5:$I$464,""),"$",""),",","")),""),"")</x:f>
        <x:v>2030</x:v>
      </x:c>
      <x:c r="Q544" s="52" t="n">
        <x:f>IF(P544="","",P544*Guide!$B$15)</x:f>
        <x:v>52780</x:v>
      </x:c>
      <x:c r="R544" t="str">
        <x:f>IF(I544=0,"UNMATCHED",IF(I544&gt;1,"DUPLICATE KEY",IF(OR(N544="TITLE VARIANT",O544="REVIEW",O544="MISSING"),"REVIEW","VERIFIED")))</x:f>
        <x:v>VERIFIED</x:v>
      </x:c>
      <x:c r="S544" s="46" t="str">
        <x:v>Not Reviewed</x:v>
      </x:c>
      <x:c r="T544" s="48"/>
    </x:row>
    <x:row r="545">
      <x:c r="A545" t="n">
        <x:f>Plan_Raw!A545</x:f>
        <x:v>19879</x:v>
      </x:c>
      <x:c r="B545" t="str">
        <x:f>Plan_Raw!D545</x:f>
        <x:v>9916</x:v>
      </x:c>
      <x:c r="C545" t="str">
        <x:f>LEFT(Plan_Raw!B545,10)</x:f>
        <x:v>2025-07-01</x:v>
      </x:c>
      <x:c r="D545" t="str">
        <x:f>Plan_Raw!F545</x:f>
        <x:v>COMMN</x:v>
      </x:c>
      <x:c r="E545" t="str">
        <x:f>Plan_Raw!E545</x:f>
        <x:v>Public Svc Aide-Public Works</x:v>
      </x:c>
      <x:c r="F545" t="str">
        <x:f>Plan_Raw!C545</x:f>
        <x:v>9916B</x:v>
      </x:c>
      <x:c r="G545" s="50" t="n">
        <x:f>IF(Plan_Raw!G545="","",IFERROR(VALUE(Plan_Raw!G545),""))</x:f>
        <x:v>25.8875</x:v>
      </x:c>
      <x:c r="H545" t="str">
        <x:f>Plan_Raw!AH545</x:f>
        <x:v>9916|COMMN|2025-07-01</x:v>
      </x:c>
      <x:c r="I545" t="n">
        <x:f>COUNTIF(Rates_Raw!$AF$5:$AF$464,H545)</x:f>
        <x:v>1</x:v>
      </x:c>
      <x:c r="J545" t="str">
        <x:f>IF(I545=1,_xlfn.XLOOKUP(H545,Rates_Raw!$AF$5:$AF$464,Rates_Raw!$E$5:$E$464,""),"")</x:f>
        <x:v>Public Svc Aide-Public Works</x:v>
      </x:c>
      <x:c r="K545" t="n">
        <x:f>IF(I545=1,_xlfn.XLOOKUP(H545,Rates_Raw!$AF$5:$AF$464,Rates_Raw!$F$5:$F$464,""),"")</x:f>
        <x:v>261</x:v>
      </x:c>
      <x:c r="L545" s="50" t="n">
        <x:f>IF(I545=1,IFERROR(VALUE(SUBSTITUTE(_xlfn.XLOOKUP(H545,Rates_Raw!$AF$5:$AF$464,Rates_Raw!$L$5:$L$464,""),"$","")),""),"")</x:f>
        <x:v>25.8875</x:v>
      </x:c>
      <x:c r="M545" s="50" t="n">
        <x:f>IF(OR(G545="",L545=""),"",ROUND(G545-L545,4))</x:f>
        <x:v>0</x:v>
      </x:c>
      <x:c r="N545" t="str">
        <x:f>IF(I545=0,"NO MATCH",IF(I545&gt;1,"AMBIGUOUS",IF(EXACT(TRIM(E545),TRIM(J545)),"EXACT","TITLE VARIANT")))</x:f>
        <x:v>EXACT</x:v>
      </x:c>
      <x:c r="O545" t="str">
        <x:f>IF(I545&lt;&gt;1,"NOT TESTED",IF(OR(G545="",L545=""),"MISSING",IF(ABS(M545)&lt;=Guide!$B$16,"PASS","REVIEW")))</x:f>
        <x:v>PASS</x:v>
      </x:c>
      <x:c r="P545" s="52" t="n">
        <x:f>IF(I545=1,IFERROR(VALUE(SUBSTITUTE(SUBSTITUTE(_xlfn.XLOOKUP(H545,Rates_Raw!$AF$5:$AF$464,Rates_Raw!$I$5:$I$464,""),"$",""),",","")),""),"")</x:f>
        <x:v>2071</x:v>
      </x:c>
      <x:c r="Q545" s="52" t="n">
        <x:f>IF(P545="","",P545*Guide!$B$15)</x:f>
        <x:v>53846</x:v>
      </x:c>
      <x:c r="R545" t="str">
        <x:f>IF(I545=0,"UNMATCHED",IF(I545&gt;1,"DUPLICATE KEY",IF(OR(N545="TITLE VARIANT",O545="REVIEW",O545="MISSING"),"REVIEW","VERIFIED")))</x:f>
        <x:v>VERIFIED</x:v>
      </x:c>
      <x:c r="S545" s="46" t="str">
        <x:v>Not Reviewed</x:v>
      </x:c>
      <x:c r="T545" s="48"/>
    </x:row>
    <x:row r="546">
      <x:c r="A546" t="n">
        <x:f>Plan_Raw!A546</x:f>
        <x:v>19891</x:v>
      </x:c>
      <x:c r="B546" t="str">
        <x:f>Plan_Raw!D546</x:f>
        <x:v>9916</x:v>
      </x:c>
      <x:c r="C546" t="str">
        <x:f>LEFT(Plan_Raw!B546,10)</x:f>
        <x:v>2025-07-01</x:v>
      </x:c>
      <x:c r="D546" t="str">
        <x:f>Plan_Raw!F546</x:f>
        <x:v>SFMTA</x:v>
      </x:c>
      <x:c r="E546" t="str">
        <x:f>Plan_Raw!E546</x:f>
        <x:v>Public Svc Aide-Public Works</x:v>
      </x:c>
      <x:c r="F546" t="str">
        <x:f>Plan_Raw!C546</x:f>
        <x:v>9916B</x:v>
      </x:c>
      <x:c r="G546" s="50" t="n">
        <x:f>IF(Plan_Raw!G546="","",IFERROR(VALUE(Plan_Raw!G546),""))</x:f>
        <x:v>25.8875</x:v>
      </x:c>
      <x:c r="H546" t="str">
        <x:f>Plan_Raw!AH546</x:f>
        <x:v>9916|SFMTA|2025-07-01</x:v>
      </x:c>
      <x:c r="I546" t="n">
        <x:f>COUNTIF(Rates_Raw!$AF$5:$AF$464,H546)</x:f>
        <x:v>1</x:v>
      </x:c>
      <x:c r="J546" t="str">
        <x:f>IF(I546=1,_xlfn.XLOOKUP(H546,Rates_Raw!$AF$5:$AF$464,Rates_Raw!$E$5:$E$464,""),"")</x:f>
        <x:v>Public Svc Aide-Public Works</x:v>
      </x:c>
      <x:c r="K546" t="n">
        <x:f>IF(I546=1,_xlfn.XLOOKUP(H546,Rates_Raw!$AF$5:$AF$464,Rates_Raw!$F$5:$F$464,""),"")</x:f>
        <x:v>261</x:v>
      </x:c>
      <x:c r="L546" s="50" t="n">
        <x:f>IF(I546=1,IFERROR(VALUE(SUBSTITUTE(_xlfn.XLOOKUP(H546,Rates_Raw!$AF$5:$AF$464,Rates_Raw!$L$5:$L$464,""),"$","")),""),"")</x:f>
        <x:v>25.8875</x:v>
      </x:c>
      <x:c r="M546" s="50" t="n">
        <x:f>IF(OR(G546="",L546=""),"",ROUND(G546-L546,4))</x:f>
        <x:v>0</x:v>
      </x:c>
      <x:c r="N546" t="str">
        <x:f>IF(I546=0,"NO MATCH",IF(I546&gt;1,"AMBIGUOUS",IF(EXACT(TRIM(E546),TRIM(J546)),"EXACT","TITLE VARIANT")))</x:f>
        <x:v>EXACT</x:v>
      </x:c>
      <x:c r="O546" t="str">
        <x:f>IF(I546&lt;&gt;1,"NOT TESTED",IF(OR(G546="",L546=""),"MISSING",IF(ABS(M546)&lt;=Guide!$B$16,"PASS","REVIEW")))</x:f>
        <x:v>PASS</x:v>
      </x:c>
      <x:c r="P546" s="52" t="n">
        <x:f>IF(I546=1,IFERROR(VALUE(SUBSTITUTE(SUBSTITUTE(_xlfn.XLOOKUP(H546,Rates_Raw!$AF$5:$AF$464,Rates_Raw!$I$5:$I$464,""),"$",""),",","")),""),"")</x:f>
        <x:v>2071</x:v>
      </x:c>
      <x:c r="Q546" s="52" t="n">
        <x:f>IF(P546="","",P546*Guide!$B$15)</x:f>
        <x:v>53846</x:v>
      </x:c>
      <x:c r="R546" t="str">
        <x:f>IF(I546=0,"UNMATCHED",IF(I546&gt;1,"DUPLICATE KEY",IF(OR(N546="TITLE VARIANT",O546="REVIEW",O546="MISSING"),"REVIEW","VERIFIED")))</x:f>
        <x:v>VERIFIED</x:v>
      </x:c>
      <x:c r="S546" s="46" t="str">
        <x:v>Not Reviewed</x:v>
      </x:c>
      <x:c r="T546" s="48"/>
    </x:row>
    <x:row r="547">
      <x:c r="A547" t="n">
        <x:f>Plan_Raw!A547</x:f>
        <x:v>19880</x:v>
      </x:c>
      <x:c r="B547" t="str">
        <x:f>Plan_Raw!D547</x:f>
        <x:v>9916</x:v>
      </x:c>
      <x:c r="C547" t="str">
        <x:f>LEFT(Plan_Raw!B547,10)</x:f>
        <x:v>2026-01-03</x:v>
      </x:c>
      <x:c r="D547" t="str">
        <x:f>Plan_Raw!F547</x:f>
        <x:v>COMMN</x:v>
      </x:c>
      <x:c r="E547" t="str">
        <x:f>Plan_Raw!E547</x:f>
        <x:v>Public Svc Aide-Public Works</x:v>
      </x:c>
      <x:c r="F547" t="str">
        <x:f>Plan_Raw!C547</x:f>
        <x:v>9916C</x:v>
      </x:c>
      <x:c r="G547" s="50" t="n">
        <x:f>IF(Plan_Raw!G547="","",IFERROR(VALUE(Plan_Raw!G547),""))</x:f>
        <x:v>26.275</x:v>
      </x:c>
      <x:c r="H547" t="str">
        <x:f>Plan_Raw!AH547</x:f>
        <x:v>9916|COMMN|2026-01-03</x:v>
      </x:c>
      <x:c r="I547" t="n">
        <x:f>COUNTIF(Rates_Raw!$AF$5:$AF$464,H547)</x:f>
        <x:v>1</x:v>
      </x:c>
      <x:c r="J547" t="str">
        <x:f>IF(I547=1,_xlfn.XLOOKUP(H547,Rates_Raw!$AF$5:$AF$464,Rates_Raw!$E$5:$E$464,""),"")</x:f>
        <x:v>Public Svc Aide-Public Works</x:v>
      </x:c>
      <x:c r="K547" t="n">
        <x:f>IF(I547=1,_xlfn.XLOOKUP(H547,Rates_Raw!$AF$5:$AF$464,Rates_Raw!$F$5:$F$464,""),"")</x:f>
        <x:v>261</x:v>
      </x:c>
      <x:c r="L547" s="50" t="n">
        <x:f>IF(I547=1,IFERROR(VALUE(SUBSTITUTE(_xlfn.XLOOKUP(H547,Rates_Raw!$AF$5:$AF$464,Rates_Raw!$L$5:$L$464,""),"$","")),""),"")</x:f>
        <x:v>26.275</x:v>
      </x:c>
      <x:c r="M547" s="50" t="n">
        <x:f>IF(OR(G547="",L547=""),"",ROUND(G547-L547,4))</x:f>
        <x:v>0</x:v>
      </x:c>
      <x:c r="N547" t="str">
        <x:f>IF(I547=0,"NO MATCH",IF(I547&gt;1,"AMBIGUOUS",IF(EXACT(TRIM(E547),TRIM(J547)),"EXACT","TITLE VARIANT")))</x:f>
        <x:v>EXACT</x:v>
      </x:c>
      <x:c r="O547" t="str">
        <x:f>IF(I547&lt;&gt;1,"NOT TESTED",IF(OR(G547="",L547=""),"MISSING",IF(ABS(M547)&lt;=Guide!$B$16,"PASS","REVIEW")))</x:f>
        <x:v>PASS</x:v>
      </x:c>
      <x:c r="P547" s="52" t="n">
        <x:f>IF(I547=1,IFERROR(VALUE(SUBSTITUTE(SUBSTITUTE(_xlfn.XLOOKUP(H547,Rates_Raw!$AF$5:$AF$464,Rates_Raw!$I$5:$I$464,""),"$",""),",","")),""),"")</x:f>
        <x:v>2102</x:v>
      </x:c>
      <x:c r="Q547" s="52" t="n">
        <x:f>IF(P547="","",P547*Guide!$B$15)</x:f>
        <x:v>54652</x:v>
      </x:c>
      <x:c r="R547" t="str">
        <x:f>IF(I547=0,"UNMATCHED",IF(I547&gt;1,"DUPLICATE KEY",IF(OR(N547="TITLE VARIANT",O547="REVIEW",O547="MISSING"),"REVIEW","VERIFIED")))</x:f>
        <x:v>VERIFIED</x:v>
      </x:c>
      <x:c r="S547" s="46" t="str">
        <x:v>Not Reviewed</x:v>
      </x:c>
      <x:c r="T547" s="48"/>
    </x:row>
    <x:row r="548">
      <x:c r="A548" t="n">
        <x:f>Plan_Raw!A548</x:f>
        <x:v>19892</x:v>
      </x:c>
      <x:c r="B548" t="str">
        <x:f>Plan_Raw!D548</x:f>
        <x:v>9916</x:v>
      </x:c>
      <x:c r="C548" t="str">
        <x:f>LEFT(Plan_Raw!B548,10)</x:f>
        <x:v>2026-01-03</x:v>
      </x:c>
      <x:c r="D548" t="str">
        <x:f>Plan_Raw!F548</x:f>
        <x:v>SFMTA</x:v>
      </x:c>
      <x:c r="E548" t="str">
        <x:f>Plan_Raw!E548</x:f>
        <x:v>Public Svc Aide-Public Works</x:v>
      </x:c>
      <x:c r="F548" t="str">
        <x:f>Plan_Raw!C548</x:f>
        <x:v>9916C</x:v>
      </x:c>
      <x:c r="G548" s="50" t="n">
        <x:f>IF(Plan_Raw!G548="","",IFERROR(VALUE(Plan_Raw!G548),""))</x:f>
        <x:v>26.275</x:v>
      </x:c>
      <x:c r="H548" t="str">
        <x:f>Plan_Raw!AH548</x:f>
        <x:v>9916|SFMTA|2026-01-03</x:v>
      </x:c>
      <x:c r="I548" t="n">
        <x:f>COUNTIF(Rates_Raw!$AF$5:$AF$464,H548)</x:f>
        <x:v>1</x:v>
      </x:c>
      <x:c r="J548" t="str">
        <x:f>IF(I548=1,_xlfn.XLOOKUP(H548,Rates_Raw!$AF$5:$AF$464,Rates_Raw!$E$5:$E$464,""),"")</x:f>
        <x:v>Public Svc Aide-Public Works</x:v>
      </x:c>
      <x:c r="K548" t="n">
        <x:f>IF(I548=1,_xlfn.XLOOKUP(H548,Rates_Raw!$AF$5:$AF$464,Rates_Raw!$F$5:$F$464,""),"")</x:f>
        <x:v>261</x:v>
      </x:c>
      <x:c r="L548" s="50" t="n">
        <x:f>IF(I548=1,IFERROR(VALUE(SUBSTITUTE(_xlfn.XLOOKUP(H548,Rates_Raw!$AF$5:$AF$464,Rates_Raw!$L$5:$L$464,""),"$","")),""),"")</x:f>
        <x:v>26.275</x:v>
      </x:c>
      <x:c r="M548" s="50" t="n">
        <x:f>IF(OR(G548="",L548=""),"",ROUND(G548-L548,4))</x:f>
        <x:v>0</x:v>
      </x:c>
      <x:c r="N548" t="str">
        <x:f>IF(I548=0,"NO MATCH",IF(I548&gt;1,"AMBIGUOUS",IF(EXACT(TRIM(E548),TRIM(J548)),"EXACT","TITLE VARIANT")))</x:f>
        <x:v>EXACT</x:v>
      </x:c>
      <x:c r="O548" t="str">
        <x:f>IF(I548&lt;&gt;1,"NOT TESTED",IF(OR(G548="",L548=""),"MISSING",IF(ABS(M548)&lt;=Guide!$B$16,"PASS","REVIEW")))</x:f>
        <x:v>PASS</x:v>
      </x:c>
      <x:c r="P548" s="52" t="n">
        <x:f>IF(I548=1,IFERROR(VALUE(SUBSTITUTE(SUBSTITUTE(_xlfn.XLOOKUP(H548,Rates_Raw!$AF$5:$AF$464,Rates_Raw!$I$5:$I$464,""),"$",""),",","")),""),"")</x:f>
        <x:v>2102</x:v>
      </x:c>
      <x:c r="Q548" s="52" t="n">
        <x:f>IF(P548="","",P548*Guide!$B$15)</x:f>
        <x:v>54652</x:v>
      </x:c>
      <x:c r="R548" t="str">
        <x:f>IF(I548=0,"UNMATCHED",IF(I548&gt;1,"DUPLICATE KEY",IF(OR(N548="TITLE VARIANT",O548="REVIEW",O548="MISSING"),"REVIEW","VERIFIED")))</x:f>
        <x:v>VERIFIED</x:v>
      </x:c>
      <x:c r="S548" s="46" t="str">
        <x:v>Not Reviewed</x:v>
      </x:c>
      <x:c r="T548" s="48"/>
    </x:row>
    <x:row r="549">
      <x:c r="A549" t="n">
        <x:f>Plan_Raw!A549</x:f>
        <x:v>19881</x:v>
      </x:c>
      <x:c r="B549" t="str">
        <x:f>Plan_Raw!D549</x:f>
        <x:v>9916</x:v>
      </x:c>
      <x:c r="C549" t="str">
        <x:f>LEFT(Plan_Raw!B549,10)</x:f>
        <x:v>2026-07-01</x:v>
      </x:c>
      <x:c r="D549" t="str">
        <x:f>Plan_Raw!F549</x:f>
        <x:v>COMMN</x:v>
      </x:c>
      <x:c r="E549" t="str">
        <x:f>Plan_Raw!E549</x:f>
        <x:v>Public Svc Aide-Public Works</x:v>
      </x:c>
      <x:c r="F549" t="str">
        <x:f>Plan_Raw!C549</x:f>
        <x:v>9916D</x:v>
      </x:c>
      <x:c r="G549" s="50" t="n">
        <x:f>IF(Plan_Raw!G549="","",IFERROR(VALUE(Plan_Raw!G549),""))</x:f>
        <x:v>26.8</x:v>
      </x:c>
      <x:c r="H549" t="str">
        <x:f>Plan_Raw!AH549</x:f>
        <x:v>9916|COMMN|2026-07-01</x:v>
      </x:c>
      <x:c r="I549" t="n">
        <x:f>COUNTIF(Rates_Raw!$AF$5:$AF$464,H549)</x:f>
        <x:v>0</x:v>
      </x:c>
      <x:c r="J549" t="str">
        <x:f>IF(I549=1,_xlfn.XLOOKUP(H549,Rates_Raw!$AF$5:$AF$464,Rates_Raw!$E$5:$E$464,""),"")</x:f>
      </x:c>
      <x:c r="K549" t="str">
        <x:f>IF(I549=1,_xlfn.XLOOKUP(H549,Rates_Raw!$AF$5:$AF$464,Rates_Raw!$F$5:$F$464,""),"")</x:f>
      </x:c>
      <x:c r="L549" s="50" t="str">
        <x:f>IF(I549=1,IFERROR(VALUE(SUBSTITUTE(_xlfn.XLOOKUP(H549,Rates_Raw!$AF$5:$AF$464,Rates_Raw!$L$5:$L$464,""),"$","")),""),"")</x:f>
      </x:c>
      <x:c r="M549" s="50" t="str">
        <x:f>IF(OR(G549="",L549=""),"",ROUND(G549-L549,4))</x:f>
      </x:c>
      <x:c r="N549" t="str">
        <x:f>IF(I549=0,"NO MATCH",IF(I549&gt;1,"AMBIGUOUS",IF(EXACT(TRIM(E549),TRIM(J549)),"EXACT","TITLE VARIANT")))</x:f>
        <x:v>NO MATCH</x:v>
      </x:c>
      <x:c r="O549" t="str">
        <x:f>IF(I549&lt;&gt;1,"NOT TESTED",IF(OR(G549="",L549=""),"MISSING",IF(ABS(M549)&lt;=Guide!$B$16,"PASS","REVIEW")))</x:f>
        <x:v>NOT TESTED</x:v>
      </x:c>
      <x:c r="P549" s="52" t="str">
        <x:f>IF(I549=1,IFERROR(VALUE(SUBSTITUTE(SUBSTITUTE(_xlfn.XLOOKUP(H549,Rates_Raw!$AF$5:$AF$464,Rates_Raw!$I$5:$I$464,""),"$",""),",","")),""),"")</x:f>
      </x:c>
      <x:c r="Q549" s="52" t="str">
        <x:f>IF(P549="","",P549*Guide!$B$15)</x:f>
      </x:c>
      <x:c r="R549" t="str">
        <x:f>IF(I549=0,"UNMATCHED",IF(I549&gt;1,"DUPLICATE KEY",IF(OR(N549="TITLE VARIANT",O549="REVIEW",O549="MISSING"),"REVIEW","VERIFIED")))</x:f>
        <x:v>UNMATCHED</x:v>
      </x:c>
      <x:c r="S549" s="46" t="str">
        <x:v>Not Reviewed</x:v>
      </x:c>
      <x:c r="T549" s="48"/>
    </x:row>
    <x:row r="550">
      <x:c r="A550" t="n">
        <x:f>Plan_Raw!A550</x:f>
        <x:v>19893</x:v>
      </x:c>
      <x:c r="B550" t="str">
        <x:f>Plan_Raw!D550</x:f>
        <x:v>9916</x:v>
      </x:c>
      <x:c r="C550" t="str">
        <x:f>LEFT(Plan_Raw!B550,10)</x:f>
        <x:v>2026-07-01</x:v>
      </x:c>
      <x:c r="D550" t="str">
        <x:f>Plan_Raw!F550</x:f>
        <x:v>SFMTA</x:v>
      </x:c>
      <x:c r="E550" t="str">
        <x:f>Plan_Raw!E550</x:f>
        <x:v>Public Svc Aide-Public Works</x:v>
      </x:c>
      <x:c r="F550" t="str">
        <x:f>Plan_Raw!C550</x:f>
        <x:v>9916D</x:v>
      </x:c>
      <x:c r="G550" s="50" t="n">
        <x:f>IF(Plan_Raw!G550="","",IFERROR(VALUE(Plan_Raw!G550),""))</x:f>
        <x:v>26.8</x:v>
      </x:c>
      <x:c r="H550" t="str">
        <x:f>Plan_Raw!AH550</x:f>
        <x:v>9916|SFMTA|2026-07-01</x:v>
      </x:c>
      <x:c r="I550" t="n">
        <x:f>COUNTIF(Rates_Raw!$AF$5:$AF$464,H550)</x:f>
        <x:v>0</x:v>
      </x:c>
      <x:c r="J550" t="str">
        <x:f>IF(I550=1,_xlfn.XLOOKUP(H550,Rates_Raw!$AF$5:$AF$464,Rates_Raw!$E$5:$E$464,""),"")</x:f>
      </x:c>
      <x:c r="K550" t="str">
        <x:f>IF(I550=1,_xlfn.XLOOKUP(H550,Rates_Raw!$AF$5:$AF$464,Rates_Raw!$F$5:$F$464,""),"")</x:f>
      </x:c>
      <x:c r="L550" s="50" t="str">
        <x:f>IF(I550=1,IFERROR(VALUE(SUBSTITUTE(_xlfn.XLOOKUP(H550,Rates_Raw!$AF$5:$AF$464,Rates_Raw!$L$5:$L$464,""),"$","")),""),"")</x:f>
      </x:c>
      <x:c r="M550" s="50" t="str">
        <x:f>IF(OR(G550="",L550=""),"",ROUND(G550-L550,4))</x:f>
      </x:c>
      <x:c r="N550" t="str">
        <x:f>IF(I550=0,"NO MATCH",IF(I550&gt;1,"AMBIGUOUS",IF(EXACT(TRIM(E550),TRIM(J550)),"EXACT","TITLE VARIANT")))</x:f>
        <x:v>NO MATCH</x:v>
      </x:c>
      <x:c r="O550" t="str">
        <x:f>IF(I550&lt;&gt;1,"NOT TESTED",IF(OR(G550="",L550=""),"MISSING",IF(ABS(M550)&lt;=Guide!$B$16,"PASS","REVIEW")))</x:f>
        <x:v>NOT TESTED</x:v>
      </x:c>
      <x:c r="P550" s="52" t="str">
        <x:f>IF(I550=1,IFERROR(VALUE(SUBSTITUTE(SUBSTITUTE(_xlfn.XLOOKUP(H550,Rates_Raw!$AF$5:$AF$464,Rates_Raw!$I$5:$I$464,""),"$",""),",","")),""),"")</x:f>
      </x:c>
      <x:c r="Q550" s="52" t="str">
        <x:f>IF(P550="","",P550*Guide!$B$15)</x:f>
      </x:c>
      <x:c r="R550" t="str">
        <x:f>IF(I550=0,"UNMATCHED",IF(I550&gt;1,"DUPLICATE KEY",IF(OR(N550="TITLE VARIANT",O550="REVIEW",O550="MISSING"),"REVIEW","VERIFIED")))</x:f>
        <x:v>UNMATCHED</x:v>
      </x:c>
      <x:c r="S550" s="46" t="str">
        <x:v>Not Reviewed</x:v>
      </x:c>
      <x:c r="T550" s="48"/>
    </x:row>
  </x:sheetData>
  <x:conditionalFormatting sqref="R5:R550">
    <x:cfRule type="expression" dxfId="0" priority="1">
      <x:formula>R5="REVIEW"</x:formula>
    </x:cfRule>
    <x:cfRule type="expression" dxfId="1" priority="2">
      <x:formula>R5="VERIFIED"</x:formula>
    </x:cfRule>
    <x:cfRule type="expression" dxfId="2" priority="3">
      <x:formula>R5="UNMATCHED"</x:formula>
    </x:cfRule>
  </x:conditionalFormatting>
  <x:conditionalFormatting sqref="O5:O550">
    <x:cfRule type="expression" dxfId="3" priority="4">
      <x:formula>O5="REVIEW"</x:formula>
    </x:cfRule>
  </x:conditionalFormatting>
  <x:conditionalFormatting sqref="I5:I550">
    <x:cfRule type="dataBar" priority="5">
      <x:dataBar>
        <x:cfvo type="min"/>
        <x:cfvo type="max"/>
        <x:color rgb="FF58A9A0"/>
      </x:dataBar>
      <x:extLst>
        <x:ext xmlns:x14="http://schemas.microsoft.com/office/spreadsheetml/2009/9/main" uri="{B025F937-C7B1-47D3-B67F-A62EFF666E3E}">
          <x14:id>{1C36D0C1-51AD-EB51-838E-16154F1A9020}</x14:id>
        </x:ext>
      </x:extLst>
    </x:cfRule>
  </x:conditionalFormatting>
  <x:dataValidations count="1">
    <x:dataValidation type="list" sqref="S5:S550">
      <x:formula1>"Not Reviewed,Needs Research,Resolved,Escalated"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C36D0C1-51AD-EB51-838E-16154F1A9020}">
            <x14:dataBar gradient="0">
              <x14:cfvo type="min"/>
              <x14:cfvo type="max"/>
              <x14:fillColor rgb="FF58A9A0"/>
            </x14:dataBar>
          </x14:cfRule>
          <xm:sqref>I5:I550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14" hidden="0" customWidth="1"/>
    <x:col min="4" max="4" width="12" hidden="0" customWidth="1"/>
    <x:col min="5" max="5" width="3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30" hidden="0" customWidth="1"/>
    <x:col min="33" max="33" width="34" hidden="0" customWidth="1"/>
    <x:col min="34" max="34" width="37" hidden="0" customWidth="1"/>
  </x:cols>
  <x:sheetData>
    <x:row r="1" ht="35" customHeight="1">
      <x:c r="A1" s="4" t="str">
        <x:v>SOURCE A  /  COMPENSATION 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</x:row>
    <x:row r="2" ht="29" customHeight="1">
      <x:c r="A2" s="10" t="str">
        <x:v>Original CSV fields retained verbatim; the last column is a computed matching key. Each row includes its original CSV line number.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</x:row>
    <x:row r="4" ht="31" customHeight="1">
      <x:c r="A4" s="17" t="str">
        <x:v>Source CSV row</x:v>
      </x:c>
      <x:c r="B4" s="17" t="str">
        <x:v>effectiveDate</x:v>
      </x:c>
      <x:c r="C4" s="17" t="str">
        <x:v>gradeId</x:v>
      </x:c>
      <x:c r="D4" s="17" t="str">
        <x:v>jobCode</x:v>
      </x:c>
      <x:c r="E4" s="17" t="str">
        <x:v>title</x:v>
      </x:c>
      <x:c r="F4" s="17" t="str">
        <x:v>setId</x:v>
      </x:c>
      <x:c r="G4" s="17" t="str">
        <x:v>step1</x:v>
      </x:c>
      <x:c r="H4" s="17" t="str">
        <x:v>step2</x:v>
      </x:c>
      <x:c r="I4" s="17" t="str">
        <x:v>step3</x:v>
      </x:c>
      <x:c r="J4" s="17" t="str">
        <x:v>step4</x:v>
      </x:c>
      <x:c r="K4" s="17" t="str">
        <x:v>step5</x:v>
      </x:c>
      <x:c r="L4" s="17" t="str">
        <x:v>step6</x:v>
      </x:c>
      <x:c r="M4" s="17" t="str">
        <x:v>step7</x:v>
      </x:c>
      <x:c r="N4" s="17" t="str">
        <x:v>step8</x:v>
      </x:c>
      <x:c r="O4" s="17" t="str">
        <x:v>step9</x:v>
      </x:c>
      <x:c r="P4" s="17" t="str">
        <x:v>step10</x:v>
      </x:c>
      <x:c r="Q4" s="17" t="str">
        <x:v>step11</x:v>
      </x:c>
      <x:c r="R4" s="17" t="str">
        <x:v>step12</x:v>
      </x:c>
      <x:c r="S4" s="17" t="str">
        <x:v>step13</x:v>
      </x:c>
      <x:c r="T4" s="17" t="str">
        <x:v>step14</x:v>
      </x:c>
      <x:c r="U4" s="17" t="str">
        <x:v>step15</x:v>
      </x:c>
      <x:c r="V4" s="17" t="str">
        <x:v>step16</x:v>
      </x:c>
      <x:c r="W4" s="17" t="str">
        <x:v>step17</x:v>
      </x:c>
      <x:c r="X4" s="17" t="str">
        <x:v>step18</x:v>
      </x:c>
      <x:c r="Y4" s="17" t="str">
        <x:v>step19</x:v>
      </x:c>
      <x:c r="Z4" s="17" t="str">
        <x:v>step20</x:v>
      </x:c>
      <x:c r="AA4" s="17" t="str">
        <x:v>rangeamin</x:v>
      </x:c>
      <x:c r="AB4" s="17" t="str">
        <x:v>rangeamax</x:v>
      </x:c>
      <x:c r="AC4" s="17" t="str">
        <x:v>rangebmin</x:v>
      </x:c>
      <x:c r="AD4" s="17" t="str">
        <x:v>rangebmax</x:v>
      </x:c>
      <x:c r="AE4" s="17" t="str">
        <x:v>rangecmin</x:v>
      </x:c>
      <x:c r="AF4" s="17" t="str">
        <x:v>rangecmax</x:v>
      </x:c>
      <x:c r="AG4" s="17" t="str">
        <x:v>notes</x:v>
      </x:c>
      <x:c r="AH4" s="17" t="str">
        <x:v>Composite key</x:v>
      </x:c>
    </x:row>
    <x:row r="5">
      <x:c r="A5" s="22" t="n">
        <x:v>2</x:v>
      </x:c>
      <x:c r="B5" t="str">
        <x:v>2020-07-01T00:00:00</x:v>
      </x:c>
      <x:c r="C5" t="str">
        <x:v>0140S</x:v>
      </x:c>
      <x:c r="D5" t="str">
        <x:v>0140</x:v>
      </x:c>
      <x:c r="E5" t="str">
        <x:v>Chief Of Department, (Fire Department)</x:v>
      </x:c>
      <x:c r="F5" t="str">
        <x:v>COMMN</x:v>
      </x:c>
      <x:c r="G5" t="str">
        <x:v>161.8875</x:v>
      </x:c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>
        <x:f>D5&amp;"|"&amp;UPPER(F5)&amp;"|"&amp;LEFT(B5,10)</x:f>
        <x:v>0140|COMMN|2020-07-01</x:v>
      </x:c>
    </x:row>
    <x:row r="6">
      <x:c r="A6" s="22" t="n">
        <x:v>6</x:v>
      </x:c>
      <x:c r="B6" t="str">
        <x:v>2024-01-06T00:00:00</x:v>
      </x:c>
      <x:c r="C6" t="str">
        <x:v>0140Y</x:v>
      </x:c>
      <x:c r="D6" t="str">
        <x:v>0140</x:v>
      </x:c>
      <x:c r="E6" t="str">
        <x:v>Chief Of Department, (Fire Department)</x:v>
      </x:c>
      <x:c r="F6" t="str">
        <x:v>COMMN</x:v>
      </x:c>
      <x:c r="G6" t="str">
        <x:v>185.4</x:v>
      </x:c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>
        <x:f>D6&amp;"|"&amp;UPPER(F6)&amp;"|"&amp;LEFT(B6,10)</x:f>
        <x:v>0140|COMMN|2024-01-06</x:v>
      </x:c>
    </x:row>
    <x:row r="7">
      <x:c r="A7" s="22" t="n">
        <x:v>14</x:v>
      </x:c>
      <x:c r="B7" t="str">
        <x:v>2024-01-06T00:00:00</x:v>
      </x:c>
      <x:c r="C7" t="str">
        <x:v>0140Y</x:v>
      </x:c>
      <x:c r="D7" t="str">
        <x:v>0140</x:v>
      </x:c>
      <x:c r="E7" t="str">
        <x:v>Chief Of Department, (Fire Department)</x:v>
      </x:c>
      <x:c r="F7" t="str">
        <x:v>SUPPRESSION</x:v>
      </x:c>
      <x:c r="G7" t="str">
        <x:v>152.2793</x:v>
      </x:c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>
        <x:f>D7&amp;"|"&amp;UPPER(F7)&amp;"|"&amp;LEFT(B7,10)</x:f>
        <x:v>0140|SUPPRESSION|2024-01-06</x:v>
      </x:c>
    </x:row>
    <x:row r="8">
      <x:c r="A8" s="22" t="n">
        <x:v>7</x:v>
      </x:c>
      <x:c r="B8" t="str">
        <x:v>2024-07-01T00:00:00</x:v>
      </x:c>
      <x:c r="C8" t="str">
        <x:v>0140Z</x:v>
      </x:c>
      <x:c r="D8" t="str">
        <x:v>0140</x:v>
      </x:c>
      <x:c r="E8" t="str">
        <x:v>Chief Of Department, (Fire Department)</x:v>
      </x:c>
      <x:c r="F8" t="str">
        <x:v>COMMN</x:v>
      </x:c>
      <x:c r="G8" t="str">
        <x:v>185.4</x:v>
      </x:c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>
        <x:f>D8&amp;"|"&amp;UPPER(F8)&amp;"|"&amp;LEFT(B8,10)</x:f>
        <x:v>0140|COMMN|2024-07-01</x:v>
      </x:c>
    </x:row>
    <x:row r="9">
      <x:c r="A9" s="22" t="n">
        <x:v>15</x:v>
      </x:c>
      <x:c r="B9" t="str">
        <x:v>2024-07-01T00:00:00</x:v>
      </x:c>
      <x:c r="C9" t="str">
        <x:v>0140Z</x:v>
      </x:c>
      <x:c r="D9" t="str">
        <x:v>0140</x:v>
      </x:c>
      <x:c r="E9" t="str">
        <x:v>Chief Of Department, (Fire Department)</x:v>
      </x:c>
      <x:c r="F9" t="str">
        <x:v>SUPPRESSION</x:v>
      </x:c>
      <x:c r="G9" t="str">
        <x:v>152.2793</x:v>
      </x:c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>
        <x:f>D9&amp;"|"&amp;UPPER(F9)&amp;"|"&amp;LEFT(B9,10)</x:f>
        <x:v>0140|SUPPRESSION|2024-07-01</x:v>
      </x:c>
    </x:row>
    <x:row r="10">
      <x:c r="A10" s="22" t="n">
        <x:v>8</x:v>
      </x:c>
      <x:c r="B10" t="str">
        <x:v>2025-01-04T00:00:00</x:v>
      </x:c>
      <x:c r="C10" t="str">
        <x:v>0140A</x:v>
      </x:c>
      <x:c r="D10" t="str">
        <x:v>0140</x:v>
      </x:c>
      <x:c r="E10" t="str">
        <x:v>Chief Of Department, (Fire Department)</x:v>
      </x:c>
      <x:c r="F10" t="str">
        <x:v>COMMN</x:v>
      </x:c>
      <x:c r="G10" t="str">
        <x:v>190.9625</x:v>
      </x:c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>
        <x:f>D10&amp;"|"&amp;UPPER(F10)&amp;"|"&amp;LEFT(B10,10)</x:f>
        <x:v>0140|COMMN|2025-01-04</x:v>
      </x:c>
    </x:row>
    <x:row r="11">
      <x:c r="A11" s="22" t="n">
        <x:v>16</x:v>
      </x:c>
      <x:c r="B11" t="str">
        <x:v>2025-01-04T00:00:00</x:v>
      </x:c>
      <x:c r="C11" t="str">
        <x:v>0140A</x:v>
      </x:c>
      <x:c r="D11" t="str">
        <x:v>0140</x:v>
      </x:c>
      <x:c r="E11" t="str">
        <x:v>Chief Of Department, (Fire Department)</x:v>
      </x:c>
      <x:c r="F11" t="str">
        <x:v>SUPPRESSION</x:v>
      </x:c>
      <x:c r="G11" t="str">
        <x:v>156.848</x:v>
      </x:c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>
        <x:f>D11&amp;"|"&amp;UPPER(F11)&amp;"|"&amp;LEFT(B11,10)</x:f>
        <x:v>0140|SUPPRESSION|2025-01-04</x:v>
      </x:c>
    </x:row>
    <x:row r="12">
      <x:c r="A12" s="22" t="n">
        <x:v>9</x:v>
      </x:c>
      <x:c r="B12" t="str">
        <x:v>2025-07-01T00:00:00</x:v>
      </x:c>
      <x:c r="C12" t="str">
        <x:v>0140B</x:v>
      </x:c>
      <x:c r="D12" t="str">
        <x:v>0140</x:v>
      </x:c>
      <x:c r="E12" t="str">
        <x:v>Chief, Fire Department</x:v>
      </x:c>
      <x:c r="F12" t="str">
        <x:v>COMMN</x:v>
      </x:c>
      <x:c r="G12" t="str">
        <x:v>196.6875</x:v>
      </x:c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>
        <x:f>D12&amp;"|"&amp;UPPER(F12)&amp;"|"&amp;LEFT(B12,10)</x:f>
        <x:v>0140|COMMN|2025-07-01</x:v>
      </x:c>
    </x:row>
    <x:row r="13">
      <x:c r="A13" s="22" t="n">
        <x:v>17</x:v>
      </x:c>
      <x:c r="B13" t="str">
        <x:v>2025-07-01T00:00:00</x:v>
      </x:c>
      <x:c r="C13" t="str">
        <x:v>0140B</x:v>
      </x:c>
      <x:c r="D13" t="str">
        <x:v>0140</x:v>
      </x:c>
      <x:c r="E13" t="str">
        <x:v>Chief, Fire Department</x:v>
      </x:c>
      <x:c r="F13" t="str">
        <x:v>SUPPRESSION</x:v>
      </x:c>
      <x:c r="G13" t="str">
        <x:v>161.5503</x:v>
      </x:c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>
        <x:f>D13&amp;"|"&amp;UPPER(F13)&amp;"|"&amp;LEFT(B13,10)</x:f>
        <x:v>0140|SUPPRESSION|2025-07-01</x:v>
      </x:c>
    </x:row>
    <x:row r="14">
      <x:c r="A14" s="22" t="n">
        <x:v>10</x:v>
      </x:c>
      <x:c r="B14" t="str">
        <x:v>2026-07-01T00:00:00</x:v>
      </x:c>
      <x:c r="C14" t="str">
        <x:v>0140D</x:v>
      </x:c>
      <x:c r="D14" t="str">
        <x:v>0140</x:v>
      </x:c>
      <x:c r="E14" t="str">
        <x:v>Chief, Fire Department</x:v>
      </x:c>
      <x:c r="F14" t="str">
        <x:v>COMMN</x:v>
      </x:c>
      <x:c r="G14" t="str">
        <x:v>200.625</x:v>
      </x:c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>
        <x:f>D14&amp;"|"&amp;UPPER(F14)&amp;"|"&amp;LEFT(B14,10)</x:f>
        <x:v>0140|COMMN|2026-07-01</x:v>
      </x:c>
    </x:row>
    <x:row r="15">
      <x:c r="A15" s="22" t="n">
        <x:v>18</x:v>
      </x:c>
      <x:c r="B15" t="str">
        <x:v>2026-07-01T00:00:00</x:v>
      </x:c>
      <x:c r="C15" t="str">
        <x:v>0140D</x:v>
      </x:c>
      <x:c r="D15" t="str">
        <x:v>0140</x:v>
      </x:c>
      <x:c r="E15" t="str">
        <x:v>Chief, Fire Department</x:v>
      </x:c>
      <x:c r="F15" t="str">
        <x:v>SUPPRESSION</x:v>
      </x:c>
      <x:c r="G15" t="str">
        <x:v>164.7844</x:v>
      </x:c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>
        <x:f>D15&amp;"|"&amp;UPPER(F15)&amp;"|"&amp;LEFT(B15,10)</x:f>
        <x:v>0140|SUPPRESSION|2026-07-01</x:v>
      </x:c>
    </x:row>
    <x:row r="16">
      <x:c r="A16" s="22" t="n">
        <x:v>23</x:v>
      </x:c>
      <x:c r="B16" t="str">
        <x:v>2024-01-06T00:00:00</x:v>
      </x:c>
      <x:c r="C16" t="str">
        <x:v>0145Y</x:v>
      </x:c>
      <x:c r="D16" t="str">
        <x:v>0145</x:v>
      </x:c>
      <x:c r="E16" t="str">
        <x:v>Chief of Department (Transitional), (Fire Department)</x:v>
      </x:c>
      <x:c r="F16" t="str">
        <x:v>COMMN</x:v>
      </x:c>
      <x:c r="G16" t="str">
        <x:v>185.4</x:v>
      </x:c>
      <x:c r="H16" t="str"/>
      <x:c r="I16" t="str"/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>
        <x:f>D16&amp;"|"&amp;UPPER(F16)&amp;"|"&amp;LEFT(B16,10)</x:f>
        <x:v>0145|COMMN|2024-01-06</x:v>
      </x:c>
    </x:row>
    <x:row r="17">
      <x:c r="A17" s="22" t="n">
        <x:v>30</x:v>
      </x:c>
      <x:c r="B17" t="str">
        <x:v>2024-01-06T00:00:00</x:v>
      </x:c>
      <x:c r="C17" t="str">
        <x:v>0145Y</x:v>
      </x:c>
      <x:c r="D17" t="str">
        <x:v>0145</x:v>
      </x:c>
      <x:c r="E17" t="str">
        <x:v>Chief of Department (Transitional), (Fire Department)</x:v>
      </x:c>
      <x:c r="F17" t="str">
        <x:v>SUPPRESSION</x:v>
      </x:c>
      <x:c r="G17" t="str">
        <x:v>152.2793</x:v>
      </x:c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>
        <x:f>D17&amp;"|"&amp;UPPER(F17)&amp;"|"&amp;LEFT(B17,10)</x:f>
        <x:v>0145|SUPPRESSION|2024-01-06</x:v>
      </x:c>
    </x:row>
    <x:row r="18">
      <x:c r="A18" s="22" t="n">
        <x:v>24</x:v>
      </x:c>
      <x:c r="B18" t="str">
        <x:v>2024-07-01T00:00:00</x:v>
      </x:c>
      <x:c r="C18" t="str">
        <x:v>0145Z</x:v>
      </x:c>
      <x:c r="D18" t="str">
        <x:v>0145</x:v>
      </x:c>
      <x:c r="E18" t="str">
        <x:v>Chief of Department (Transitional), (Fire Department)</x:v>
      </x:c>
      <x:c r="F18" t="str">
        <x:v>COMMN</x:v>
      </x:c>
      <x:c r="G18" t="str">
        <x:v>185.4</x:v>
      </x:c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>
        <x:f>D18&amp;"|"&amp;UPPER(F18)&amp;"|"&amp;LEFT(B18,10)</x:f>
        <x:v>0145|COMMN|2024-07-01</x:v>
      </x:c>
    </x:row>
    <x:row r="19">
      <x:c r="A19" s="22" t="n">
        <x:v>31</x:v>
      </x:c>
      <x:c r="B19" t="str">
        <x:v>2024-07-01T00:00:00</x:v>
      </x:c>
      <x:c r="C19" t="str">
        <x:v>0145Z</x:v>
      </x:c>
      <x:c r="D19" t="str">
        <x:v>0145</x:v>
      </x:c>
      <x:c r="E19" t="str">
        <x:v>Chief of Department (Transitional), (Fire Department)</x:v>
      </x:c>
      <x:c r="F19" t="str">
        <x:v>SUPPRESSION</x:v>
      </x:c>
      <x:c r="G19" t="str">
        <x:v>152.2793</x:v>
      </x:c>
      <x:c r="H19" t="str"/>
      <x:c r="I19" t="str"/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>
        <x:f>D19&amp;"|"&amp;UPPER(F19)&amp;"|"&amp;LEFT(B19,10)</x:f>
        <x:v>0145|SUPPRESSION|2024-07-01</x:v>
      </x:c>
    </x:row>
    <x:row r="20">
      <x:c r="A20" s="22" t="n">
        <x:v>25</x:v>
      </x:c>
      <x:c r="B20" t="str">
        <x:v>2025-01-04T00:00:00</x:v>
      </x:c>
      <x:c r="C20" t="str">
        <x:v>0145A</x:v>
      </x:c>
      <x:c r="D20" t="str">
        <x:v>0145</x:v>
      </x:c>
      <x:c r="E20" t="str">
        <x:v>Chief of Department (Transitional), (Fire Department)</x:v>
      </x:c>
      <x:c r="F20" t="str">
        <x:v>COMMN</x:v>
      </x:c>
      <x:c r="G20" t="str">
        <x:v>190.9625</x:v>
      </x:c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>
        <x:f>D20&amp;"|"&amp;UPPER(F20)&amp;"|"&amp;LEFT(B20,10)</x:f>
        <x:v>0145|COMMN|2025-01-04</x:v>
      </x:c>
    </x:row>
    <x:row r="21">
      <x:c r="A21" s="22" t="n">
        <x:v>32</x:v>
      </x:c>
      <x:c r="B21" t="str">
        <x:v>2025-01-04T00:00:00</x:v>
      </x:c>
      <x:c r="C21" t="str">
        <x:v>0145A</x:v>
      </x:c>
      <x:c r="D21" t="str">
        <x:v>0145</x:v>
      </x:c>
      <x:c r="E21" t="str">
        <x:v>Chief of Department (Transitional), (Fire Department)</x:v>
      </x:c>
      <x:c r="F21" t="str">
        <x:v>SUPPRESSION</x:v>
      </x:c>
      <x:c r="G21" t="str">
        <x:v>156.848</x:v>
      </x:c>
      <x:c r="H21" t="str"/>
      <x:c r="I21" t="str"/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>
        <x:f>D21&amp;"|"&amp;UPPER(F21)&amp;"|"&amp;LEFT(B21,10)</x:f>
        <x:v>0145|SUPPRESSION|2025-01-04</x:v>
      </x:c>
    </x:row>
    <x:row r="22">
      <x:c r="A22" s="22" t="n">
        <x:v>26</x:v>
      </x:c>
      <x:c r="B22" t="str">
        <x:v>2025-07-01T00:00:00</x:v>
      </x:c>
      <x:c r="C22" t="str">
        <x:v>0145B</x:v>
      </x:c>
      <x:c r="D22" t="str">
        <x:v>0145</x:v>
      </x:c>
      <x:c r="E22" t="str">
        <x:v>Chief (Transitional), FIR Dept</x:v>
      </x:c>
      <x:c r="F22" t="str">
        <x:v>COMMN</x:v>
      </x:c>
      <x:c r="G22" t="str">
        <x:v>196.6875</x:v>
      </x:c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>
        <x:f>D22&amp;"|"&amp;UPPER(F22)&amp;"|"&amp;LEFT(B22,10)</x:f>
        <x:v>0145|COMMN|2025-07-01</x:v>
      </x:c>
    </x:row>
    <x:row r="23">
      <x:c r="A23" s="22" t="n">
        <x:v>33</x:v>
      </x:c>
      <x:c r="B23" t="str">
        <x:v>2025-07-01T00:00:00</x:v>
      </x:c>
      <x:c r="C23" t="str">
        <x:v>0145B</x:v>
      </x:c>
      <x:c r="D23" t="str">
        <x:v>0145</x:v>
      </x:c>
      <x:c r="E23" t="str">
        <x:v>Chief (Transitional), FIR Dept</x:v>
      </x:c>
      <x:c r="F23" t="str">
        <x:v>SUPPRESSION</x:v>
      </x:c>
      <x:c r="G23" t="str">
        <x:v>161.5503</x:v>
      </x:c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>
        <x:f>D23&amp;"|"&amp;UPPER(F23)&amp;"|"&amp;LEFT(B23,10)</x:f>
        <x:v>0145|SUPPRESSION|2025-07-01</x:v>
      </x:c>
    </x:row>
    <x:row r="24">
      <x:c r="A24" s="22" t="n">
        <x:v>27</x:v>
      </x:c>
      <x:c r="B24" t="str">
        <x:v>2026-07-01T00:00:00</x:v>
      </x:c>
      <x:c r="C24" t="str">
        <x:v>0145D</x:v>
      </x:c>
      <x:c r="D24" t="str">
        <x:v>0145</x:v>
      </x:c>
      <x:c r="E24" t="str">
        <x:v>Chief (Transitional), FIR Dept</x:v>
      </x:c>
      <x:c r="F24" t="str">
        <x:v>COMMN</x:v>
      </x:c>
      <x:c r="G24" t="str">
        <x:v>200.625</x:v>
      </x:c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>
        <x:f>D24&amp;"|"&amp;UPPER(F24)&amp;"|"&amp;LEFT(B24,10)</x:f>
        <x:v>0145|COMMN|2026-07-01</x:v>
      </x:c>
    </x:row>
    <x:row r="25">
      <x:c r="A25" s="22" t="n">
        <x:v>34</x:v>
      </x:c>
      <x:c r="B25" t="str">
        <x:v>2026-07-01T00:00:00</x:v>
      </x:c>
      <x:c r="C25" t="str">
        <x:v>0145D</x:v>
      </x:c>
      <x:c r="D25" t="str">
        <x:v>0145</x:v>
      </x:c>
      <x:c r="E25" t="str">
        <x:v>Chief (Transitional), FIR Dept</x:v>
      </x:c>
      <x:c r="F25" t="str">
        <x:v>SUPPRESSION</x:v>
      </x:c>
      <x:c r="G25" t="str">
        <x:v>164.7844</x:v>
      </x:c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>
        <x:f>D25&amp;"|"&amp;UPPER(F25)&amp;"|"&amp;LEFT(B25,10)</x:f>
        <x:v>0145|SUPPRESSION|2026-07-01</x:v>
      </x:c>
    </x:row>
    <x:row r="26">
      <x:c r="A26" s="22" t="n">
        <x:v>35</x:v>
      </x:c>
      <x:c r="B26" t="str">
        <x:v>2020-07-01T00:00:00</x:v>
      </x:c>
      <x:c r="C26" t="str">
        <x:v>0150S</x:v>
      </x:c>
      <x:c r="D26" t="str">
        <x:v>0150</x:v>
      </x:c>
      <x:c r="E26" t="str">
        <x:v>Deputy Chief Of Department, (Fire Department)</x:v>
      </x:c>
      <x:c r="F26" t="str">
        <x:v>COMMN</x:v>
      </x:c>
      <x:c r="G26" t="str">
        <x:v>139.75</x:v>
      </x:c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>
        <x:f>D26&amp;"|"&amp;UPPER(F26)&amp;"|"&amp;LEFT(B26,10)</x:f>
        <x:v>0150|COMMN|2020-07-01</x:v>
      </x:c>
    </x:row>
    <x:row r="27">
      <x:c r="A27" s="22" t="n">
        <x:v>39</x:v>
      </x:c>
      <x:c r="B27" t="str">
        <x:v>2024-01-06T00:00:00</x:v>
      </x:c>
      <x:c r="C27" t="str">
        <x:v>0150Y</x:v>
      </x:c>
      <x:c r="D27" t="str">
        <x:v>0150</x:v>
      </x:c>
      <x:c r="E27" t="str">
        <x:v>Deputy Chief Of Department, (Fire Department)</x:v>
      </x:c>
      <x:c r="F27" t="str">
        <x:v>COMMN</x:v>
      </x:c>
      <x:c r="G27" t="str">
        <x:v>160.0375</x:v>
      </x:c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>
        <x:f>D27&amp;"|"&amp;UPPER(F27)&amp;"|"&amp;LEFT(B27,10)</x:f>
        <x:v>0150|COMMN|2024-01-06</x:v>
      </x:c>
    </x:row>
    <x:row r="28">
      <x:c r="A28" s="22" t="n">
        <x:v>47</x:v>
      </x:c>
      <x:c r="B28" t="str">
        <x:v>2024-01-06T00:00:00</x:v>
      </x:c>
      <x:c r="C28" t="str">
        <x:v>0150Y</x:v>
      </x:c>
      <x:c r="D28" t="str">
        <x:v>0150</x:v>
      </x:c>
      <x:c r="E28" t="str">
        <x:v>Deputy Chief Of Department, (Fire Department)</x:v>
      </x:c>
      <x:c r="F28" t="str">
        <x:v>SUPPRESSION</x:v>
      </x:c>
      <x:c r="G28" t="str">
        <x:v>131.4476</x:v>
      </x:c>
      <x:c r="H28" t="str"/>
      <x:c r="I28" t="str"/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/>
      <x:c r="AG28" t="str"/>
      <x:c r="AH28" t="str">
        <x:f>D28&amp;"|"&amp;UPPER(F28)&amp;"|"&amp;LEFT(B28,10)</x:f>
        <x:v>0150|SUPPRESSION|2024-01-06</x:v>
      </x:c>
    </x:row>
    <x:row r="29">
      <x:c r="A29" s="22" t="n">
        <x:v>40</x:v>
      </x:c>
      <x:c r="B29" t="str">
        <x:v>2024-07-01T00:00:00</x:v>
      </x:c>
      <x:c r="C29" t="str">
        <x:v>0150Z</x:v>
      </x:c>
      <x:c r="D29" t="str">
        <x:v>0150</x:v>
      </x:c>
      <x:c r="E29" t="str">
        <x:v>Deputy Chief Of Department, (Fire Department)</x:v>
      </x:c>
      <x:c r="F29" t="str">
        <x:v>COMMN</x:v>
      </x:c>
      <x:c r="G29" t="str">
        <x:v>160.0375</x:v>
      </x:c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t="str">
        <x:f>D29&amp;"|"&amp;UPPER(F29)&amp;"|"&amp;LEFT(B29,10)</x:f>
        <x:v>0150|COMMN|2024-07-01</x:v>
      </x:c>
    </x:row>
    <x:row r="30">
      <x:c r="A30" s="22" t="n">
        <x:v>48</x:v>
      </x:c>
      <x:c r="B30" t="str">
        <x:v>2024-07-01T00:00:00</x:v>
      </x:c>
      <x:c r="C30" t="str">
        <x:v>0150Z</x:v>
      </x:c>
      <x:c r="D30" t="str">
        <x:v>0150</x:v>
      </x:c>
      <x:c r="E30" t="str">
        <x:v>Deputy Chief Of Department, (Fire Department)</x:v>
      </x:c>
      <x:c r="F30" t="str">
        <x:v>SUPPRESSION</x:v>
      </x:c>
      <x:c r="G30" t="str">
        <x:v>131.4476</x:v>
      </x:c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/>
      <x:c r="AG30" t="str"/>
      <x:c r="AH30" t="str">
        <x:f>D30&amp;"|"&amp;UPPER(F30)&amp;"|"&amp;LEFT(B30,10)</x:f>
        <x:v>0150|SUPPRESSION|2024-07-01</x:v>
      </x:c>
    </x:row>
    <x:row r="31">
      <x:c r="A31" s="22" t="n">
        <x:v>41</x:v>
      </x:c>
      <x:c r="B31" t="str">
        <x:v>2025-01-04T00:00:00</x:v>
      </x:c>
      <x:c r="C31" t="str">
        <x:v>0150A</x:v>
      </x:c>
      <x:c r="D31" t="str">
        <x:v>0150</x:v>
      </x:c>
      <x:c r="E31" t="str">
        <x:v>Deputy Chief Of Department, (Fire Department)</x:v>
      </x:c>
      <x:c r="F31" t="str">
        <x:v>COMMN</x:v>
      </x:c>
      <x:c r="G31" t="str">
        <x:v>164.8375</x:v>
      </x:c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>
        <x:f>D31&amp;"|"&amp;UPPER(F31)&amp;"|"&amp;LEFT(B31,10)</x:f>
        <x:v>0150|COMMN|2025-01-04</x:v>
      </x:c>
    </x:row>
    <x:row r="32">
      <x:c r="A32" s="22" t="n">
        <x:v>49</x:v>
      </x:c>
      <x:c r="B32" t="str">
        <x:v>2025-01-04T00:00:00</x:v>
      </x:c>
      <x:c r="C32" t="str">
        <x:v>0150A</x:v>
      </x:c>
      <x:c r="D32" t="str">
        <x:v>0150</x:v>
      </x:c>
      <x:c r="E32" t="str">
        <x:v>Deputy Chief Of Department, (Fire Department)</x:v>
      </x:c>
      <x:c r="F32" t="str">
        <x:v>SUPPRESSION</x:v>
      </x:c>
      <x:c r="G32" t="str">
        <x:v>135.3901</x:v>
      </x:c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/>
      <x:c r="AG32" t="str"/>
      <x:c r="AH32" t="str">
        <x:f>D32&amp;"|"&amp;UPPER(F32)&amp;"|"&amp;LEFT(B32,10)</x:f>
        <x:v>0150|SUPPRESSION|2025-01-04</x:v>
      </x:c>
    </x:row>
    <x:row r="33">
      <x:c r="A33" s="22" t="n">
        <x:v>42</x:v>
      </x:c>
      <x:c r="B33" t="str">
        <x:v>2025-07-01T00:00:00</x:v>
      </x:c>
      <x:c r="C33" t="str">
        <x:v>0150B</x:v>
      </x:c>
      <x:c r="D33" t="str">
        <x:v>0150</x:v>
      </x:c>
      <x:c r="E33" t="str">
        <x:v>Dep Chf of Dept (Fire Dept)</x:v>
      </x:c>
      <x:c r="F33" t="str">
        <x:v>COMMN</x:v>
      </x:c>
      <x:c r="G33" t="str">
        <x:v>169.7875</x:v>
      </x:c>
      <x:c r="H33" t="str"/>
      <x:c r="I33" t="str"/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>
        <x:f>D33&amp;"|"&amp;UPPER(F33)&amp;"|"&amp;LEFT(B33,10)</x:f>
        <x:v>0150|COMMN|2025-07-01</x:v>
      </x:c>
    </x:row>
    <x:row r="34">
      <x:c r="A34" s="22" t="n">
        <x:v>50</x:v>
      </x:c>
      <x:c r="B34" t="str">
        <x:v>2025-07-01T00:00:00</x:v>
      </x:c>
      <x:c r="C34" t="str">
        <x:v>0150B</x:v>
      </x:c>
      <x:c r="D34" t="str">
        <x:v>0150</x:v>
      </x:c>
      <x:c r="E34" t="str">
        <x:v>Dep Chf of Dept (Fire Dept)</x:v>
      </x:c>
      <x:c r="F34" t="str">
        <x:v>SUPPRESSION</x:v>
      </x:c>
      <x:c r="G34" t="str">
        <x:v>139.4559</x:v>
      </x:c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>
        <x:f>D34&amp;"|"&amp;UPPER(F34)&amp;"|"&amp;LEFT(B34,10)</x:f>
        <x:v>0150|SUPPRESSION|2025-07-01</x:v>
      </x:c>
    </x:row>
    <x:row r="35">
      <x:c r="A35" s="22" t="n">
        <x:v>43</x:v>
      </x:c>
      <x:c r="B35" t="str">
        <x:v>2026-07-01T00:00:00</x:v>
      </x:c>
      <x:c r="C35" t="str">
        <x:v>0150D</x:v>
      </x:c>
      <x:c r="D35" t="str">
        <x:v>0150</x:v>
      </x:c>
      <x:c r="E35" t="str">
        <x:v>Dep Chf of Dept (Fire Dept)</x:v>
      </x:c>
      <x:c r="F35" t="str">
        <x:v>COMMN</x:v>
      </x:c>
      <x:c r="G35" t="str">
        <x:v>173.1875</x:v>
      </x:c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>
        <x:f>D35&amp;"|"&amp;UPPER(F35)&amp;"|"&amp;LEFT(B35,10)</x:f>
        <x:v>0150|COMMN|2026-07-01</x:v>
      </x:c>
    </x:row>
    <x:row r="36">
      <x:c r="A36" s="22" t="n">
        <x:v>51</x:v>
      </x:c>
      <x:c r="B36" t="str">
        <x:v>2026-07-01T00:00:00</x:v>
      </x:c>
      <x:c r="C36" t="str">
        <x:v>0150D</x:v>
      </x:c>
      <x:c r="D36" t="str">
        <x:v>0150</x:v>
      </x:c>
      <x:c r="E36" t="str">
        <x:v>Dep Chf of Dept (Fire Dept)</x:v>
      </x:c>
      <x:c r="F36" t="str">
        <x:v>SUPPRESSION</x:v>
      </x:c>
      <x:c r="G36" t="str">
        <x:v>142.2485</x:v>
      </x:c>
      <x:c r="H36" t="str"/>
      <x:c r="I36" t="str"/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>
        <x:f>D36&amp;"|"&amp;UPPER(F36)&amp;"|"&amp;LEFT(B36,10)</x:f>
        <x:v>0150|SUPPRESSION|2026-07-01</x:v>
      </x:c>
    </x:row>
    <x:row r="37">
      <x:c r="A37" s="22" t="n">
        <x:v>56</x:v>
      </x:c>
      <x:c r="B37" t="str">
        <x:v>2024-01-06T00:00:00</x:v>
      </x:c>
      <x:c r="C37" t="str">
        <x:v>0380Y</x:v>
      </x:c>
      <x:c r="D37" t="str">
        <x:v>0380</x:v>
      </x:c>
      <x:c r="E37" t="str">
        <x:v>Inspector, (Police Department)</x:v>
      </x:c>
      <x:c r="F37" t="str">
        <x:v>COMMN</x:v>
      </x:c>
      <x:c r="G37" t="str">
        <x:v>79.9625</x:v>
      </x:c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>
        <x:f>D37&amp;"|"&amp;UPPER(F37)&amp;"|"&amp;LEFT(B37,10)</x:f>
        <x:v>0380|COMMN|2024-01-06</x:v>
      </x:c>
    </x:row>
    <x:row r="38">
      <x:c r="A38" s="22" t="n">
        <x:v>57</x:v>
      </x:c>
      <x:c r="B38" t="str">
        <x:v>2024-07-01T00:00:00</x:v>
      </x:c>
      <x:c r="C38" t="str">
        <x:v>0380Z</x:v>
      </x:c>
      <x:c r="D38" t="str">
        <x:v>0380</x:v>
      </x:c>
      <x:c r="E38" t="str">
        <x:v>Inspector, (Police Department)</x:v>
      </x:c>
      <x:c r="F38" t="str">
        <x:v>COMMN</x:v>
      </x:c>
      <x:c r="G38" t="str">
        <x:v>79.9625</x:v>
      </x:c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>
        <x:f>D38&amp;"|"&amp;UPPER(F38)&amp;"|"&amp;LEFT(B38,10)</x:f>
        <x:v>0380|COMMN|2024-07-01</x:v>
      </x:c>
    </x:row>
    <x:row r="39">
      <x:c r="A39" s="22" t="n">
        <x:v>58</x:v>
      </x:c>
      <x:c r="B39" t="str">
        <x:v>2025-01-04T00:00:00</x:v>
      </x:c>
      <x:c r="C39" t="str">
        <x:v>0380A</x:v>
      </x:c>
      <x:c r="D39" t="str">
        <x:v>0380</x:v>
      </x:c>
      <x:c r="E39" t="str">
        <x:v>Inspector, (Police Department)</x:v>
      </x:c>
      <x:c r="F39" t="str">
        <x:v>COMMN</x:v>
      </x:c>
      <x:c r="G39" t="str">
        <x:v>82.3625</x:v>
      </x:c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>
        <x:f>D39&amp;"|"&amp;UPPER(F39)&amp;"|"&amp;LEFT(B39,10)</x:f>
        <x:v>0380|COMMN|2025-01-04</x:v>
      </x:c>
    </x:row>
    <x:row r="40">
      <x:c r="A40" s="22" t="n">
        <x:v>59</x:v>
      </x:c>
      <x:c r="B40" t="str">
        <x:v>2025-07-01T00:00:00</x:v>
      </x:c>
      <x:c r="C40" t="str">
        <x:v>0380B</x:v>
      </x:c>
      <x:c r="D40" t="str">
        <x:v>0380</x:v>
      </x:c>
      <x:c r="E40" t="str">
        <x:v>Inspector, (Police Department)</x:v>
      </x:c>
      <x:c r="F40" t="str">
        <x:v>COMMN</x:v>
      </x:c>
      <x:c r="G40" t="str">
        <x:v>84.8375</x:v>
      </x:c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t="str"/>
      <x:c r="AD40" t="str"/>
      <x:c r="AE40" t="str"/>
      <x:c r="AF40" t="str"/>
      <x:c r="AG40" t="str"/>
      <x:c r="AH40" t="str">
        <x:f>D40&amp;"|"&amp;UPPER(F40)&amp;"|"&amp;LEFT(B40,10)</x:f>
        <x:v>0380|COMMN|2025-07-01</x:v>
      </x:c>
    </x:row>
    <x:row r="41">
      <x:c r="A41" s="22" t="n">
        <x:v>60</x:v>
      </x:c>
      <x:c r="B41" t="str">
        <x:v>2026-07-01T00:00:00</x:v>
      </x:c>
      <x:c r="C41" t="str">
        <x:v>0380D</x:v>
      </x:c>
      <x:c r="D41" t="str">
        <x:v>0380</x:v>
      </x:c>
      <x:c r="E41" t="str">
        <x:v>Inspector, (Police Department)</x:v>
      </x:c>
      <x:c r="F41" t="str">
        <x:v>COMMN</x:v>
      </x:c>
      <x:c r="G41" t="str">
        <x:v>86.5375</x:v>
      </x:c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>
        <x:f>D41&amp;"|"&amp;UPPER(F41)&amp;"|"&amp;LEFT(B41,10)</x:f>
        <x:v>0380|COMMN|2026-07-01</x:v>
      </x:c>
    </x:row>
    <x:row r="42">
      <x:c r="A42" s="22" t="n">
        <x:v>61</x:v>
      </x:c>
      <x:c r="B42" t="str">
        <x:v>2020-07-01T00:00:00</x:v>
      </x:c>
      <x:c r="C42" t="str">
        <x:v>0381S</x:v>
      </x:c>
      <x:c r="D42" t="str">
        <x:v>0381</x:v>
      </x:c>
      <x:c r="E42" t="str">
        <x:v>Inspector II</x:v>
      </x:c>
      <x:c r="F42" t="str">
        <x:v>COMMN</x:v>
      </x:c>
      <x:c r="G42" t="str">
        <x:v>74.0125</x:v>
      </x:c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>
        <x:f>D42&amp;"|"&amp;UPPER(F42)&amp;"|"&amp;LEFT(B42,10)</x:f>
        <x:v>0381|COMMN|2020-07-01</x:v>
      </x:c>
    </x:row>
    <x:row r="43">
      <x:c r="A43" s="22" t="n">
        <x:v>65</x:v>
      </x:c>
      <x:c r="B43" t="str">
        <x:v>2024-01-06T00:00:00</x:v>
      </x:c>
      <x:c r="C43" t="str">
        <x:v>0381Y</x:v>
      </x:c>
      <x:c r="D43" t="str">
        <x:v>0381</x:v>
      </x:c>
      <x:c r="E43" t="str">
        <x:v>Inspector II</x:v>
      </x:c>
      <x:c r="F43" t="str">
        <x:v>COMMN</x:v>
      </x:c>
      <x:c r="G43" t="str">
        <x:v>84.7625</x:v>
      </x:c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/>
      <x:c r="AG43" t="str"/>
      <x:c r="AH43" t="str">
        <x:f>D43&amp;"|"&amp;UPPER(F43)&amp;"|"&amp;LEFT(B43,10)</x:f>
        <x:v>0381|COMMN|2024-01-06</x:v>
      </x:c>
    </x:row>
    <x:row r="44">
      <x:c r="A44" s="22" t="n">
        <x:v>66</x:v>
      </x:c>
      <x:c r="B44" t="str">
        <x:v>2024-07-01T00:00:00</x:v>
      </x:c>
      <x:c r="C44" t="str">
        <x:v>0381Z</x:v>
      </x:c>
      <x:c r="D44" t="str">
        <x:v>0381</x:v>
      </x:c>
      <x:c r="E44" t="str">
        <x:v>Inspector II</x:v>
      </x:c>
      <x:c r="F44" t="str">
        <x:v>COMMN</x:v>
      </x:c>
      <x:c r="G44" t="str">
        <x:v>84.7625</x:v>
      </x:c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>
        <x:f>D44&amp;"|"&amp;UPPER(F44)&amp;"|"&amp;LEFT(B44,10)</x:f>
        <x:v>0381|COMMN|2024-07-01</x:v>
      </x:c>
    </x:row>
    <x:row r="45">
      <x:c r="A45" s="22" t="n">
        <x:v>67</x:v>
      </x:c>
      <x:c r="B45" t="str">
        <x:v>2025-01-04T00:00:00</x:v>
      </x:c>
      <x:c r="C45" t="str">
        <x:v>0381A</x:v>
      </x:c>
      <x:c r="D45" t="str">
        <x:v>0381</x:v>
      </x:c>
      <x:c r="E45" t="str">
        <x:v>Inspector II</x:v>
      </x:c>
      <x:c r="F45" t="str">
        <x:v>COMMN</x:v>
      </x:c>
      <x:c r="G45" t="str">
        <x:v>87.3</x:v>
      </x:c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>
        <x:f>D45&amp;"|"&amp;UPPER(F45)&amp;"|"&amp;LEFT(B45,10)</x:f>
        <x:v>0381|COMMN|2025-01-04</x:v>
      </x:c>
    </x:row>
    <x:row r="46">
      <x:c r="A46" s="22" t="n">
        <x:v>68</x:v>
      </x:c>
      <x:c r="B46" t="str">
        <x:v>2025-07-01T00:00:00</x:v>
      </x:c>
      <x:c r="C46" t="str">
        <x:v>0381B</x:v>
      </x:c>
      <x:c r="D46" t="str">
        <x:v>0381</x:v>
      </x:c>
      <x:c r="E46" t="str">
        <x:v>Inspector 2</x:v>
      </x:c>
      <x:c r="F46" t="str">
        <x:v>COMMN</x:v>
      </x:c>
      <x:c r="G46" t="str">
        <x:v>89.925</x:v>
      </x:c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t="str"/>
      <x:c r="AD46" t="str"/>
      <x:c r="AE46" t="str"/>
      <x:c r="AF46" t="str"/>
      <x:c r="AG46" t="str"/>
      <x:c r="AH46" t="str">
        <x:f>D46&amp;"|"&amp;UPPER(F46)&amp;"|"&amp;LEFT(B46,10)</x:f>
        <x:v>0381|COMMN|2025-07-01</x:v>
      </x:c>
    </x:row>
    <x:row r="47">
      <x:c r="A47" s="22" t="n">
        <x:v>69</x:v>
      </x:c>
      <x:c r="B47" t="str">
        <x:v>2026-07-01T00:00:00</x:v>
      </x:c>
      <x:c r="C47" t="str">
        <x:v>0381D</x:v>
      </x:c>
      <x:c r="D47" t="str">
        <x:v>0381</x:v>
      </x:c>
      <x:c r="E47" t="str">
        <x:v>Inspector 2</x:v>
      </x:c>
      <x:c r="F47" t="str">
        <x:v>COMMN</x:v>
      </x:c>
      <x:c r="G47" t="str">
        <x:v>91.725</x:v>
      </x:c>
      <x:c r="H47" t="str"/>
      <x:c r="I47" t="str"/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>
        <x:f>D47&amp;"|"&amp;UPPER(F47)&amp;"|"&amp;LEFT(B47,10)</x:f>
        <x:v>0381|COMMN|2026-07-01</x:v>
      </x:c>
    </x:row>
    <x:row r="48">
      <x:c r="A48" s="22" t="n">
        <x:v>70</x:v>
      </x:c>
      <x:c r="B48" t="str">
        <x:v>2020-07-01T00:00:00</x:v>
      </x:c>
      <x:c r="C48" t="str">
        <x:v>0382S</x:v>
      </x:c>
      <x:c r="D48" t="str">
        <x:v>0382</x:v>
      </x:c>
      <x:c r="E48" t="str">
        <x:v>Inspector III</x:v>
      </x:c>
      <x:c r="F48" t="str">
        <x:v>COMMN</x:v>
      </x:c>
      <x:c r="G48" t="str">
        <x:v>75.425</x:v>
      </x:c>
      <x:c r="H48" t="str"/>
      <x:c r="I48" t="str"/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>
        <x:f>D48&amp;"|"&amp;UPPER(F48)&amp;"|"&amp;LEFT(B48,10)</x:f>
        <x:v>0382|COMMN|2020-07-01</x:v>
      </x:c>
    </x:row>
    <x:row r="49">
      <x:c r="A49" s="22" t="n">
        <x:v>74</x:v>
      </x:c>
      <x:c r="B49" t="str">
        <x:v>2024-01-06T00:00:00</x:v>
      </x:c>
      <x:c r="C49" t="str">
        <x:v>0382Y</x:v>
      </x:c>
      <x:c r="D49" t="str">
        <x:v>0382</x:v>
      </x:c>
      <x:c r="E49" t="str">
        <x:v>Inspector III</x:v>
      </x:c>
      <x:c r="F49" t="str">
        <x:v>COMMN</x:v>
      </x:c>
      <x:c r="G49" t="str">
        <x:v>86.375</x:v>
      </x:c>
      <x:c r="H49" t="str"/>
      <x:c r="I49" t="str"/>
      <x:c r="J49" t="str"/>
      <x:c r="K49" t="str"/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t="str"/>
      <x:c r="AD49" t="str"/>
      <x:c r="AE49" t="str"/>
      <x:c r="AF49" t="str"/>
      <x:c r="AG49" t="str"/>
      <x:c r="AH49" t="str">
        <x:f>D49&amp;"|"&amp;UPPER(F49)&amp;"|"&amp;LEFT(B49,10)</x:f>
        <x:v>0382|COMMN|2024-01-06</x:v>
      </x:c>
    </x:row>
    <x:row r="50">
      <x:c r="A50" s="22" t="n">
        <x:v>75</x:v>
      </x:c>
      <x:c r="B50" t="str">
        <x:v>2024-07-01T00:00:00</x:v>
      </x:c>
      <x:c r="C50" t="str">
        <x:v>0382Z</x:v>
      </x:c>
      <x:c r="D50" t="str">
        <x:v>0382</x:v>
      </x:c>
      <x:c r="E50" t="str">
        <x:v>Inspector III</x:v>
      </x:c>
      <x:c r="F50" t="str">
        <x:v>COMMN</x:v>
      </x:c>
      <x:c r="G50" t="str">
        <x:v>86.375</x:v>
      </x:c>
      <x:c r="H50" t="str"/>
      <x:c r="I50" t="str"/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>
        <x:f>D50&amp;"|"&amp;UPPER(F50)&amp;"|"&amp;LEFT(B50,10)</x:f>
        <x:v>0382|COMMN|2024-07-01</x:v>
      </x:c>
    </x:row>
    <x:row r="51">
      <x:c r="A51" s="22" t="n">
        <x:v>76</x:v>
      </x:c>
      <x:c r="B51" t="str">
        <x:v>2025-01-04T00:00:00</x:v>
      </x:c>
      <x:c r="C51" t="str">
        <x:v>0382A</x:v>
      </x:c>
      <x:c r="D51" t="str">
        <x:v>0382</x:v>
      </x:c>
      <x:c r="E51" t="str">
        <x:v>Inspector III</x:v>
      </x:c>
      <x:c r="F51" t="str">
        <x:v>COMMN</x:v>
      </x:c>
      <x:c r="G51" t="str">
        <x:v>88.9625</x:v>
      </x:c>
      <x:c r="H51" t="str"/>
      <x:c r="I51" t="str"/>
      <x:c r="J51" t="str"/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t="str"/>
      <x:c r="AD51" t="str"/>
      <x:c r="AE51" t="str"/>
      <x:c r="AF51" t="str"/>
      <x:c r="AG51" t="str"/>
      <x:c r="AH51" t="str">
        <x:f>D51&amp;"|"&amp;UPPER(F51)&amp;"|"&amp;LEFT(B51,10)</x:f>
        <x:v>0382|COMMN|2025-01-04</x:v>
      </x:c>
    </x:row>
    <x:row r="52">
      <x:c r="A52" s="22" t="n">
        <x:v>77</x:v>
      </x:c>
      <x:c r="B52" t="str">
        <x:v>2025-07-01T00:00:00</x:v>
      </x:c>
      <x:c r="C52" t="str">
        <x:v>0382B</x:v>
      </x:c>
      <x:c r="D52" t="str">
        <x:v>0382</x:v>
      </x:c>
      <x:c r="E52" t="str">
        <x:v>Inspector 3</x:v>
      </x:c>
      <x:c r="F52" t="str">
        <x:v>COMMN</x:v>
      </x:c>
      <x:c r="G52" t="str">
        <x:v>91.6375</x:v>
      </x:c>
      <x:c r="H52" t="str"/>
      <x:c r="I52" t="str"/>
      <x:c r="J52" t="str"/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t="str"/>
      <x:c r="AD52" t="str"/>
      <x:c r="AE52" t="str"/>
      <x:c r="AF52" t="str"/>
      <x:c r="AG52" t="str"/>
      <x:c r="AH52" t="str">
        <x:f>D52&amp;"|"&amp;UPPER(F52)&amp;"|"&amp;LEFT(B52,10)</x:f>
        <x:v>0382|COMMN|2025-07-01</x:v>
      </x:c>
    </x:row>
    <x:row r="53">
      <x:c r="A53" s="22" t="n">
        <x:v>78</x:v>
      </x:c>
      <x:c r="B53" t="str">
        <x:v>2026-07-01T00:00:00</x:v>
      </x:c>
      <x:c r="C53" t="str">
        <x:v>0382D</x:v>
      </x:c>
      <x:c r="D53" t="str">
        <x:v>0382</x:v>
      </x:c>
      <x:c r="E53" t="str">
        <x:v>Inspector 3</x:v>
      </x:c>
      <x:c r="F53" t="str">
        <x:v>COMMN</x:v>
      </x:c>
      <x:c r="G53" t="str">
        <x:v>93.475</x:v>
      </x:c>
      <x:c r="H53" t="str"/>
      <x:c r="I53" t="str"/>
      <x:c r="J53" t="str"/>
      <x:c r="K53" t="str"/>
      <x:c r="L53" t="str"/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  <x:c r="X53" t="str"/>
      <x:c r="Y53" t="str"/>
      <x:c r="Z53" t="str"/>
      <x:c r="AA53" t="str"/>
      <x:c r="AB53" t="str"/>
      <x:c r="AC53" t="str"/>
      <x:c r="AD53" t="str"/>
      <x:c r="AE53" t="str"/>
      <x:c r="AF53" t="str"/>
      <x:c r="AG53" t="str"/>
      <x:c r="AH53" t="str">
        <x:f>D53&amp;"|"&amp;UPPER(F53)&amp;"|"&amp;LEFT(B53,10)</x:f>
        <x:v>0382|COMMN|2026-07-01</x:v>
      </x:c>
    </x:row>
    <x:row r="54">
      <x:c r="A54" s="22" t="n">
        <x:v>79</x:v>
      </x:c>
      <x:c r="B54" t="str">
        <x:v>2025-07-01T00:00:00</x:v>
      </x:c>
      <x:c r="C54" t="str">
        <x:v>0385B</x:v>
      </x:c>
      <x:c r="D54" t="str">
        <x:v>0385</x:v>
      </x:c>
      <x:c r="E54" t="str">
        <x:v>Chief of Police (Transitional)</x:v>
      </x:c>
      <x:c r="F54" t="str">
        <x:v>COMMN</x:v>
      </x:c>
      <x:c r="G54" t="str">
        <x:v>200.2125</x:v>
      </x:c>
      <x:c r="H54" t="str"/>
      <x:c r="I54" t="str"/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>
        <x:f>D54&amp;"|"&amp;UPPER(F54)&amp;"|"&amp;LEFT(B54,10)</x:f>
        <x:v>0385|COMMN|2025-07-01</x:v>
      </x:c>
    </x:row>
    <x:row r="55">
      <x:c r="A55" s="22" t="n">
        <x:v>80</x:v>
      </x:c>
      <x:c r="B55" t="str">
        <x:v>2026-07-01T00:00:00</x:v>
      </x:c>
      <x:c r="C55" t="str">
        <x:v>0385D</x:v>
      </x:c>
      <x:c r="D55" t="str">
        <x:v>0385</x:v>
      </x:c>
      <x:c r="E55" t="str">
        <x:v>Chief of Police (Transitional)</x:v>
      </x:c>
      <x:c r="F55" t="str">
        <x:v>COMMN</x:v>
      </x:c>
      <x:c r="G55" t="str">
        <x:v>204.2125</x:v>
      </x:c>
      <x:c r="H55" t="str"/>
      <x:c r="I55" t="str"/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>
        <x:f>D55&amp;"|"&amp;UPPER(F55)&amp;"|"&amp;LEFT(B55,10)</x:f>
        <x:v>0385|COMMN|2026-07-01</x:v>
      </x:c>
    </x:row>
    <x:row r="56">
      <x:c r="A56" s="22" t="n">
        <x:v>81</x:v>
      </x:c>
      <x:c r="B56" t="str">
        <x:v>2020-07-01T00:00:00</x:v>
      </x:c>
      <x:c r="C56" t="str">
        <x:v>0390S</x:v>
      </x:c>
      <x:c r="D56" t="str">
        <x:v>0390</x:v>
      </x:c>
      <x:c r="E56" t="str">
        <x:v>Chief Of Police</x:v>
      </x:c>
      <x:c r="F56" t="str">
        <x:v>COMMN</x:v>
      </x:c>
      <x:c r="G56" t="str">
        <x:v>164.7875</x:v>
      </x:c>
      <x:c r="H56" t="str"/>
      <x:c r="I56" t="str"/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>
        <x:f>D56&amp;"|"&amp;UPPER(F56)&amp;"|"&amp;LEFT(B56,10)</x:f>
        <x:v>0390|COMMN|2020-07-01</x:v>
      </x:c>
    </x:row>
    <x:row r="57">
      <x:c r="A57" s="22" t="n">
        <x:v>85</x:v>
      </x:c>
      <x:c r="B57" t="str">
        <x:v>2024-01-06T00:00:00</x:v>
      </x:c>
      <x:c r="C57" t="str">
        <x:v>0390Y</x:v>
      </x:c>
      <x:c r="D57" t="str">
        <x:v>0390</x:v>
      </x:c>
      <x:c r="E57" t="str">
        <x:v>Chief Of Police</x:v>
      </x:c>
      <x:c r="F57" t="str">
        <x:v>COMMN</x:v>
      </x:c>
      <x:c r="G57" t="str">
        <x:v>188.7125</x:v>
      </x:c>
      <x:c r="H57" t="str"/>
      <x:c r="I57" t="str"/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>
        <x:f>D57&amp;"|"&amp;UPPER(F57)&amp;"|"&amp;LEFT(B57,10)</x:f>
        <x:v>0390|COMMN|2024-01-06</x:v>
      </x:c>
    </x:row>
    <x:row r="58">
      <x:c r="A58" s="22" t="n">
        <x:v>86</x:v>
      </x:c>
      <x:c r="B58" t="str">
        <x:v>2024-07-01T00:00:00</x:v>
      </x:c>
      <x:c r="C58" t="str">
        <x:v>0390Z</x:v>
      </x:c>
      <x:c r="D58" t="str">
        <x:v>0390</x:v>
      </x:c>
      <x:c r="E58" t="str">
        <x:v>Chief Of Police</x:v>
      </x:c>
      <x:c r="F58" t="str">
        <x:v>COMMN</x:v>
      </x:c>
      <x:c r="G58" t="str">
        <x:v>188.7125</x:v>
      </x:c>
      <x:c r="H58" t="str"/>
      <x:c r="I58" t="str"/>
      <x:c r="J58" t="str"/>
      <x:c r="K58" t="str"/>
      <x:c r="L58" t="str"/>
      <x:c r="M58" t="str"/>
      <x:c r="N58" t="str"/>
      <x:c r="O58" t="str"/>
      <x:c r="P58" t="str"/>
      <x:c r="Q58" t="str"/>
      <x:c r="R58" t="str"/>
      <x:c r="S58" t="str"/>
      <x:c r="T58" t="str"/>
      <x:c r="U58" t="str"/>
      <x:c r="V58" t="str"/>
      <x:c r="W58" t="str"/>
      <x:c r="X58" t="str"/>
      <x:c r="Y58" t="str"/>
      <x:c r="Z58" t="str"/>
      <x:c r="AA58" t="str"/>
      <x:c r="AB58" t="str"/>
      <x:c r="AC58" t="str"/>
      <x:c r="AD58" t="str"/>
      <x:c r="AE58" t="str"/>
      <x:c r="AF58" t="str"/>
      <x:c r="AG58" t="str"/>
      <x:c r="AH58" t="str">
        <x:f>D58&amp;"|"&amp;UPPER(F58)&amp;"|"&amp;LEFT(B58,10)</x:f>
        <x:v>0390|COMMN|2024-07-01</x:v>
      </x:c>
    </x:row>
    <x:row r="59">
      <x:c r="A59" s="22" t="n">
        <x:v>87</x:v>
      </x:c>
      <x:c r="B59" t="str">
        <x:v>2025-01-04T00:00:00</x:v>
      </x:c>
      <x:c r="C59" t="str">
        <x:v>0390A</x:v>
      </x:c>
      <x:c r="D59" t="str">
        <x:v>0390</x:v>
      </x:c>
      <x:c r="E59" t="str">
        <x:v>Chief Of Police</x:v>
      </x:c>
      <x:c r="F59" t="str">
        <x:v>COMMN</x:v>
      </x:c>
      <x:c r="G59" t="str">
        <x:v>194.375</x:v>
      </x:c>
      <x:c r="H59" t="str"/>
      <x:c r="I59" t="str"/>
      <x:c r="J59" t="str"/>
      <x:c r="K59" t="str"/>
      <x:c r="L59" t="str"/>
      <x:c r="M59" t="str"/>
      <x:c r="N59" t="str"/>
      <x:c r="O59" t="str"/>
      <x:c r="P59" t="str"/>
      <x:c r="Q59" t="str"/>
      <x:c r="R59" t="str"/>
      <x:c r="S59" t="str"/>
      <x:c r="T59" t="str"/>
      <x:c r="U59" t="str"/>
      <x:c r="V59" t="str"/>
      <x:c r="W59" t="str"/>
      <x:c r="X59" t="str"/>
      <x:c r="Y59" t="str"/>
      <x:c r="Z59" t="str"/>
      <x:c r="AA59" t="str"/>
      <x:c r="AB59" t="str"/>
      <x:c r="AC59" t="str"/>
      <x:c r="AD59" t="str"/>
      <x:c r="AE59" t="str"/>
      <x:c r="AF59" t="str"/>
      <x:c r="AG59" t="str"/>
      <x:c r="AH59" t="str">
        <x:f>D59&amp;"|"&amp;UPPER(F59)&amp;"|"&amp;LEFT(B59,10)</x:f>
        <x:v>0390|COMMN|2025-01-04</x:v>
      </x:c>
    </x:row>
    <x:row r="60">
      <x:c r="A60" s="22" t="n">
        <x:v>88</x:v>
      </x:c>
      <x:c r="B60" t="str">
        <x:v>2025-07-01T00:00:00</x:v>
      </x:c>
      <x:c r="C60" t="str">
        <x:v>0390B</x:v>
      </x:c>
      <x:c r="D60" t="str">
        <x:v>0390</x:v>
      </x:c>
      <x:c r="E60" t="str">
        <x:v>Chief of Police</x:v>
      </x:c>
      <x:c r="F60" t="str">
        <x:v>COMMN</x:v>
      </x:c>
      <x:c r="G60" t="str">
        <x:v>200.2125</x:v>
      </x:c>
      <x:c r="H60" t="str"/>
      <x:c r="I60" t="str"/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>
        <x:f>D60&amp;"|"&amp;UPPER(F60)&amp;"|"&amp;LEFT(B60,10)</x:f>
        <x:v>0390|COMMN|2025-07-01</x:v>
      </x:c>
    </x:row>
    <x:row r="61">
      <x:c r="A61" s="22" t="n">
        <x:v>89</x:v>
      </x:c>
      <x:c r="B61" t="str">
        <x:v>2026-07-01T00:00:00</x:v>
      </x:c>
      <x:c r="C61" t="str">
        <x:v>0390D</x:v>
      </x:c>
      <x:c r="D61" t="str">
        <x:v>0390</x:v>
      </x:c>
      <x:c r="E61" t="str">
        <x:v>Chief of Police</x:v>
      </x:c>
      <x:c r="F61" t="str">
        <x:v>COMMN</x:v>
      </x:c>
      <x:c r="G61" t="str">
        <x:v>204.2125</x:v>
      </x:c>
      <x:c r="H61" t="str"/>
      <x:c r="I61" t="str"/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>
        <x:f>D61&amp;"|"&amp;UPPER(F61)&amp;"|"&amp;LEFT(B61,10)</x:f>
        <x:v>0390|COMMN|2026-07-01</x:v>
      </x:c>
    </x:row>
    <x:row r="62">
      <x:c r="A62" s="22" t="n">
        <x:v>94</x:v>
      </x:c>
      <x:c r="B62" t="str">
        <x:v>2024-01-06T00:00:00</x:v>
      </x:c>
      <x:c r="C62" t="str">
        <x:v>0395Y</x:v>
      </x:c>
      <x:c r="D62" t="str">
        <x:v>0395</x:v>
      </x:c>
      <x:c r="E62" t="str">
        <x:v>Assistant Chief Of Police</x:v>
      </x:c>
      <x:c r="F62" t="str">
        <x:v>COMMN</x:v>
      </x:c>
      <x:c r="G62" t="str">
        <x:v>173.975</x:v>
      </x:c>
      <x:c r="H62" t="str"/>
      <x:c r="I62" t="str"/>
      <x:c r="J62" t="str"/>
      <x:c r="K62" t="str"/>
      <x:c r="L62" t="str"/>
      <x:c r="M62" t="str"/>
      <x:c r="N62" t="str"/>
      <x:c r="O62" t="str"/>
      <x:c r="P62" t="str"/>
      <x:c r="Q62" t="str"/>
      <x:c r="R62" t="str"/>
      <x:c r="S62" t="str"/>
      <x:c r="T62" t="str"/>
      <x:c r="U62" t="str"/>
      <x:c r="V62" t="str"/>
      <x:c r="W62" t="str"/>
      <x:c r="X62" t="str"/>
      <x:c r="Y62" t="str"/>
      <x:c r="Z62" t="str"/>
      <x:c r="AA62" t="str"/>
      <x:c r="AB62" t="str"/>
      <x:c r="AC62" t="str"/>
      <x:c r="AD62" t="str"/>
      <x:c r="AE62" t="str"/>
      <x:c r="AF62" t="str"/>
      <x:c r="AG62" t="str"/>
      <x:c r="AH62" t="str">
        <x:f>D62&amp;"|"&amp;UPPER(F62)&amp;"|"&amp;LEFT(B62,10)</x:f>
        <x:v>0395|COMMN|2024-01-06</x:v>
      </x:c>
    </x:row>
    <x:row r="63">
      <x:c r="A63" s="22" t="n">
        <x:v>95</x:v>
      </x:c>
      <x:c r="B63" t="str">
        <x:v>2024-07-01T00:00:00</x:v>
      </x:c>
      <x:c r="C63" t="str">
        <x:v>0395Z</x:v>
      </x:c>
      <x:c r="D63" t="str">
        <x:v>0395</x:v>
      </x:c>
      <x:c r="E63" t="str">
        <x:v>Assistant Chief Of Police</x:v>
      </x:c>
      <x:c r="F63" t="str">
        <x:v>COMMN</x:v>
      </x:c>
      <x:c r="G63" t="str">
        <x:v>173.975</x:v>
      </x:c>
      <x:c r="H63" t="str">
        <x:v>179.2</x:v>
      </x:c>
      <x:c r="I63" t="str"/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>
        <x:v>Please note, step 2 requires 2 years of service in this classification.</x:v>
      </x:c>
      <x:c r="AH63" t="str">
        <x:f>D63&amp;"|"&amp;UPPER(F63)&amp;"|"&amp;LEFT(B63,10)</x:f>
        <x:v>0395|COMMN|2024-07-01</x:v>
      </x:c>
    </x:row>
    <x:row r="64">
      <x:c r="A64" s="22" t="n">
        <x:v>96</x:v>
      </x:c>
      <x:c r="B64" t="str">
        <x:v>2025-01-04T00:00:00</x:v>
      </x:c>
      <x:c r="C64" t="str">
        <x:v>0395A</x:v>
      </x:c>
      <x:c r="D64" t="str">
        <x:v>0395</x:v>
      </x:c>
      <x:c r="E64" t="str">
        <x:v>Assistant Chief Of Police</x:v>
      </x:c>
      <x:c r="F64" t="str">
        <x:v>COMMN</x:v>
      </x:c>
      <x:c r="G64" t="str">
        <x:v>179.2</x:v>
      </x:c>
      <x:c r="H64" t="str">
        <x:v>184.575</x:v>
      </x:c>
      <x:c r="I64" t="str"/>
      <x:c r="J64" t="str"/>
      <x:c r="K64" t="str"/>
      <x:c r="L64" t="str"/>
      <x:c r="M64" t="str"/>
      <x:c r="N64" t="str"/>
      <x:c r="O64" t="str"/>
      <x:c r="P64" t="str"/>
      <x:c r="Q64" t="str"/>
      <x:c r="R64" t="str"/>
      <x:c r="S64" t="str"/>
      <x:c r="T64" t="str"/>
      <x:c r="U64" t="str"/>
      <x:c r="V64" t="str"/>
      <x:c r="W64" t="str"/>
      <x:c r="X64" t="str"/>
      <x:c r="Y64" t="str"/>
      <x:c r="Z64" t="str"/>
      <x:c r="AA64" t="str"/>
      <x:c r="AB64" t="str"/>
      <x:c r="AC64" t="str"/>
      <x:c r="AD64" t="str"/>
      <x:c r="AE64" t="str"/>
      <x:c r="AF64" t="str"/>
      <x:c r="AG64" t="str">
        <x:v>Please note, step 2 requires 2 years of service in this classification.</x:v>
      </x:c>
      <x:c r="AH64" t="str">
        <x:f>D64&amp;"|"&amp;UPPER(F64)&amp;"|"&amp;LEFT(B64,10)</x:f>
        <x:v>0395|COMMN|2025-01-04</x:v>
      </x:c>
    </x:row>
    <x:row r="65">
      <x:c r="A65" s="22" t="n">
        <x:v>97</x:v>
      </x:c>
      <x:c r="B65" t="str">
        <x:v>2025-07-01T00:00:00</x:v>
      </x:c>
      <x:c r="C65" t="str">
        <x:v>0395B</x:v>
      </x:c>
      <x:c r="D65" t="str">
        <x:v>0395</x:v>
      </x:c>
      <x:c r="E65" t="str">
        <x:v>Assistant Chief of Police</x:v>
      </x:c>
      <x:c r="F65" t="str">
        <x:v>COMMN</x:v>
      </x:c>
      <x:c r="G65" t="str">
        <x:v>184.575</x:v>
      </x:c>
      <x:c r="H65" t="str">
        <x:v>190.1125</x:v>
      </x:c>
      <x:c r="I65" t="str"/>
      <x:c r="J65" t="str"/>
      <x:c r="K65" t="str"/>
      <x:c r="L65" t="str"/>
      <x:c r="M65" t="str"/>
      <x:c r="N65" t="str"/>
      <x:c r="O65" t="str"/>
      <x:c r="P65" t="str"/>
      <x:c r="Q65" t="str"/>
      <x:c r="R65" t="str"/>
      <x:c r="S65" t="str"/>
      <x:c r="T65" t="str"/>
      <x:c r="U65" t="str"/>
      <x:c r="V65" t="str"/>
      <x:c r="W65" t="str"/>
      <x:c r="X65" t="str"/>
      <x:c r="Y65" t="str"/>
      <x:c r="Z65" t="str"/>
      <x:c r="AA65" t="str"/>
      <x:c r="AB65" t="str"/>
      <x:c r="AC65" t="str"/>
      <x:c r="AD65" t="str"/>
      <x:c r="AE65" t="str"/>
      <x:c r="AF65" t="str"/>
      <x:c r="AG65" t="str">
        <x:v>Please note, step 2 requires 2 years of service in this classification.</x:v>
      </x:c>
      <x:c r="AH65" t="str">
        <x:f>D65&amp;"|"&amp;UPPER(F65)&amp;"|"&amp;LEFT(B65,10)</x:f>
        <x:v>0395|COMMN|2025-07-01</x:v>
      </x:c>
    </x:row>
    <x:row r="66">
      <x:c r="A66" s="22" t="n">
        <x:v>98</x:v>
      </x:c>
      <x:c r="B66" t="str">
        <x:v>2026-07-01T00:00:00</x:v>
      </x:c>
      <x:c r="C66" t="str">
        <x:v>0395D</x:v>
      </x:c>
      <x:c r="D66" t="str">
        <x:v>0395</x:v>
      </x:c>
      <x:c r="E66" t="str">
        <x:v>Assistant Chief of Police</x:v>
      </x:c>
      <x:c r="F66" t="str">
        <x:v>COMMN</x:v>
      </x:c>
      <x:c r="G66" t="str">
        <x:v>188.2625</x:v>
      </x:c>
      <x:c r="H66" t="str">
        <x:v>193.9125</x:v>
      </x:c>
      <x:c r="I66" t="str"/>
      <x:c r="J66" t="str"/>
      <x:c r="K66" t="str"/>
      <x:c r="L66" t="str"/>
      <x:c r="M66" t="str"/>
      <x:c r="N66" t="str"/>
      <x:c r="O66" t="str"/>
      <x:c r="P66" t="str"/>
      <x:c r="Q66" t="str"/>
      <x:c r="R66" t="str"/>
      <x:c r="S66" t="str"/>
      <x:c r="T66" t="str"/>
      <x:c r="U66" t="str"/>
      <x:c r="V66" t="str"/>
      <x:c r="W66" t="str"/>
      <x:c r="X66" t="str"/>
      <x:c r="Y66" t="str"/>
      <x:c r="Z66" t="str"/>
      <x:c r="AA66" t="str"/>
      <x:c r="AB66" t="str"/>
      <x:c r="AC66" t="str"/>
      <x:c r="AD66" t="str"/>
      <x:c r="AE66" t="str"/>
      <x:c r="AF66" t="str"/>
      <x:c r="AG66" t="str">
        <x:v>Please note, step 2 requires 2 years of service in this classification.</x:v>
      </x:c>
      <x:c r="AH66" t="str">
        <x:f>D66&amp;"|"&amp;UPPER(F66)&amp;"|"&amp;LEFT(B66,10)</x:f>
        <x:v>0395|COMMN|2026-07-01</x:v>
      </x:c>
    </x:row>
    <x:row r="67">
      <x:c r="A67" s="22" t="n">
        <x:v>103</x:v>
      </x:c>
      <x:c r="B67" t="str">
        <x:v>2024-01-06T00:00:00</x:v>
      </x:c>
      <x:c r="C67" t="str">
        <x:v>0400Y</x:v>
      </x:c>
      <x:c r="D67" t="str">
        <x:v>0400</x:v>
      </x:c>
      <x:c r="E67" t="str">
        <x:v>Deputy Chief</x:v>
      </x:c>
      <x:c r="F67" t="str">
        <x:v>COMMN</x:v>
      </x:c>
      <x:c r="G67" t="str">
        <x:v>155.55</x:v>
      </x:c>
      <x:c r="H67" t="str"/>
      <x:c r="I67" t="str"/>
      <x:c r="J67" t="str"/>
      <x:c r="K67" t="str"/>
      <x:c r="L67" t="str"/>
      <x:c r="M67" t="str"/>
      <x:c r="N67" t="str"/>
      <x:c r="O67" t="str"/>
      <x:c r="P67" t="str"/>
      <x:c r="Q67" t="str"/>
      <x:c r="R67" t="str"/>
      <x:c r="S67" t="str"/>
      <x:c r="T67" t="str"/>
      <x:c r="U67" t="str"/>
      <x:c r="V67" t="str"/>
      <x:c r="W67" t="str"/>
      <x:c r="X67" t="str"/>
      <x:c r="Y67" t="str"/>
      <x:c r="Z67" t="str"/>
      <x:c r="AA67" t="str"/>
      <x:c r="AB67" t="str"/>
      <x:c r="AC67" t="str"/>
      <x:c r="AD67" t="str"/>
      <x:c r="AE67" t="str"/>
      <x:c r="AF67" t="str"/>
      <x:c r="AG67" t="str"/>
      <x:c r="AH67" t="str">
        <x:f>D67&amp;"|"&amp;UPPER(F67)&amp;"|"&amp;LEFT(B67,10)</x:f>
        <x:v>0400|COMMN|2024-01-06</x:v>
      </x:c>
    </x:row>
    <x:row r="68">
      <x:c r="A68" s="22" t="n">
        <x:v>104</x:v>
      </x:c>
      <x:c r="B68" t="str">
        <x:v>2024-07-01T00:00:00</x:v>
      </x:c>
      <x:c r="C68" t="str">
        <x:v>0400Z</x:v>
      </x:c>
      <x:c r="D68" t="str">
        <x:v>0400</x:v>
      </x:c>
      <x:c r="E68" t="str">
        <x:v>Deputy Chief</x:v>
      </x:c>
      <x:c r="F68" t="str">
        <x:v>COMMN</x:v>
      </x:c>
      <x:c r="G68" t="str">
        <x:v>155.55</x:v>
      </x:c>
      <x:c r="H68" t="str"/>
      <x:c r="I68" t="str"/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>
        <x:f>D68&amp;"|"&amp;UPPER(F68)&amp;"|"&amp;LEFT(B68,10)</x:f>
        <x:v>0400|COMMN|2024-07-01</x:v>
      </x:c>
    </x:row>
    <x:row r="69">
      <x:c r="A69" s="22" t="n">
        <x:v>105</x:v>
      </x:c>
      <x:c r="B69" t="str">
        <x:v>2025-01-04T00:00:00</x:v>
      </x:c>
      <x:c r="C69" t="str">
        <x:v>0400A</x:v>
      </x:c>
      <x:c r="D69" t="str">
        <x:v>0400</x:v>
      </x:c>
      <x:c r="E69" t="str">
        <x:v>Deputy Chief</x:v>
      </x:c>
      <x:c r="F69" t="str">
        <x:v>COMMN</x:v>
      </x:c>
      <x:c r="G69" t="str">
        <x:v>160.2125</x:v>
      </x:c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  <x:c r="X69" t="str"/>
      <x:c r="Y69" t="str"/>
      <x:c r="Z69" t="str"/>
      <x:c r="AA69" t="str"/>
      <x:c r="AB69" t="str"/>
      <x:c r="AC69" t="str"/>
      <x:c r="AD69" t="str"/>
      <x:c r="AE69" t="str"/>
      <x:c r="AF69" t="str"/>
      <x:c r="AG69" t="str"/>
      <x:c r="AH69" t="str">
        <x:f>D69&amp;"|"&amp;UPPER(F69)&amp;"|"&amp;LEFT(B69,10)</x:f>
        <x:v>0400|COMMN|2025-01-04</x:v>
      </x:c>
    </x:row>
    <x:row r="70">
      <x:c r="A70" s="22" t="n">
        <x:v>106</x:v>
      </x:c>
      <x:c r="B70" t="str">
        <x:v>2025-07-01T00:00:00</x:v>
      </x:c>
      <x:c r="C70" t="str">
        <x:v>0400B</x:v>
      </x:c>
      <x:c r="D70" t="str">
        <x:v>0400</x:v>
      </x:c>
      <x:c r="E70" t="str">
        <x:v>Deputy Chief</x:v>
      </x:c>
      <x:c r="F70" t="str">
        <x:v>COMMN</x:v>
      </x:c>
      <x:c r="G70" t="str">
        <x:v>165.025</x:v>
      </x:c>
      <x:c r="H70" t="str"/>
      <x:c r="I70" t="str"/>
      <x:c r="J70" t="str"/>
      <x:c r="K70" t="str"/>
      <x:c r="L70" t="str"/>
      <x:c r="M70" t="str"/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  <x:c r="X70" t="str"/>
      <x:c r="Y70" t="str"/>
      <x:c r="Z70" t="str"/>
      <x:c r="AA70" t="str"/>
      <x:c r="AB70" t="str"/>
      <x:c r="AC70" t="str"/>
      <x:c r="AD70" t="str"/>
      <x:c r="AE70" t="str"/>
      <x:c r="AF70" t="str"/>
      <x:c r="AG70" t="str"/>
      <x:c r="AH70" t="str">
        <x:f>D70&amp;"|"&amp;UPPER(F70)&amp;"|"&amp;LEFT(B70,10)</x:f>
        <x:v>0400|COMMN|2025-07-01</x:v>
      </x:c>
    </x:row>
    <x:row r="71">
      <x:c r="A71" s="22" t="n">
        <x:v>107</x:v>
      </x:c>
      <x:c r="B71" t="str">
        <x:v>2026-07-01T00:00:00</x:v>
      </x:c>
      <x:c r="C71" t="str">
        <x:v>0400D</x:v>
      </x:c>
      <x:c r="D71" t="str">
        <x:v>0400</x:v>
      </x:c>
      <x:c r="E71" t="str">
        <x:v>Deputy Chief</x:v>
      </x:c>
      <x:c r="F71" t="str">
        <x:v>COMMN</x:v>
      </x:c>
      <x:c r="G71" t="str">
        <x:v>168.325</x:v>
      </x:c>
      <x:c r="H71" t="str"/>
      <x:c r="I71" t="str"/>
      <x:c r="J71" t="str"/>
      <x:c r="K71" t="str"/>
      <x:c r="L71" t="str"/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  <x:c r="X71" t="str"/>
      <x:c r="Y71" t="str"/>
      <x:c r="Z71" t="str"/>
      <x:c r="AA71" t="str"/>
      <x:c r="AB71" t="str"/>
      <x:c r="AC71" t="str"/>
      <x:c r="AD71" t="str"/>
      <x:c r="AE71" t="str"/>
      <x:c r="AF71" t="str"/>
      <x:c r="AG71" t="str"/>
      <x:c r="AH71" t="str">
        <x:f>D71&amp;"|"&amp;UPPER(F71)&amp;"|"&amp;LEFT(B71,10)</x:f>
        <x:v>0400|COMMN|2026-07-01</x:v>
      </x:c>
    </x:row>
    <x:row r="72">
      <x:c r="A72" s="22" t="n">
        <x:v>112</x:v>
      </x:c>
      <x:c r="B72" t="str">
        <x:v>2024-01-06T00:00:00</x:v>
      </x:c>
      <x:c r="C72" t="str">
        <x:v>0401Y</x:v>
      </x:c>
      <x:c r="D72" t="str">
        <x:v>0401</x:v>
      </x:c>
      <x:c r="E72" t="str">
        <x:v>Deputy Chief II</x:v>
      </x:c>
      <x:c r="F72" t="str">
        <x:v>COMMN</x:v>
      </x:c>
      <x:c r="G72" t="str">
        <x:v>164.9125</x:v>
      </x:c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>
        <x:f>D72&amp;"|"&amp;UPPER(F72)&amp;"|"&amp;LEFT(B72,10)</x:f>
        <x:v>0401|COMMN|2024-01-06</x:v>
      </x:c>
    </x:row>
    <x:row r="73">
      <x:c r="A73" s="22" t="n">
        <x:v>113</x:v>
      </x:c>
      <x:c r="B73" t="str">
        <x:v>2024-07-01T00:00:00</x:v>
      </x:c>
      <x:c r="C73" t="str">
        <x:v>0401Z</x:v>
      </x:c>
      <x:c r="D73" t="str">
        <x:v>0401</x:v>
      </x:c>
      <x:c r="E73" t="str">
        <x:v>Deputy Chief II</x:v>
      </x:c>
      <x:c r="F73" t="str">
        <x:v>COMMN</x:v>
      </x:c>
      <x:c r="G73" t="str">
        <x:v>164.9125</x:v>
      </x:c>
      <x:c r="H73" t="str"/>
      <x:c r="I73" t="str"/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>
        <x:f>D73&amp;"|"&amp;UPPER(F73)&amp;"|"&amp;LEFT(B73,10)</x:f>
        <x:v>0401|COMMN|2024-07-01</x:v>
      </x:c>
    </x:row>
    <x:row r="74">
      <x:c r="A74" s="22" t="n">
        <x:v>114</x:v>
      </x:c>
      <x:c r="B74" t="str">
        <x:v>2025-01-04T00:00:00</x:v>
      </x:c>
      <x:c r="C74" t="str">
        <x:v>0401A</x:v>
      </x:c>
      <x:c r="D74" t="str">
        <x:v>0401</x:v>
      </x:c>
      <x:c r="E74" t="str">
        <x:v>Deputy Chief II</x:v>
      </x:c>
      <x:c r="F74" t="str">
        <x:v>COMMN</x:v>
      </x:c>
      <x:c r="G74" t="str">
        <x:v>169.8625</x:v>
      </x:c>
      <x:c r="H74" t="str"/>
      <x:c r="I74" t="str"/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>
        <x:f>D74&amp;"|"&amp;UPPER(F74)&amp;"|"&amp;LEFT(B74,10)</x:f>
        <x:v>0401|COMMN|2025-01-04</x:v>
      </x:c>
    </x:row>
    <x:row r="75">
      <x:c r="A75" s="22" t="n">
        <x:v>115</x:v>
      </x:c>
      <x:c r="B75" t="str">
        <x:v>2025-07-01T00:00:00</x:v>
      </x:c>
      <x:c r="C75" t="str">
        <x:v>0401B</x:v>
      </x:c>
      <x:c r="D75" t="str">
        <x:v>0401</x:v>
      </x:c>
      <x:c r="E75" t="str">
        <x:v>Deputy Chief 2</x:v>
      </x:c>
      <x:c r="F75" t="str">
        <x:v>COMMN</x:v>
      </x:c>
      <x:c r="G75" t="str">
        <x:v>174.9625</x:v>
      </x:c>
      <x:c r="H75" t="str"/>
      <x:c r="I75" t="str"/>
      <x:c r="J75" t="str"/>
      <x:c r="K75" t="str"/>
      <x:c r="L75" t="str"/>
      <x:c r="M75" t="str"/>
      <x:c r="N75" t="str"/>
      <x:c r="O75" t="str"/>
      <x:c r="P75" t="str"/>
      <x:c r="Q75" t="str"/>
      <x:c r="R75" t="str"/>
      <x:c r="S75" t="str"/>
      <x:c r="T75" t="str"/>
      <x:c r="U75" t="str"/>
      <x:c r="V75" t="str"/>
      <x:c r="W75" t="str"/>
      <x:c r="X75" t="str"/>
      <x:c r="Y75" t="str"/>
      <x:c r="Z75" t="str"/>
      <x:c r="AA75" t="str"/>
      <x:c r="AB75" t="str"/>
      <x:c r="AC75" t="str"/>
      <x:c r="AD75" t="str"/>
      <x:c r="AE75" t="str"/>
      <x:c r="AF75" t="str"/>
      <x:c r="AG75" t="str"/>
      <x:c r="AH75" t="str">
        <x:f>D75&amp;"|"&amp;UPPER(F75)&amp;"|"&amp;LEFT(B75,10)</x:f>
        <x:v>0401|COMMN|2025-07-01</x:v>
      </x:c>
    </x:row>
    <x:row r="76">
      <x:c r="A76" s="22" t="n">
        <x:v>116</x:v>
      </x:c>
      <x:c r="B76" t="str">
        <x:v>2026-07-01T00:00:00</x:v>
      </x:c>
      <x:c r="C76" t="str">
        <x:v>0401D</x:v>
      </x:c>
      <x:c r="D76" t="str">
        <x:v>0401</x:v>
      </x:c>
      <x:c r="E76" t="str">
        <x:v>Deputy Chief 2</x:v>
      </x:c>
      <x:c r="F76" t="str">
        <x:v>COMMN</x:v>
      </x:c>
      <x:c r="G76" t="str">
        <x:v>178.4625</x:v>
      </x:c>
      <x:c r="H76" t="str"/>
      <x:c r="I76" t="str"/>
      <x:c r="J76" t="str"/>
      <x:c r="K76" t="str"/>
      <x:c r="L76" t="str"/>
      <x:c r="M76" t="str"/>
      <x:c r="N76" t="str"/>
      <x:c r="O76" t="str"/>
      <x:c r="P76" t="str"/>
      <x:c r="Q76" t="str"/>
      <x:c r="R76" t="str"/>
      <x:c r="S76" t="str"/>
      <x:c r="T76" t="str"/>
      <x:c r="U76" t="str"/>
      <x:c r="V76" t="str"/>
      <x:c r="W76" t="str"/>
      <x:c r="X76" t="str"/>
      <x:c r="Y76" t="str"/>
      <x:c r="Z76" t="str"/>
      <x:c r="AA76" t="str"/>
      <x:c r="AB76" t="str"/>
      <x:c r="AC76" t="str"/>
      <x:c r="AD76" t="str"/>
      <x:c r="AE76" t="str"/>
      <x:c r="AF76" t="str"/>
      <x:c r="AG76" t="str"/>
      <x:c r="AH76" t="str">
        <x:f>D76&amp;"|"&amp;UPPER(F76)&amp;"|"&amp;LEFT(B76,10)</x:f>
        <x:v>0401|COMMN|2026-07-01</x:v>
      </x:c>
    </x:row>
    <x:row r="77">
      <x:c r="A77" s="22" t="n">
        <x:v>121</x:v>
      </x:c>
      <x:c r="B77" t="str">
        <x:v>2024-01-06T00:00:00</x:v>
      </x:c>
      <x:c r="C77" t="str">
        <x:v>0402Y</x:v>
      </x:c>
      <x:c r="D77" t="str">
        <x:v>0402</x:v>
      </x:c>
      <x:c r="E77" t="str">
        <x:v>Deputy Chief III</x:v>
      </x:c>
      <x:c r="F77" t="str">
        <x:v>COMMN</x:v>
      </x:c>
      <x:c r="G77" t="str">
        <x:v>168.0375</x:v>
      </x:c>
      <x:c r="H77" t="str"/>
      <x:c r="I77" t="str"/>
      <x:c r="J77" t="str"/>
      <x:c r="K77" t="str"/>
      <x:c r="L77" t="str"/>
      <x:c r="M77" t="str"/>
      <x:c r="N77" t="str"/>
      <x:c r="O77" t="str"/>
      <x:c r="P77" t="str"/>
      <x:c r="Q77" t="str"/>
      <x:c r="R77" t="str"/>
      <x:c r="S77" t="str"/>
      <x:c r="T77" t="str"/>
      <x:c r="U77" t="str"/>
      <x:c r="V77" t="str"/>
      <x:c r="W77" t="str"/>
      <x:c r="X77" t="str"/>
      <x:c r="Y77" t="str"/>
      <x:c r="Z77" t="str"/>
      <x:c r="AA77" t="str"/>
      <x:c r="AB77" t="str"/>
      <x:c r="AC77" t="str"/>
      <x:c r="AD77" t="str"/>
      <x:c r="AE77" t="str"/>
      <x:c r="AF77" t="str"/>
      <x:c r="AG77" t="str"/>
      <x:c r="AH77" t="str">
        <x:f>D77&amp;"|"&amp;UPPER(F77)&amp;"|"&amp;LEFT(B77,10)</x:f>
        <x:v>0402|COMMN|2024-01-06</x:v>
      </x:c>
    </x:row>
    <x:row r="78">
      <x:c r="A78" s="22" t="n">
        <x:v>122</x:v>
      </x:c>
      <x:c r="B78" t="str">
        <x:v>2024-07-01T00:00:00</x:v>
      </x:c>
      <x:c r="C78" t="str">
        <x:v>0402Z</x:v>
      </x:c>
      <x:c r="D78" t="str">
        <x:v>0402</x:v>
      </x:c>
      <x:c r="E78" t="str">
        <x:v>Deputy Chief III</x:v>
      </x:c>
      <x:c r="F78" t="str">
        <x:v>COMMN</x:v>
      </x:c>
      <x:c r="G78" t="str">
        <x:v>168.0375</x:v>
      </x:c>
      <x:c r="H78" t="str"/>
      <x:c r="I78" t="str"/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>
        <x:f>D78&amp;"|"&amp;UPPER(F78)&amp;"|"&amp;LEFT(B78,10)</x:f>
        <x:v>0402|COMMN|2024-07-01</x:v>
      </x:c>
    </x:row>
    <x:row r="79">
      <x:c r="A79" s="22" t="n">
        <x:v>123</x:v>
      </x:c>
      <x:c r="B79" t="str">
        <x:v>2025-01-04T00:00:00</x:v>
      </x:c>
      <x:c r="C79" t="str">
        <x:v>0402A</x:v>
      </x:c>
      <x:c r="D79" t="str">
        <x:v>0402</x:v>
      </x:c>
      <x:c r="E79" t="str">
        <x:v>Deputy Chief III</x:v>
      </x:c>
      <x:c r="F79" t="str">
        <x:v>COMMN</x:v>
      </x:c>
      <x:c r="G79" t="str">
        <x:v>173.075</x:v>
      </x:c>
      <x:c r="H79" t="str"/>
      <x:c r="I79" t="str"/>
      <x:c r="J79" t="str"/>
      <x:c r="K79" t="str"/>
      <x:c r="L79" t="str"/>
      <x:c r="M79" t="str"/>
      <x:c r="N79" t="str"/>
      <x:c r="O79" t="str"/>
      <x:c r="P79" t="str"/>
      <x:c r="Q79" t="str"/>
      <x:c r="R79" t="str"/>
      <x:c r="S79" t="str"/>
      <x:c r="T79" t="str"/>
      <x:c r="U79" t="str"/>
      <x:c r="V79" t="str"/>
      <x:c r="W79" t="str"/>
      <x:c r="X79" t="str"/>
      <x:c r="Y79" t="str"/>
      <x:c r="Z79" t="str"/>
      <x:c r="AA79" t="str"/>
      <x:c r="AB79" t="str"/>
      <x:c r="AC79" t="str"/>
      <x:c r="AD79" t="str"/>
      <x:c r="AE79" t="str"/>
      <x:c r="AF79" t="str"/>
      <x:c r="AG79" t="str"/>
      <x:c r="AH79" t="str">
        <x:f>D79&amp;"|"&amp;UPPER(F79)&amp;"|"&amp;LEFT(B79,10)</x:f>
        <x:v>0402|COMMN|2025-01-04</x:v>
      </x:c>
    </x:row>
    <x:row r="80">
      <x:c r="A80" s="22" t="n">
        <x:v>124</x:v>
      </x:c>
      <x:c r="B80" t="str">
        <x:v>2025-07-01T00:00:00</x:v>
      </x:c>
      <x:c r="C80" t="str">
        <x:v>0402B</x:v>
      </x:c>
      <x:c r="D80" t="str">
        <x:v>0402</x:v>
      </x:c>
      <x:c r="E80" t="str">
        <x:v>Deputy Chief 3</x:v>
      </x:c>
      <x:c r="F80" t="str">
        <x:v>COMMN</x:v>
      </x:c>
      <x:c r="G80" t="str">
        <x:v>178.2625</x:v>
      </x:c>
      <x:c r="H80" t="str"/>
      <x:c r="I80" t="str"/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>
        <x:f>D80&amp;"|"&amp;UPPER(F80)&amp;"|"&amp;LEFT(B80,10)</x:f>
        <x:v>0402|COMMN|2025-07-01</x:v>
      </x:c>
    </x:row>
    <x:row r="81">
      <x:c r="A81" s="22" t="n">
        <x:v>125</x:v>
      </x:c>
      <x:c r="B81" t="str">
        <x:v>2026-07-01T00:00:00</x:v>
      </x:c>
      <x:c r="C81" t="str">
        <x:v>0402D</x:v>
      </x:c>
      <x:c r="D81" t="str">
        <x:v>0402</x:v>
      </x:c>
      <x:c r="E81" t="str">
        <x:v>Deputy Chief 3</x:v>
      </x:c>
      <x:c r="F81" t="str">
        <x:v>COMMN</x:v>
      </x:c>
      <x:c r="G81" t="str">
        <x:v>181.825</x:v>
      </x:c>
      <x:c r="H81" t="str"/>
      <x:c r="I81" t="str"/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>
        <x:f>D81&amp;"|"&amp;UPPER(F81)&amp;"|"&amp;LEFT(B81,10)</x:f>
        <x:v>0402|COMMN|2026-07-01</x:v>
      </x:c>
    </x:row>
    <x:row r="82">
      <x:c r="A82" s="22" t="n">
        <x:v>130</x:v>
      </x:c>
      <x:c r="B82" t="str">
        <x:v>2024-01-06T00:00:00</x:v>
      </x:c>
      <x:c r="C82" t="str">
        <x:v>0488Y</x:v>
      </x:c>
      <x:c r="D82" t="str">
        <x:v>0488</x:v>
      </x:c>
      <x:c r="E82" t="str">
        <x:v>Commander (Police Department)</x:v>
      </x:c>
      <x:c r="F82" t="str">
        <x:v>COMMN</x:v>
      </x:c>
      <x:c r="G82" t="str">
        <x:v>126.4125</x:v>
      </x:c>
      <x:c r="H82" t="str"/>
      <x:c r="I82" t="str"/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>
        <x:f>D82&amp;"|"&amp;UPPER(F82)&amp;"|"&amp;LEFT(B82,10)</x:f>
        <x:v>0488|COMMN|2024-01-06</x:v>
      </x:c>
    </x:row>
    <x:row r="83">
      <x:c r="A83" s="22" t="n">
        <x:v>131</x:v>
      </x:c>
      <x:c r="B83" t="str">
        <x:v>2024-07-01T00:00:00</x:v>
      </x:c>
      <x:c r="C83" t="str">
        <x:v>0488Z</x:v>
      </x:c>
      <x:c r="D83" t="str">
        <x:v>0488</x:v>
      </x:c>
      <x:c r="E83" t="str">
        <x:v>Commander (Police Department)</x:v>
      </x:c>
      <x:c r="F83" t="str">
        <x:v>COMMN</x:v>
      </x:c>
      <x:c r="G83" t="str">
        <x:v>128.9375</x:v>
      </x:c>
      <x:c r="H83" t="str"/>
      <x:c r="I83" t="str"/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>
        <x:f>D83&amp;"|"&amp;UPPER(F83)&amp;"|"&amp;LEFT(B83,10)</x:f>
        <x:v>0488|COMMN|2024-07-01</x:v>
      </x:c>
    </x:row>
    <x:row r="84">
      <x:c r="A84" s="22" t="n">
        <x:v>132</x:v>
      </x:c>
      <x:c r="B84" t="str">
        <x:v>2025-01-04T00:00:00</x:v>
      </x:c>
      <x:c r="C84" t="str">
        <x:v>0488A</x:v>
      </x:c>
      <x:c r="D84" t="str">
        <x:v>0488</x:v>
      </x:c>
      <x:c r="E84" t="str">
        <x:v>Commander (Police Department)</x:v>
      </x:c>
      <x:c r="F84" t="str">
        <x:v>COMMN</x:v>
      </x:c>
      <x:c r="G84" t="str">
        <x:v>132.8</x:v>
      </x:c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/>
      <x:c r="R84" t="str"/>
      <x:c r="S84" t="str"/>
      <x:c r="T84" t="str"/>
      <x:c r="U84" t="str"/>
      <x:c r="V84" t="str"/>
      <x:c r="W84" t="str"/>
      <x:c r="X84" t="str"/>
      <x:c r="Y84" t="str"/>
      <x:c r="Z84" t="str"/>
      <x:c r="AA84" t="str"/>
      <x:c r="AB84" t="str"/>
      <x:c r="AC84" t="str"/>
      <x:c r="AD84" t="str"/>
      <x:c r="AE84" t="str"/>
      <x:c r="AF84" t="str"/>
      <x:c r="AG84" t="str"/>
      <x:c r="AH84" t="str">
        <x:f>D84&amp;"|"&amp;UPPER(F84)&amp;"|"&amp;LEFT(B84,10)</x:f>
        <x:v>0488|COMMN|2025-01-04</x:v>
      </x:c>
    </x:row>
    <x:row r="85">
      <x:c r="A85" s="22" t="n">
        <x:v>133</x:v>
      </x:c>
      <x:c r="B85" t="str">
        <x:v>2025-07-01T00:00:00</x:v>
      </x:c>
      <x:c r="C85" t="str">
        <x:v>0488B</x:v>
      </x:c>
      <x:c r="D85" t="str">
        <x:v>0488</x:v>
      </x:c>
      <x:c r="E85" t="str">
        <x:v>Commander (Police Department)</x:v>
      </x:c>
      <x:c r="F85" t="str">
        <x:v>COMMN</x:v>
      </x:c>
      <x:c r="G85" t="str">
        <x:v>136.7875</x:v>
      </x:c>
      <x:c r="H85" t="str"/>
      <x:c r="I85" t="str"/>
      <x:c r="J85" t="str"/>
      <x:c r="K85" t="str"/>
      <x:c r="L85" t="str"/>
      <x:c r="M85" t="str"/>
      <x:c r="N85" t="str"/>
      <x:c r="O85" t="str"/>
      <x:c r="P85" t="str"/>
      <x:c r="Q85" t="str"/>
      <x:c r="R85" t="str"/>
      <x:c r="S85" t="str"/>
      <x:c r="T85" t="str"/>
      <x:c r="U85" t="str"/>
      <x:c r="V85" t="str"/>
      <x:c r="W85" t="str"/>
      <x:c r="X85" t="str"/>
      <x:c r="Y85" t="str"/>
      <x:c r="Z85" t="str"/>
      <x:c r="AA85" t="str"/>
      <x:c r="AB85" t="str"/>
      <x:c r="AC85" t="str"/>
      <x:c r="AD85" t="str"/>
      <x:c r="AE85" t="str"/>
      <x:c r="AF85" t="str"/>
      <x:c r="AG85" t="str"/>
      <x:c r="AH85" t="str">
        <x:f>D85&amp;"|"&amp;UPPER(F85)&amp;"|"&amp;LEFT(B85,10)</x:f>
        <x:v>0488|COMMN|2025-07-01</x:v>
      </x:c>
    </x:row>
    <x:row r="86">
      <x:c r="A86" s="22" t="n">
        <x:v>134</x:v>
      </x:c>
      <x:c r="B86" t="str">
        <x:v>2026-01-03T00:00:00</x:v>
      </x:c>
      <x:c r="C86" t="str">
        <x:v>0488C</x:v>
      </x:c>
      <x:c r="D86" t="str">
        <x:v>0488</x:v>
      </x:c>
      <x:c r="E86" t="str">
        <x:v>Commander (Police Department)</x:v>
      </x:c>
      <x:c r="F86" t="str">
        <x:v>COMMN</x:v>
      </x:c>
      <x:c r="G86" t="str">
        <x:v>140.8875</x:v>
      </x:c>
      <x:c r="H86" t="str"/>
      <x:c r="I86" t="str"/>
      <x:c r="J86" t="str"/>
      <x:c r="K86" t="str"/>
      <x:c r="L86" t="str"/>
      <x:c r="M86" t="str"/>
      <x:c r="N86" t="str"/>
      <x:c r="O86" t="str"/>
      <x:c r="P86" t="str"/>
      <x:c r="Q86" t="str"/>
      <x:c r="R86" t="str"/>
      <x:c r="S86" t="str"/>
      <x:c r="T86" t="str"/>
      <x:c r="U86" t="str"/>
      <x:c r="V86" t="str"/>
      <x:c r="W86" t="str"/>
      <x:c r="X86" t="str"/>
      <x:c r="Y86" t="str"/>
      <x:c r="Z86" t="str"/>
      <x:c r="AA86" t="str"/>
      <x:c r="AB86" t="str"/>
      <x:c r="AC86" t="str"/>
      <x:c r="AD86" t="str"/>
      <x:c r="AE86" t="str"/>
      <x:c r="AF86" t="str"/>
      <x:c r="AG86" t="str"/>
      <x:c r="AH86" t="str">
        <x:f>D86&amp;"|"&amp;UPPER(F86)&amp;"|"&amp;LEFT(B86,10)</x:f>
        <x:v>0488|COMMN|2026-01-03</x:v>
      </x:c>
    </x:row>
    <x:row r="87">
      <x:c r="A87" s="22" t="n">
        <x:v>135</x:v>
      </x:c>
      <x:c r="B87" t="str">
        <x:v>2026-07-01T00:00:00</x:v>
      </x:c>
      <x:c r="C87" t="str">
        <x:v>0488D</x:v>
      </x:c>
      <x:c r="D87" t="str">
        <x:v>0488</x:v>
      </x:c>
      <x:c r="E87" t="str">
        <x:v>Commander (Police Department)</x:v>
      </x:c>
      <x:c r="F87" t="str">
        <x:v>COMMN</x:v>
      </x:c>
      <x:c r="G87" t="str">
        <x:v>143.7</x:v>
      </x:c>
      <x:c r="H87" t="str"/>
      <x:c r="I87" t="str"/>
      <x:c r="J87" t="str"/>
      <x:c r="K87" t="str"/>
      <x:c r="L87" t="str"/>
      <x:c r="M87" t="str"/>
      <x:c r="N87" t="str"/>
      <x:c r="O87" t="str"/>
      <x:c r="P87" t="str"/>
      <x:c r="Q87" t="str"/>
      <x:c r="R87" t="str"/>
      <x:c r="S87" t="str"/>
      <x:c r="T87" t="str"/>
      <x:c r="U87" t="str"/>
      <x:c r="V87" t="str"/>
      <x:c r="W87" t="str"/>
      <x:c r="X87" t="str"/>
      <x:c r="Y87" t="str"/>
      <x:c r="Z87" t="str"/>
      <x:c r="AA87" t="str"/>
      <x:c r="AB87" t="str"/>
      <x:c r="AC87" t="str"/>
      <x:c r="AD87" t="str"/>
      <x:c r="AE87" t="str"/>
      <x:c r="AF87" t="str"/>
      <x:c r="AG87" t="str"/>
      <x:c r="AH87" t="str">
        <x:f>D87&amp;"|"&amp;UPPER(F87)&amp;"|"&amp;LEFT(B87,10)</x:f>
        <x:v>0488|COMMN|2026-07-01</x:v>
      </x:c>
    </x:row>
    <x:row r="88">
      <x:c r="A88" s="22" t="n">
        <x:v>140</x:v>
      </x:c>
      <x:c r="B88" t="str">
        <x:v>2024-01-06T00:00:00</x:v>
      </x:c>
      <x:c r="C88" t="str">
        <x:v>0489Y</x:v>
      </x:c>
      <x:c r="D88" t="str">
        <x:v>0489</x:v>
      </x:c>
      <x:c r="E88" t="str">
        <x:v>Commander 2</x:v>
      </x:c>
      <x:c r="F88" t="str">
        <x:v>COMMN</x:v>
      </x:c>
      <x:c r="G88" t="str">
        <x:v>134.025</x:v>
      </x:c>
      <x:c r="H88" t="str"/>
      <x:c r="I88" t="str"/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>
        <x:f>D88&amp;"|"&amp;UPPER(F88)&amp;"|"&amp;LEFT(B88,10)</x:f>
        <x:v>0489|COMMN|2024-01-06</x:v>
      </x:c>
    </x:row>
    <x:row r="89">
      <x:c r="A89" s="22" t="n">
        <x:v>141</x:v>
      </x:c>
      <x:c r="B89" t="str">
        <x:v>2024-07-01T00:00:00</x:v>
      </x:c>
      <x:c r="C89" t="str">
        <x:v>0489Z</x:v>
      </x:c>
      <x:c r="D89" t="str">
        <x:v>0489</x:v>
      </x:c>
      <x:c r="E89" t="str">
        <x:v>Commander 2</x:v>
      </x:c>
      <x:c r="F89" t="str">
        <x:v>COMMN</x:v>
      </x:c>
      <x:c r="G89" t="str">
        <x:v>136.7</x:v>
      </x:c>
      <x:c r="H89" t="str"/>
      <x:c r="I89" t="str"/>
      <x:c r="J89" t="str"/>
      <x:c r="K89" t="str"/>
      <x:c r="L89" t="str"/>
      <x:c r="M89" t="str"/>
      <x:c r="N89" t="str"/>
      <x:c r="O89" t="str"/>
      <x:c r="P89" t="str"/>
      <x:c r="Q89" t="str"/>
      <x:c r="R89" t="str"/>
      <x:c r="S89" t="str"/>
      <x:c r="T89" t="str"/>
      <x:c r="U89" t="str"/>
      <x:c r="V89" t="str"/>
      <x:c r="W89" t="str"/>
      <x:c r="X89" t="str"/>
      <x:c r="Y89" t="str"/>
      <x:c r="Z89" t="str"/>
      <x:c r="AA89" t="str"/>
      <x:c r="AB89" t="str"/>
      <x:c r="AC89" t="str"/>
      <x:c r="AD89" t="str"/>
      <x:c r="AE89" t="str"/>
      <x:c r="AF89" t="str"/>
      <x:c r="AG89" t="str"/>
      <x:c r="AH89" t="str">
        <x:f>D89&amp;"|"&amp;UPPER(F89)&amp;"|"&amp;LEFT(B89,10)</x:f>
        <x:v>0489|COMMN|2024-07-01</x:v>
      </x:c>
    </x:row>
    <x:row r="90">
      <x:c r="A90" s="22" t="n">
        <x:v>142</x:v>
      </x:c>
      <x:c r="B90" t="str">
        <x:v>2025-01-04T00:00:00</x:v>
      </x:c>
      <x:c r="C90" t="str">
        <x:v>0489A</x:v>
      </x:c>
      <x:c r="D90" t="str">
        <x:v>0489</x:v>
      </x:c>
      <x:c r="E90" t="str">
        <x:v>Commander 2</x:v>
      </x:c>
      <x:c r="F90" t="str">
        <x:v>COMMN</x:v>
      </x:c>
      <x:c r="G90" t="str">
        <x:v>140.8</x:v>
      </x:c>
      <x:c r="H90" t="str"/>
      <x:c r="I90" t="str"/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>
        <x:f>D90&amp;"|"&amp;UPPER(F90)&amp;"|"&amp;LEFT(B90,10)</x:f>
        <x:v>0489|COMMN|2025-01-04</x:v>
      </x:c>
    </x:row>
    <x:row r="91">
      <x:c r="A91" s="22" t="n">
        <x:v>143</x:v>
      </x:c>
      <x:c r="B91" t="str">
        <x:v>2025-07-01T00:00:00</x:v>
      </x:c>
      <x:c r="C91" t="str">
        <x:v>0489B</x:v>
      </x:c>
      <x:c r="D91" t="str">
        <x:v>0489</x:v>
      </x:c>
      <x:c r="E91" t="str">
        <x:v>Commander 2</x:v>
      </x:c>
      <x:c r="F91" t="str">
        <x:v>COMMN</x:v>
      </x:c>
      <x:c r="G91" t="str">
        <x:v>145.025</x:v>
      </x:c>
      <x:c r="H91" t="str"/>
      <x:c r="I91" t="str"/>
      <x:c r="J91" t="str"/>
      <x:c r="K91" t="str"/>
      <x:c r="L91" t="str"/>
      <x:c r="M91" t="str"/>
      <x:c r="N91" t="str"/>
      <x:c r="O91" t="str"/>
      <x:c r="P91" t="str"/>
      <x:c r="Q91" t="str"/>
      <x:c r="R91" t="str"/>
      <x:c r="S91" t="str"/>
      <x:c r="T91" t="str"/>
      <x:c r="U91" t="str"/>
      <x:c r="V91" t="str"/>
      <x:c r="W91" t="str"/>
      <x:c r="X91" t="str"/>
      <x:c r="Y91" t="str"/>
      <x:c r="Z91" t="str"/>
      <x:c r="AA91" t="str"/>
      <x:c r="AB91" t="str"/>
      <x:c r="AC91" t="str"/>
      <x:c r="AD91" t="str"/>
      <x:c r="AE91" t="str"/>
      <x:c r="AF91" t="str"/>
      <x:c r="AG91" t="str"/>
      <x:c r="AH91" t="str">
        <x:f>D91&amp;"|"&amp;UPPER(F91)&amp;"|"&amp;LEFT(B91,10)</x:f>
        <x:v>0489|COMMN|2025-07-01</x:v>
      </x:c>
    </x:row>
    <x:row r="92">
      <x:c r="A92" s="22" t="n">
        <x:v>144</x:v>
      </x:c>
      <x:c r="B92" t="str">
        <x:v>2026-01-03T00:00:00</x:v>
      </x:c>
      <x:c r="C92" t="str">
        <x:v>0489C</x:v>
      </x:c>
      <x:c r="D92" t="str">
        <x:v>0489</x:v>
      </x:c>
      <x:c r="E92" t="str">
        <x:v>Commander 2</x:v>
      </x:c>
      <x:c r="F92" t="str">
        <x:v>COMMN</x:v>
      </x:c>
      <x:c r="G92" t="str">
        <x:v>149.375</x:v>
      </x:c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>
        <x:f>D92&amp;"|"&amp;UPPER(F92)&amp;"|"&amp;LEFT(B92,10)</x:f>
        <x:v>0489|COMMN|2026-01-03</x:v>
      </x:c>
    </x:row>
    <x:row r="93">
      <x:c r="A93" s="22" t="n">
        <x:v>145</x:v>
      </x:c>
      <x:c r="B93" t="str">
        <x:v>2026-07-01T00:00:00</x:v>
      </x:c>
      <x:c r="C93" t="str">
        <x:v>0489D</x:v>
      </x:c>
      <x:c r="D93" t="str">
        <x:v>0489</x:v>
      </x:c>
      <x:c r="E93" t="str">
        <x:v>Commander 2</x:v>
      </x:c>
      <x:c r="F93" t="str">
        <x:v>COMMN</x:v>
      </x:c>
      <x:c r="G93" t="str">
        <x:v>152.3625</x:v>
      </x:c>
      <x:c r="H93" t="str"/>
      <x:c r="I93" t="str"/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>
        <x:f>D93&amp;"|"&amp;UPPER(F93)&amp;"|"&amp;LEFT(B93,10)</x:f>
        <x:v>0489|COMMN|2026-07-01</x:v>
      </x:c>
    </x:row>
    <x:row r="94">
      <x:c r="A94" s="22" t="n">
        <x:v>150</x:v>
      </x:c>
      <x:c r="B94" t="str">
        <x:v>2024-01-06T00:00:00</x:v>
      </x:c>
      <x:c r="C94" t="str">
        <x:v>0490Y</x:v>
      </x:c>
      <x:c r="D94" t="str">
        <x:v>0490</x:v>
      </x:c>
      <x:c r="E94" t="str">
        <x:v>Commander III</x:v>
      </x:c>
      <x:c r="F94" t="str">
        <x:v>COMMN</x:v>
      </x:c>
      <x:c r="G94" t="str">
        <x:v>136.5625</x:v>
      </x:c>
      <x:c r="H94" t="str"/>
      <x:c r="I94" t="str"/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>
        <x:f>D94&amp;"|"&amp;UPPER(F94)&amp;"|"&amp;LEFT(B94,10)</x:f>
        <x:v>0490|COMMN|2024-01-06</x:v>
      </x:c>
    </x:row>
    <x:row r="95">
      <x:c r="A95" s="22" t="n">
        <x:v>151</x:v>
      </x:c>
      <x:c r="B95" t="str">
        <x:v>2024-07-01T00:00:00</x:v>
      </x:c>
      <x:c r="C95" t="str">
        <x:v>0490Z</x:v>
      </x:c>
      <x:c r="D95" t="str">
        <x:v>0490</x:v>
      </x:c>
      <x:c r="E95" t="str">
        <x:v>Commander III</x:v>
      </x:c>
      <x:c r="F95" t="str">
        <x:v>COMMN</x:v>
      </x:c>
      <x:c r="G95" t="str">
        <x:v>139.3</x:v>
      </x:c>
      <x:c r="H95" t="str"/>
      <x:c r="I95" t="str"/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>
        <x:f>D95&amp;"|"&amp;UPPER(F95)&amp;"|"&amp;LEFT(B95,10)</x:f>
        <x:v>0490|COMMN|2024-07-01</x:v>
      </x:c>
    </x:row>
    <x:row r="96">
      <x:c r="A96" s="22" t="n">
        <x:v>152</x:v>
      </x:c>
      <x:c r="B96" t="str">
        <x:v>2025-01-04T00:00:00</x:v>
      </x:c>
      <x:c r="C96" t="str">
        <x:v>0490A</x:v>
      </x:c>
      <x:c r="D96" t="str">
        <x:v>0490</x:v>
      </x:c>
      <x:c r="E96" t="str">
        <x:v>Commander III</x:v>
      </x:c>
      <x:c r="F96" t="str">
        <x:v>COMMN</x:v>
      </x:c>
      <x:c r="G96" t="str">
        <x:v>143.475</x:v>
      </x:c>
      <x:c r="H96" t="str"/>
      <x:c r="I96" t="str"/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>
        <x:f>D96&amp;"|"&amp;UPPER(F96)&amp;"|"&amp;LEFT(B96,10)</x:f>
        <x:v>0490|COMMN|2025-01-04</x:v>
      </x:c>
    </x:row>
    <x:row r="97">
      <x:c r="A97" s="22" t="n">
        <x:v>153</x:v>
      </x:c>
      <x:c r="B97" t="str">
        <x:v>2025-07-01T00:00:00</x:v>
      </x:c>
      <x:c r="C97" t="str">
        <x:v>0490B</x:v>
      </x:c>
      <x:c r="D97" t="str">
        <x:v>0490</x:v>
      </x:c>
      <x:c r="E97" t="str">
        <x:v>Commander 3</x:v>
      </x:c>
      <x:c r="F97" t="str">
        <x:v>COMMN</x:v>
      </x:c>
      <x:c r="G97" t="str">
        <x:v>147.775</x:v>
      </x:c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>
        <x:f>D97&amp;"|"&amp;UPPER(F97)&amp;"|"&amp;LEFT(B97,10)</x:f>
        <x:v>0490|COMMN|2025-07-01</x:v>
      </x:c>
    </x:row>
    <x:row r="98">
      <x:c r="A98" s="22" t="n">
        <x:v>154</x:v>
      </x:c>
      <x:c r="B98" t="str">
        <x:v>2026-01-03T00:00:00</x:v>
      </x:c>
      <x:c r="C98" t="str">
        <x:v>0490C</x:v>
      </x:c>
      <x:c r="D98" t="str">
        <x:v>0490</x:v>
      </x:c>
      <x:c r="E98" t="str">
        <x:v>Commander 3</x:v>
      </x:c>
      <x:c r="F98" t="str">
        <x:v>COMMN</x:v>
      </x:c>
      <x:c r="G98" t="str">
        <x:v>152.2125</x:v>
      </x:c>
      <x:c r="H98" t="str"/>
      <x:c r="I98" t="str"/>
      <x:c r="J98" t="str"/>
      <x:c r="K98" t="str"/>
      <x:c r="L98" t="str"/>
      <x:c r="M98" t="str"/>
      <x:c r="N98" t="str"/>
      <x:c r="O98" t="str"/>
      <x:c r="P98" t="str"/>
      <x:c r="Q98" t="str"/>
      <x:c r="R98" t="str"/>
      <x:c r="S98" t="str"/>
      <x:c r="T98" t="str"/>
      <x:c r="U98" t="str"/>
      <x:c r="V98" t="str"/>
      <x:c r="W98" t="str"/>
      <x:c r="X98" t="str"/>
      <x:c r="Y98" t="str"/>
      <x:c r="Z98" t="str"/>
      <x:c r="AA98" t="str"/>
      <x:c r="AB98" t="str"/>
      <x:c r="AC98" t="str"/>
      <x:c r="AD98" t="str"/>
      <x:c r="AE98" t="str"/>
      <x:c r="AF98" t="str"/>
      <x:c r="AG98" t="str">
        <x:v>Please note, step 2 requires 6 months of service in the bargaining unit.</x:v>
      </x:c>
      <x:c r="AH98" t="str">
        <x:f>D98&amp;"|"&amp;UPPER(F98)&amp;"|"&amp;LEFT(B98,10)</x:f>
        <x:v>0490|COMMN|2026-01-03</x:v>
      </x:c>
    </x:row>
    <x:row r="99">
      <x:c r="A99" s="22" t="n">
        <x:v>155</x:v>
      </x:c>
      <x:c r="B99" t="str">
        <x:v>2026-07-01T00:00:00</x:v>
      </x:c>
      <x:c r="C99" t="str">
        <x:v>0490D</x:v>
      </x:c>
      <x:c r="D99" t="str">
        <x:v>0490</x:v>
      </x:c>
      <x:c r="E99" t="str">
        <x:v>Commander 3</x:v>
      </x:c>
      <x:c r="F99" t="str">
        <x:v>COMMN</x:v>
      </x:c>
      <x:c r="G99" t="str">
        <x:v>155.2625</x:v>
      </x:c>
      <x:c r="H99" t="str">
        <x:v>164.575</x:v>
      </x:c>
      <x:c r="I99" t="str"/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>
        <x:v>Please note, step 2 requires 6 months of service in the bargaining unit.</x:v>
      </x:c>
      <x:c r="AH99" t="str">
        <x:f>D99&amp;"|"&amp;UPPER(F99)&amp;"|"&amp;LEFT(B99,10)</x:f>
        <x:v>0490|COMMN|2026-07-01</x:v>
      </x:c>
    </x:row>
    <x:row r="100">
      <x:c r="A100" s="22" t="n">
        <x:v>161</x:v>
      </x:c>
      <x:c r="B100" t="str">
        <x:v>2024-01-06T00:00:00</x:v>
      </x:c>
      <x:c r="C100" t="str">
        <x:v>0720Y</x:v>
      </x:c>
      <x:c r="D100" t="str">
        <x:v>0720</x:v>
      </x:c>
      <x:c r="E100" t="str">
        <x:v>Member, Board Of Supervisors</x:v>
      </x:c>
      <x:c r="F100" t="str">
        <x:v>COMMN</x:v>
      </x:c>
      <x:c r="G100" t="str">
        <x:v>78.7875</x:v>
      </x:c>
      <x:c r="H100" t="str"/>
      <x:c r="I100" t="str"/>
      <x:c r="J100" t="str"/>
      <x:c r="K100" t="str"/>
      <x:c r="L100" t="str"/>
      <x:c r="M100" t="str"/>
      <x:c r="N100" t="str"/>
      <x:c r="O100" t="str"/>
      <x:c r="P100" t="str"/>
      <x:c r="Q100" t="str"/>
      <x:c r="R100" t="str"/>
      <x:c r="S100" t="str"/>
      <x:c r="T100" t="str"/>
      <x:c r="U100" t="str"/>
      <x:c r="V100" t="str"/>
      <x:c r="W100" t="str"/>
      <x:c r="X100" t="str"/>
      <x:c r="Y100" t="str"/>
      <x:c r="Z100" t="str"/>
      <x:c r="AA100" t="str"/>
      <x:c r="AB100" t="str"/>
      <x:c r="AC100" t="str"/>
      <x:c r="AD100" t="str"/>
      <x:c r="AE100" t="str"/>
      <x:c r="AF100" t="str"/>
      <x:c r="AG100" t="str"/>
      <x:c r="AH100" t="str">
        <x:f>D100&amp;"|"&amp;UPPER(F100)&amp;"|"&amp;LEFT(B100,10)</x:f>
        <x:v>0720|COMMN|2024-01-06</x:v>
      </x:c>
    </x:row>
    <x:row r="101">
      <x:c r="A101" s="22" t="n">
        <x:v>162</x:v>
      </x:c>
      <x:c r="B101" t="str">
        <x:v>2024-07-01T00:00:00</x:v>
      </x:c>
      <x:c r="C101" t="str">
        <x:v>0720Z</x:v>
      </x:c>
      <x:c r="D101" t="str">
        <x:v>0720</x:v>
      </x:c>
      <x:c r="E101" t="str">
        <x:v>Member, Board Of Supervisors</x:v>
      </x:c>
      <x:c r="F101" t="str">
        <x:v>COMMN</x:v>
      </x:c>
      <x:c r="G101" t="str">
        <x:v>81.9375</x:v>
      </x:c>
      <x:c r="H101" t="str"/>
      <x:c r="I101" t="str"/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>
        <x:f>D101&amp;"|"&amp;UPPER(F101)&amp;"|"&amp;LEFT(B101,10)</x:f>
        <x:v>0720|COMMN|2024-07-01</x:v>
      </x:c>
    </x:row>
    <x:row r="102">
      <x:c r="A102" s="22" t="n">
        <x:v>163</x:v>
      </x:c>
      <x:c r="B102" t="str">
        <x:v>2025-01-04T00:00:00</x:v>
      </x:c>
      <x:c r="C102" t="str">
        <x:v>0720A</x:v>
      </x:c>
      <x:c r="D102" t="str">
        <x:v>0720</x:v>
      </x:c>
      <x:c r="E102" t="str">
        <x:v>Member, Board Of Supervisors</x:v>
      </x:c>
      <x:c r="F102" t="str">
        <x:v>COMMN</x:v>
      </x:c>
      <x:c r="G102" t="str">
        <x:v>81.9375</x:v>
      </x:c>
      <x:c r="H102" t="str"/>
      <x:c r="I102" t="str"/>
      <x:c r="J102" t="str"/>
      <x:c r="K102" t="str"/>
      <x:c r="L102" t="str"/>
      <x:c r="M102" t="str"/>
      <x:c r="N102" t="str"/>
      <x:c r="O102" t="str"/>
      <x:c r="P102" t="str"/>
      <x:c r="Q102" t="str"/>
      <x:c r="R102" t="str"/>
      <x:c r="S102" t="str"/>
      <x:c r="T102" t="str"/>
      <x:c r="U102" t="str"/>
      <x:c r="V102" t="str"/>
      <x:c r="W102" t="str"/>
      <x:c r="X102" t="str"/>
      <x:c r="Y102" t="str"/>
      <x:c r="Z102" t="str"/>
      <x:c r="AA102" t="str"/>
      <x:c r="AB102" t="str"/>
      <x:c r="AC102" t="str"/>
      <x:c r="AD102" t="str"/>
      <x:c r="AE102" t="str"/>
      <x:c r="AF102" t="str"/>
      <x:c r="AG102" t="str"/>
      <x:c r="AH102" t="str">
        <x:f>D102&amp;"|"&amp;UPPER(F102)&amp;"|"&amp;LEFT(B102,10)</x:f>
        <x:v>0720|COMMN|2025-01-04</x:v>
      </x:c>
    </x:row>
    <x:row r="103">
      <x:c r="A103" s="22" t="n">
        <x:v>164</x:v>
      </x:c>
      <x:c r="B103" t="str">
        <x:v>2025-07-01T00:00:00</x:v>
      </x:c>
      <x:c r="C103" t="str">
        <x:v>0720B</x:v>
      </x:c>
      <x:c r="D103" t="str">
        <x:v>0720</x:v>
      </x:c>
      <x:c r="E103" t="str">
        <x:v>Member, Board of Supervisors</x:v>
      </x:c>
      <x:c r="F103" t="str">
        <x:v>COMMN</x:v>
      </x:c>
      <x:c r="G103" t="str">
        <x:v>84.3125</x:v>
      </x:c>
      <x:c r="H103" t="str"/>
      <x:c r="I103" t="str"/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>
        <x:f>D103&amp;"|"&amp;UPPER(F103)&amp;"|"&amp;LEFT(B103,10)</x:f>
        <x:v>0720|COMMN|2025-07-01</x:v>
      </x:c>
    </x:row>
    <x:row r="104">
      <x:c r="A104" s="22" t="n">
        <x:v>165</x:v>
      </x:c>
      <x:c r="B104" t="str">
        <x:v>2026-07-01T00:00:00</x:v>
      </x:c>
      <x:c r="C104" t="str">
        <x:v>0720D</x:v>
      </x:c>
      <x:c r="D104" t="str">
        <x:v>0720</x:v>
      </x:c>
      <x:c r="E104" t="str">
        <x:v>Member, Board of Supervisors</x:v>
      </x:c>
      <x:c r="F104" t="str">
        <x:v>COMMN</x:v>
      </x:c>
      <x:c r="G104" t="str">
        <x:v>86.5875</x:v>
      </x:c>
      <x:c r="H104" t="str"/>
      <x:c r="I104" t="str"/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>
        <x:f>D104&amp;"|"&amp;UPPER(F104)&amp;"|"&amp;LEFT(B104,10)</x:f>
        <x:v>0720|COMMN|2026-07-01</x:v>
      </x:c>
    </x:row>
    <x:row r="105">
      <x:c r="A105" s="22" t="n">
        <x:v>172</x:v>
      </x:c>
      <x:c r="B105" t="str">
        <x:v>2024-01-06T00:00:00</x:v>
      </x:c>
      <x:c r="C105" t="str">
        <x:v>0881Y</x:v>
      </x:c>
      <x:c r="D105" t="str">
        <x:v>0881</x:v>
      </x:c>
      <x:c r="E105" t="str">
        <x:v>Mayoral Staff I</x:v>
      </x:c>
      <x:c r="F105" t="str">
        <x:v>COMMN</x:v>
      </x:c>
      <x:c r="G105" t="str">
        <x:v>26.0125</x:v>
      </x:c>
      <x:c r="H105" t="str">
        <x:v>27.3125</x:v>
      </x:c>
      <x:c r="I105" t="str">
        <x:v>28.6625</x:v>
      </x:c>
      <x:c r="J105" t="str">
        <x:v>30.075</x:v>
      </x:c>
      <x:c r="K105" t="str">
        <x:v>31.6</x:v>
      </x:c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>
        <x:f>D105&amp;"|"&amp;UPPER(F105)&amp;"|"&amp;LEFT(B105,10)</x:f>
        <x:v>0881|COMMN|2024-01-06</x:v>
      </x:c>
    </x:row>
    <x:row r="106">
      <x:c r="A106" s="22" t="n">
        <x:v>173</x:v>
      </x:c>
      <x:c r="B106" t="str">
        <x:v>2024-07-01T00:00:00</x:v>
      </x:c>
      <x:c r="C106" t="str">
        <x:v>0881Z</x:v>
      </x:c>
      <x:c r="D106" t="str">
        <x:v>0881</x:v>
      </x:c>
      <x:c r="E106" t="str">
        <x:v>Mayoral Staff I</x:v>
      </x:c>
      <x:c r="F106" t="str">
        <x:v>COMMN</x:v>
      </x:c>
      <x:c r="G106" t="str">
        <x:v>26.4</x:v>
      </x:c>
      <x:c r="H106" t="str">
        <x:v>27.725</x:v>
      </x:c>
      <x:c r="I106" t="str">
        <x:v>29.0875</x:v>
      </x:c>
      <x:c r="J106" t="str">
        <x:v>30.525</x:v>
      </x:c>
      <x:c r="K106" t="str">
        <x:v>32.075</x:v>
      </x:c>
      <x:c r="L106" t="str"/>
      <x:c r="M106" t="str"/>
      <x:c r="N106" t="str"/>
      <x:c r="O106" t="str"/>
      <x:c r="P106" t="str"/>
      <x:c r="Q106" t="str"/>
      <x:c r="R106" t="str"/>
      <x:c r="S106" t="str"/>
      <x:c r="T106" t="str"/>
      <x:c r="U106" t="str"/>
      <x:c r="V106" t="str"/>
      <x:c r="W106" t="str"/>
      <x:c r="X106" t="str"/>
      <x:c r="Y106" t="str"/>
      <x:c r="Z106" t="str"/>
      <x:c r="AA106" t="str"/>
      <x:c r="AB106" t="str"/>
      <x:c r="AC106" t="str"/>
      <x:c r="AD106" t="str"/>
      <x:c r="AE106" t="str"/>
      <x:c r="AF106" t="str"/>
      <x:c r="AG106" t="str"/>
      <x:c r="AH106" t="str">
        <x:f>D106&amp;"|"&amp;UPPER(F106)&amp;"|"&amp;LEFT(B106,10)</x:f>
        <x:v>0881|COMMN|2024-07-01</x:v>
      </x:c>
    </x:row>
    <x:row r="107">
      <x:c r="A107" s="22" t="n">
        <x:v>174</x:v>
      </x:c>
      <x:c r="B107" t="str">
        <x:v>2025-01-04T00:00:00</x:v>
      </x:c>
      <x:c r="C107" t="str">
        <x:v>0881A</x:v>
      </x:c>
      <x:c r="D107" t="str">
        <x:v>0881</x:v>
      </x:c>
      <x:c r="E107" t="str">
        <x:v>Mayoral Staff I</x:v>
      </x:c>
      <x:c r="F107" t="str">
        <x:v>COMMN</x:v>
      </x:c>
      <x:c r="G107" t="str">
        <x:v>26.8</x:v>
      </x:c>
      <x:c r="H107" t="str">
        <x:v>28.1375</x:v>
      </x:c>
      <x:c r="I107" t="str">
        <x:v>29.525</x:v>
      </x:c>
      <x:c r="J107" t="str">
        <x:v>30.9875</x:v>
      </x:c>
      <x:c r="K107" t="str">
        <x:v>32.55</x:v>
      </x:c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>
        <x:f>D107&amp;"|"&amp;UPPER(F107)&amp;"|"&amp;LEFT(B107,10)</x:f>
        <x:v>0881|COMMN|2025-01-04</x:v>
      </x:c>
    </x:row>
    <x:row r="108">
      <x:c r="A108" s="22" t="n">
        <x:v>175</x:v>
      </x:c>
      <x:c r="B108" t="str">
        <x:v>2025-07-01T00:00:00</x:v>
      </x:c>
      <x:c r="C108" t="str">
        <x:v>0881B</x:v>
      </x:c>
      <x:c r="D108" t="str">
        <x:v>0881</x:v>
      </x:c>
      <x:c r="E108" t="str">
        <x:v>Mayoral Staff I</x:v>
      </x:c>
      <x:c r="F108" t="str">
        <x:v>COMMN</x:v>
      </x:c>
      <x:c r="G108" t="str">
        <x:v>27.3375</x:v>
      </x:c>
      <x:c r="H108" t="str">
        <x:v>28.7</x:v>
      </x:c>
      <x:c r="I108" t="str">
        <x:v>30.1125</x:v>
      </x:c>
      <x:c r="J108" t="str">
        <x:v>31.6125</x:v>
      </x:c>
      <x:c r="K108" t="str">
        <x:v>33.2</x:v>
      </x:c>
      <x:c r="L108" t="str"/>
      <x:c r="M108" t="str"/>
      <x:c r="N108" t="str"/>
      <x:c r="O108" t="str"/>
      <x:c r="P108" t="str"/>
      <x:c r="Q108" t="str"/>
      <x:c r="R108" t="str"/>
      <x:c r="S108" t="str"/>
      <x:c r="T108" t="str"/>
      <x:c r="U108" t="str"/>
      <x:c r="V108" t="str"/>
      <x:c r="W108" t="str"/>
      <x:c r="X108" t="str"/>
      <x:c r="Y108" t="str"/>
      <x:c r="Z108" t="str"/>
      <x:c r="AA108" t="str"/>
      <x:c r="AB108" t="str"/>
      <x:c r="AC108" t="str"/>
      <x:c r="AD108" t="str"/>
      <x:c r="AE108" t="str"/>
      <x:c r="AF108" t="str"/>
      <x:c r="AG108" t="str"/>
      <x:c r="AH108" t="str">
        <x:f>D108&amp;"|"&amp;UPPER(F108)&amp;"|"&amp;LEFT(B108,10)</x:f>
        <x:v>0881|COMMN|2025-07-01</x:v>
      </x:c>
    </x:row>
    <x:row r="109">
      <x:c r="A109" s="22" t="n">
        <x:v>176</x:v>
      </x:c>
      <x:c r="B109" t="str">
        <x:v>2026-01-03T00:00:00</x:v>
      </x:c>
      <x:c r="C109" t="str">
        <x:v>0881C</x:v>
      </x:c>
      <x:c r="D109" t="str">
        <x:v>0881</x:v>
      </x:c>
      <x:c r="E109" t="str">
        <x:v>Mayoral Staff I</x:v>
      </x:c>
      <x:c r="F109" t="str">
        <x:v>COMMN</x:v>
      </x:c>
      <x:c r="G109" t="str">
        <x:v>27.75</x:v>
      </x:c>
      <x:c r="H109" t="str">
        <x:v>29.125</x:v>
      </x:c>
      <x:c r="I109" t="str">
        <x:v>30.5625</x:v>
      </x:c>
      <x:c r="J109" t="str">
        <x:v>32.0875</x:v>
      </x:c>
      <x:c r="K109" t="str">
        <x:v>33.7</x:v>
      </x:c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>
        <x:f>D109&amp;"|"&amp;UPPER(F109)&amp;"|"&amp;LEFT(B109,10)</x:f>
        <x:v>0881|COMMN|2026-01-03</x:v>
      </x:c>
    </x:row>
    <x:row r="110">
      <x:c r="A110" s="22" t="n">
        <x:v>177</x:v>
      </x:c>
      <x:c r="B110" t="str">
        <x:v>2026-07-01T00:00:00</x:v>
      </x:c>
      <x:c r="C110" t="str">
        <x:v>0881D</x:v>
      </x:c>
      <x:c r="D110" t="str">
        <x:v>0881</x:v>
      </x:c>
      <x:c r="E110" t="str">
        <x:v>Mayoral Staff I</x:v>
      </x:c>
      <x:c r="F110" t="str">
        <x:v>COMMN</x:v>
      </x:c>
      <x:c r="G110" t="str">
        <x:v>28.3</x:v>
      </x:c>
      <x:c r="H110" t="str">
        <x:v>29.7125</x:v>
      </x:c>
      <x:c r="I110" t="str">
        <x:v>31.175</x:v>
      </x:c>
      <x:c r="J110" t="str">
        <x:v>32.725</x:v>
      </x:c>
      <x:c r="K110" t="str">
        <x:v>34.375</x:v>
      </x:c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>
        <x:f>D110&amp;"|"&amp;UPPER(F110)&amp;"|"&amp;LEFT(B110,10)</x:f>
        <x:v>0881|COMMN|2026-07-01</x:v>
      </x:c>
    </x:row>
    <x:row r="111">
      <x:c r="A111" s="22" t="n">
        <x:v>184</x:v>
      </x:c>
      <x:c r="B111" t="str">
        <x:v>2024-01-06T00:00:00</x:v>
      </x:c>
      <x:c r="C111" t="str">
        <x:v>0882Y</x:v>
      </x:c>
      <x:c r="D111" t="str">
        <x:v>0882</x:v>
      </x:c>
      <x:c r="E111" t="str">
        <x:v>Mayoral Staff II</x:v>
      </x:c>
      <x:c r="F111" t="str">
        <x:v>COMMN</x:v>
      </x:c>
      <x:c r="G111" t="str">
        <x:v>27.9625</x:v>
      </x:c>
      <x:c r="H111" t="str">
        <x:v>29.3375</x:v>
      </x:c>
      <x:c r="I111" t="str">
        <x:v>30.8125</x:v>
      </x:c>
      <x:c r="J111" t="str">
        <x:v>32.3875</x:v>
      </x:c>
      <x:c r="K111" t="str">
        <x:v>33.9875</x:v>
      </x:c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>
        <x:f>D111&amp;"|"&amp;UPPER(F111)&amp;"|"&amp;LEFT(B111,10)</x:f>
        <x:v>0882|COMMN|2024-01-06</x:v>
      </x:c>
    </x:row>
    <x:row r="112">
      <x:c r="A112" s="22" t="n">
        <x:v>185</x:v>
      </x:c>
      <x:c r="B112" t="str">
        <x:v>2024-07-01T00:00:00</x:v>
      </x:c>
      <x:c r="C112" t="str">
        <x:v>0882Z</x:v>
      </x:c>
      <x:c r="D112" t="str">
        <x:v>0882</x:v>
      </x:c>
      <x:c r="E112" t="str">
        <x:v>Mayoral Staff II</x:v>
      </x:c>
      <x:c r="F112" t="str">
        <x:v>COMMN</x:v>
      </x:c>
      <x:c r="G112" t="str">
        <x:v>28.3875</x:v>
      </x:c>
      <x:c r="H112" t="str">
        <x:v>29.775</x:v>
      </x:c>
      <x:c r="I112" t="str">
        <x:v>31.275</x:v>
      </x:c>
      <x:c r="J112" t="str">
        <x:v>32.875</x:v>
      </x:c>
      <x:c r="K112" t="str">
        <x:v>34.5</x:v>
      </x:c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>
        <x:f>D112&amp;"|"&amp;UPPER(F112)&amp;"|"&amp;LEFT(B112,10)</x:f>
        <x:v>0882|COMMN|2024-07-01</x:v>
      </x:c>
    </x:row>
    <x:row r="113">
      <x:c r="A113" s="22" t="n">
        <x:v>186</x:v>
      </x:c>
      <x:c r="B113" t="str">
        <x:v>2025-01-04T00:00:00</x:v>
      </x:c>
      <x:c r="C113" t="str">
        <x:v>0882A</x:v>
      </x:c>
      <x:c r="D113" t="str">
        <x:v>0882</x:v>
      </x:c>
      <x:c r="E113" t="str">
        <x:v>Mayoral Staff II</x:v>
      </x:c>
      <x:c r="F113" t="str">
        <x:v>COMMN</x:v>
      </x:c>
      <x:c r="G113" t="str">
        <x:v>28.8125</x:v>
      </x:c>
      <x:c r="H113" t="str">
        <x:v>30.225</x:v>
      </x:c>
      <x:c r="I113" t="str">
        <x:v>31.75</x:v>
      </x:c>
      <x:c r="J113" t="str">
        <x:v>33.3625</x:v>
      </x:c>
      <x:c r="K113" t="str">
        <x:v>35.0125</x:v>
      </x:c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>
        <x:f>D113&amp;"|"&amp;UPPER(F113)&amp;"|"&amp;LEFT(B113,10)</x:f>
        <x:v>0882|COMMN|2025-01-04</x:v>
      </x:c>
    </x:row>
    <x:row r="114">
      <x:c r="A114" s="22" t="n">
        <x:v>187</x:v>
      </x:c>
      <x:c r="B114" t="str">
        <x:v>2025-07-01T00:00:00</x:v>
      </x:c>
      <x:c r="C114" t="str">
        <x:v>0882B</x:v>
      </x:c>
      <x:c r="D114" t="str">
        <x:v>0882</x:v>
      </x:c>
      <x:c r="E114" t="str">
        <x:v>Mayoral Staff II</x:v>
      </x:c>
      <x:c r="F114" t="str">
        <x:v>COMMN</x:v>
      </x:c>
      <x:c r="G114" t="str">
        <x:v>29.3875</x:v>
      </x:c>
      <x:c r="H114" t="str">
        <x:v>30.8375</x:v>
      </x:c>
      <x:c r="I114" t="str">
        <x:v>32.3875</x:v>
      </x:c>
      <x:c r="J114" t="str">
        <x:v>34.0375</x:v>
      </x:c>
      <x:c r="K114" t="str">
        <x:v>35.7125</x:v>
      </x:c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>
        <x:f>D114&amp;"|"&amp;UPPER(F114)&amp;"|"&amp;LEFT(B114,10)</x:f>
        <x:v>0882|COMMN|2025-07-01</x:v>
      </x:c>
    </x:row>
    <x:row r="115">
      <x:c r="A115" s="22" t="n">
        <x:v>188</x:v>
      </x:c>
      <x:c r="B115" t="str">
        <x:v>2026-01-03T00:00:00</x:v>
      </x:c>
      <x:c r="C115" t="str">
        <x:v>0882C</x:v>
      </x:c>
      <x:c r="D115" t="str">
        <x:v>0882</x:v>
      </x:c>
      <x:c r="E115" t="str">
        <x:v>Mayoral Staff II</x:v>
      </x:c>
      <x:c r="F115" t="str">
        <x:v>COMMN</x:v>
      </x:c>
      <x:c r="G115" t="str">
        <x:v>29.825</x:v>
      </x:c>
      <x:c r="H115" t="str">
        <x:v>31.3</x:v>
      </x:c>
      <x:c r="I115" t="str">
        <x:v>32.875</x:v>
      </x:c>
      <x:c r="J115" t="str">
        <x:v>34.55</x:v>
      </x:c>
      <x:c r="K115" t="str">
        <x:v>36.25</x:v>
      </x:c>
      <x:c r="L115" t="str"/>
      <x:c r="M115" t="str"/>
      <x:c r="N115" t="str"/>
      <x:c r="O115" t="str"/>
      <x:c r="P115" t="str"/>
      <x:c r="Q115" t="str"/>
      <x:c r="R115" t="str"/>
      <x:c r="S115" t="str"/>
      <x:c r="T115" t="str"/>
      <x:c r="U115" t="str"/>
      <x:c r="V115" t="str"/>
      <x:c r="W115" t="str"/>
      <x:c r="X115" t="str"/>
      <x:c r="Y115" t="str"/>
      <x:c r="Z115" t="str"/>
      <x:c r="AA115" t="str"/>
      <x:c r="AB115" t="str"/>
      <x:c r="AC115" t="str"/>
      <x:c r="AD115" t="str"/>
      <x:c r="AE115" t="str"/>
      <x:c r="AF115" t="str"/>
      <x:c r="AG115" t="str"/>
      <x:c r="AH115" t="str">
        <x:f>D115&amp;"|"&amp;UPPER(F115)&amp;"|"&amp;LEFT(B115,10)</x:f>
        <x:v>0882|COMMN|2026-01-03</x:v>
      </x:c>
    </x:row>
    <x:row r="116">
      <x:c r="A116" s="22" t="n">
        <x:v>189</x:v>
      </x:c>
      <x:c r="B116" t="str">
        <x:v>2026-07-01T00:00:00</x:v>
      </x:c>
      <x:c r="C116" t="str">
        <x:v>0882D</x:v>
      </x:c>
      <x:c r="D116" t="str">
        <x:v>0882</x:v>
      </x:c>
      <x:c r="E116" t="str">
        <x:v>Mayoral Staff II</x:v>
      </x:c>
      <x:c r="F116" t="str">
        <x:v>COMMN</x:v>
      </x:c>
      <x:c r="G116" t="str">
        <x:v>30.425</x:v>
      </x:c>
      <x:c r="H116" t="str">
        <x:v>31.925</x:v>
      </x:c>
      <x:c r="I116" t="str">
        <x:v>33.5375</x:v>
      </x:c>
      <x:c r="J116" t="str">
        <x:v>35.2375</x:v>
      </x:c>
      <x:c r="K116" t="str">
        <x:v>36.975</x:v>
      </x:c>
      <x:c r="L116" t="str"/>
      <x:c r="M116" t="str"/>
      <x:c r="N116" t="str"/>
      <x:c r="O116" t="str"/>
      <x:c r="P116" t="str"/>
      <x:c r="Q116" t="str"/>
      <x:c r="R116" t="str"/>
      <x:c r="S116" t="str"/>
      <x:c r="T116" t="str"/>
      <x:c r="U116" t="str"/>
      <x:c r="V116" t="str"/>
      <x:c r="W116" t="str"/>
      <x:c r="X116" t="str"/>
      <x:c r="Y116" t="str"/>
      <x:c r="Z116" t="str"/>
      <x:c r="AA116" t="str"/>
      <x:c r="AB116" t="str"/>
      <x:c r="AC116" t="str"/>
      <x:c r="AD116" t="str"/>
      <x:c r="AE116" t="str"/>
      <x:c r="AF116" t="str"/>
      <x:c r="AG116" t="str"/>
      <x:c r="AH116" t="str">
        <x:f>D116&amp;"|"&amp;UPPER(F116)&amp;"|"&amp;LEFT(B116,10)</x:f>
        <x:v>0882|COMMN|2026-07-01</x:v>
      </x:c>
    </x:row>
    <x:row r="117">
      <x:c r="A117" s="22" t="n">
        <x:v>196</x:v>
      </x:c>
      <x:c r="B117" t="str">
        <x:v>2024-01-06T00:00:00</x:v>
      </x:c>
      <x:c r="C117" t="str">
        <x:v>0883Y</x:v>
      </x:c>
      <x:c r="D117" t="str">
        <x:v>0883</x:v>
      </x:c>
      <x:c r="E117" t="str">
        <x:v>Mayoral Staff III</x:v>
      </x:c>
      <x:c r="F117" t="str">
        <x:v>COMMN</x:v>
      </x:c>
      <x:c r="G117" t="str">
        <x:v>30.075</x:v>
      </x:c>
      <x:c r="H117" t="str">
        <x:v>31.6</x:v>
      </x:c>
      <x:c r="I117" t="str">
        <x:v>33.15</x:v>
      </x:c>
      <x:c r="J117" t="str">
        <x:v>34.7875</x:v>
      </x:c>
      <x:c r="K117" t="str">
        <x:v>36.6</x:v>
      </x:c>
      <x:c r="L117" t="str"/>
      <x:c r="M117" t="str"/>
      <x:c r="N117" t="str"/>
      <x:c r="O117" t="str"/>
      <x:c r="P117" t="str"/>
      <x:c r="Q117" t="str"/>
      <x:c r="R117" t="str"/>
      <x:c r="S117" t="str"/>
      <x:c r="T117" t="str"/>
      <x:c r="U117" t="str"/>
      <x:c r="V117" t="str"/>
      <x:c r="W117" t="str"/>
      <x:c r="X117" t="str"/>
      <x:c r="Y117" t="str"/>
      <x:c r="Z117" t="str"/>
      <x:c r="AA117" t="str"/>
      <x:c r="AB117" t="str"/>
      <x:c r="AC117" t="str"/>
      <x:c r="AD117" t="str"/>
      <x:c r="AE117" t="str"/>
      <x:c r="AF117" t="str"/>
      <x:c r="AG117" t="str"/>
      <x:c r="AH117" t="str">
        <x:f>D117&amp;"|"&amp;UPPER(F117)&amp;"|"&amp;LEFT(B117,10)</x:f>
        <x:v>0883|COMMN|2024-01-06</x:v>
      </x:c>
    </x:row>
    <x:row r="118">
      <x:c r="A118" s="22" t="n">
        <x:v>197</x:v>
      </x:c>
      <x:c r="B118" t="str">
        <x:v>2024-07-01T00:00:00</x:v>
      </x:c>
      <x:c r="C118" t="str">
        <x:v>0883Z</x:v>
      </x:c>
      <x:c r="D118" t="str">
        <x:v>0883</x:v>
      </x:c>
      <x:c r="E118" t="str">
        <x:v>Mayoral Staff III</x:v>
      </x:c>
      <x:c r="F118" t="str">
        <x:v>COMMN</x:v>
      </x:c>
      <x:c r="G118" t="str">
        <x:v>30.525</x:v>
      </x:c>
      <x:c r="H118" t="str">
        <x:v>32.075</x:v>
      </x:c>
      <x:c r="I118" t="str">
        <x:v>33.65</x:v>
      </x:c>
      <x:c r="J118" t="str">
        <x:v>35.3125</x:v>
      </x:c>
      <x:c r="K118" t="str">
        <x:v>37.15</x:v>
      </x:c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>
        <x:f>D118&amp;"|"&amp;UPPER(F118)&amp;"|"&amp;LEFT(B118,10)</x:f>
        <x:v>0883|COMMN|2024-07-01</x:v>
      </x:c>
    </x:row>
    <x:row r="119">
      <x:c r="A119" s="22" t="n">
        <x:v>198</x:v>
      </x:c>
      <x:c r="B119" t="str">
        <x:v>2025-01-04T00:00:00</x:v>
      </x:c>
      <x:c r="C119" t="str">
        <x:v>0883A</x:v>
      </x:c>
      <x:c r="D119" t="str">
        <x:v>0883</x:v>
      </x:c>
      <x:c r="E119" t="str">
        <x:v>Mayoral Staff III</x:v>
      </x:c>
      <x:c r="F119" t="str">
        <x:v>COMMN</x:v>
      </x:c>
      <x:c r="G119" t="str">
        <x:v>30.9875</x:v>
      </x:c>
      <x:c r="H119" t="str">
        <x:v>32.55</x:v>
      </x:c>
      <x:c r="I119" t="str">
        <x:v>34.15</x:v>
      </x:c>
      <x:c r="J119" t="str">
        <x:v>35.8375</x:v>
      </x:c>
      <x:c r="K119" t="str">
        <x:v>37.7125</x:v>
      </x:c>
      <x:c r="L119" t="str"/>
      <x:c r="M119" t="str"/>
      <x:c r="N119" t="str"/>
      <x:c r="O119" t="str"/>
      <x:c r="P119" t="str"/>
      <x:c r="Q119" t="str"/>
      <x:c r="R119" t="str"/>
      <x:c r="S119" t="str"/>
      <x:c r="T119" t="str"/>
      <x:c r="U119" t="str"/>
      <x:c r="V119" t="str"/>
      <x:c r="W119" t="str"/>
      <x:c r="X119" t="str"/>
      <x:c r="Y119" t="str"/>
      <x:c r="Z119" t="str"/>
      <x:c r="AA119" t="str"/>
      <x:c r="AB119" t="str"/>
      <x:c r="AC119" t="str"/>
      <x:c r="AD119" t="str"/>
      <x:c r="AE119" t="str"/>
      <x:c r="AF119" t="str"/>
      <x:c r="AG119" t="str"/>
      <x:c r="AH119" t="str">
        <x:f>D119&amp;"|"&amp;UPPER(F119)&amp;"|"&amp;LEFT(B119,10)</x:f>
        <x:v>0883|COMMN|2025-01-04</x:v>
      </x:c>
    </x:row>
    <x:row r="120">
      <x:c r="A120" s="22" t="n">
        <x:v>199</x:v>
      </x:c>
      <x:c r="B120" t="str">
        <x:v>2025-07-01T00:00:00</x:v>
      </x:c>
      <x:c r="C120" t="str">
        <x:v>0883B</x:v>
      </x:c>
      <x:c r="D120" t="str">
        <x:v>0883</x:v>
      </x:c>
      <x:c r="E120" t="str">
        <x:v>Mayoral Staff III</x:v>
      </x:c>
      <x:c r="F120" t="str">
        <x:v>COMMN</x:v>
      </x:c>
      <x:c r="G120" t="str">
        <x:v>31.6125</x:v>
      </x:c>
      <x:c r="H120" t="str">
        <x:v>33.2</x:v>
      </x:c>
      <x:c r="I120" t="str">
        <x:v>34.8375</x:v>
      </x:c>
      <x:c r="J120" t="str">
        <x:v>36.5625</x:v>
      </x:c>
      <x:c r="K120" t="str">
        <x:v>38.475</x:v>
      </x:c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>
        <x:f>D120&amp;"|"&amp;UPPER(F120)&amp;"|"&amp;LEFT(B120,10)</x:f>
        <x:v>0883|COMMN|2025-07-01</x:v>
      </x:c>
    </x:row>
    <x:row r="121">
      <x:c r="A121" s="22" t="n">
        <x:v>200</x:v>
      </x:c>
      <x:c r="B121" t="str">
        <x:v>2026-01-03T00:00:00</x:v>
      </x:c>
      <x:c r="C121" t="str">
        <x:v>0883C</x:v>
      </x:c>
      <x:c r="D121" t="str">
        <x:v>0883</x:v>
      </x:c>
      <x:c r="E121" t="str">
        <x:v>Mayoral Staff III</x:v>
      </x:c>
      <x:c r="F121" t="str">
        <x:v>COMMN</x:v>
      </x:c>
      <x:c r="G121" t="str">
        <x:v>32.0875</x:v>
      </x:c>
      <x:c r="H121" t="str">
        <x:v>33.7</x:v>
      </x:c>
      <x:c r="I121" t="str">
        <x:v>35.3625</x:v>
      </x:c>
      <x:c r="J121" t="str">
        <x:v>37.1125</x:v>
      </x:c>
      <x:c r="K121" t="str">
        <x:v>39.05</x:v>
      </x:c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>
        <x:f>D121&amp;"|"&amp;UPPER(F121)&amp;"|"&amp;LEFT(B121,10)</x:f>
        <x:v>0883|COMMN|2026-01-03</x:v>
      </x:c>
    </x:row>
    <x:row r="122">
      <x:c r="A122" s="22" t="n">
        <x:v>201</x:v>
      </x:c>
      <x:c r="B122" t="str">
        <x:v>2026-07-01T00:00:00</x:v>
      </x:c>
      <x:c r="C122" t="str">
        <x:v>0883D</x:v>
      </x:c>
      <x:c r="D122" t="str">
        <x:v>0883</x:v>
      </x:c>
      <x:c r="E122" t="str">
        <x:v>Mayoral Staff III</x:v>
      </x:c>
      <x:c r="F122" t="str">
        <x:v>COMMN</x:v>
      </x:c>
      <x:c r="G122" t="str">
        <x:v>32.725</x:v>
      </x:c>
      <x:c r="H122" t="str">
        <x:v>34.375</x:v>
      </x:c>
      <x:c r="I122" t="str">
        <x:v>36.075</x:v>
      </x:c>
      <x:c r="J122" t="str">
        <x:v>37.85</x:v>
      </x:c>
      <x:c r="K122" t="str">
        <x:v>39.825</x:v>
      </x:c>
      <x:c r="L122" t="str"/>
      <x:c r="M122" t="str"/>
      <x:c r="N122" t="str"/>
      <x:c r="O122" t="str"/>
      <x:c r="P122" t="str"/>
      <x:c r="Q122" t="str"/>
      <x:c r="R122" t="str"/>
      <x:c r="S122" t="str"/>
      <x:c r="T122" t="str"/>
      <x:c r="U122" t="str"/>
      <x:c r="V122" t="str"/>
      <x:c r="W122" t="str"/>
      <x:c r="X122" t="str"/>
      <x:c r="Y122" t="str"/>
      <x:c r="Z122" t="str"/>
      <x:c r="AA122" t="str"/>
      <x:c r="AB122" t="str"/>
      <x:c r="AC122" t="str"/>
      <x:c r="AD122" t="str"/>
      <x:c r="AE122" t="str"/>
      <x:c r="AF122" t="str"/>
      <x:c r="AG122" t="str"/>
      <x:c r="AH122" t="str">
        <x:f>D122&amp;"|"&amp;UPPER(F122)&amp;"|"&amp;LEFT(B122,10)</x:f>
        <x:v>0883|COMMN|2026-07-01</x:v>
      </x:c>
    </x:row>
    <x:row r="123">
      <x:c r="A123" s="22" t="n">
        <x:v>208</x:v>
      </x:c>
      <x:c r="B123" t="str">
        <x:v>2024-01-06T00:00:00</x:v>
      </x:c>
      <x:c r="C123" t="str">
        <x:v>0884Y</x:v>
      </x:c>
      <x:c r="D123" t="str">
        <x:v>0884</x:v>
      </x:c>
      <x:c r="E123" t="str">
        <x:v>Mayoral Staff IV</x:v>
      </x:c>
      <x:c r="F123" t="str">
        <x:v>COMMN</x:v>
      </x:c>
      <x:c r="G123" t="str">
        <x:v>32.3875</x:v>
      </x:c>
      <x:c r="H123" t="str">
        <x:v>33.9875</x:v>
      </x:c>
      <x:c r="I123" t="str">
        <x:v>35.7</x:v>
      </x:c>
      <x:c r="J123" t="str">
        <x:v>37.425</x:v>
      </x:c>
      <x:c r="K123" t="str">
        <x:v>39.325</x:v>
      </x:c>
      <x:c r="L123" t="str"/>
      <x:c r="M123" t="str"/>
      <x:c r="N123" t="str"/>
      <x:c r="O123" t="str"/>
      <x:c r="P123" t="str"/>
      <x:c r="Q123" t="str"/>
      <x:c r="R123" t="str"/>
      <x:c r="S123" t="str"/>
      <x:c r="T123" t="str"/>
      <x:c r="U123" t="str"/>
      <x:c r="V123" t="str"/>
      <x:c r="W123" t="str"/>
      <x:c r="X123" t="str"/>
      <x:c r="Y123" t="str"/>
      <x:c r="Z123" t="str"/>
      <x:c r="AA123" t="str"/>
      <x:c r="AB123" t="str"/>
      <x:c r="AC123" t="str"/>
      <x:c r="AD123" t="str"/>
      <x:c r="AE123" t="str"/>
      <x:c r="AF123" t="str"/>
      <x:c r="AG123" t="str"/>
      <x:c r="AH123" t="str">
        <x:f>D123&amp;"|"&amp;UPPER(F123)&amp;"|"&amp;LEFT(B123,10)</x:f>
        <x:v>0884|COMMN|2024-01-06</x:v>
      </x:c>
    </x:row>
    <x:row r="124">
      <x:c r="A124" s="22" t="n">
        <x:v>209</x:v>
      </x:c>
      <x:c r="B124" t="str">
        <x:v>2024-07-01T00:00:00</x:v>
      </x:c>
      <x:c r="C124" t="str">
        <x:v>0884Z</x:v>
      </x:c>
      <x:c r="D124" t="str">
        <x:v>0884</x:v>
      </x:c>
      <x:c r="E124" t="str">
        <x:v>Mayoral Staff IV</x:v>
      </x:c>
      <x:c r="F124" t="str">
        <x:v>COMMN</x:v>
      </x:c>
      <x:c r="G124" t="str">
        <x:v>32.875</x:v>
      </x:c>
      <x:c r="H124" t="str">
        <x:v>34.5</x:v>
      </x:c>
      <x:c r="I124" t="str">
        <x:v>36.2375</x:v>
      </x:c>
      <x:c r="J124" t="str">
        <x:v>37.9875</x:v>
      </x:c>
      <x:c r="K124" t="str">
        <x:v>39.9125</x:v>
      </x:c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>
        <x:f>D124&amp;"|"&amp;UPPER(F124)&amp;"|"&amp;LEFT(B124,10)</x:f>
        <x:v>0884|COMMN|2024-07-01</x:v>
      </x:c>
    </x:row>
    <x:row r="125">
      <x:c r="A125" s="22" t="n">
        <x:v>210</x:v>
      </x:c>
      <x:c r="B125" t="str">
        <x:v>2025-01-04T00:00:00</x:v>
      </x:c>
      <x:c r="C125" t="str">
        <x:v>0884A</x:v>
      </x:c>
      <x:c r="D125" t="str">
        <x:v>0884</x:v>
      </x:c>
      <x:c r="E125" t="str">
        <x:v>Mayoral Staff IV</x:v>
      </x:c>
      <x:c r="F125" t="str">
        <x:v>COMMN</x:v>
      </x:c>
      <x:c r="G125" t="str">
        <x:v>33.3625</x:v>
      </x:c>
      <x:c r="H125" t="str">
        <x:v>35.0125</x:v>
      </x:c>
      <x:c r="I125" t="str">
        <x:v>36.775</x:v>
      </x:c>
      <x:c r="J125" t="str">
        <x:v>38.5625</x:v>
      </x:c>
      <x:c r="K125" t="str">
        <x:v>40.5125</x:v>
      </x:c>
      <x:c r="L125" t="str"/>
      <x:c r="M125" t="str"/>
      <x:c r="N125" t="str"/>
      <x:c r="O125" t="str"/>
      <x:c r="P125" t="str"/>
      <x:c r="Q125" t="str"/>
      <x:c r="R12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t="str"/>
      <x:c r="AD125" t="str"/>
      <x:c r="AE125" t="str"/>
      <x:c r="AF125" t="str"/>
      <x:c r="AG125" t="str"/>
      <x:c r="AH125" t="str">
        <x:f>D125&amp;"|"&amp;UPPER(F125)&amp;"|"&amp;LEFT(B125,10)</x:f>
        <x:v>0884|COMMN|2025-01-04</x:v>
      </x:c>
    </x:row>
    <x:row r="126">
      <x:c r="A126" s="22" t="n">
        <x:v>211</x:v>
      </x:c>
      <x:c r="B126" t="str">
        <x:v>2025-07-01T00:00:00</x:v>
      </x:c>
      <x:c r="C126" t="str">
        <x:v>0884B</x:v>
      </x:c>
      <x:c r="D126" t="str">
        <x:v>0884</x:v>
      </x:c>
      <x:c r="E126" t="str">
        <x:v>Mayoral Staff IV</x:v>
      </x:c>
      <x:c r="F126" t="str">
        <x:v>COMMN</x:v>
      </x:c>
      <x:c r="G126" t="str">
        <x:v>34.0375</x:v>
      </x:c>
      <x:c r="H126" t="str">
        <x:v>35.7125</x:v>
      </x:c>
      <x:c r="I126" t="str">
        <x:v>37.5125</x:v>
      </x:c>
      <x:c r="J126" t="str">
        <x:v>39.3375</x:v>
      </x:c>
      <x:c r="K126" t="str">
        <x:v>41.325</x:v>
      </x:c>
      <x:c r="L126" t="str"/>
      <x:c r="M126" t="str"/>
      <x:c r="N126" t="str"/>
      <x:c r="O126" t="str"/>
      <x:c r="P126" t="str"/>
      <x:c r="Q126" t="str"/>
      <x:c r="R126" t="str"/>
      <x:c r="S126" t="str"/>
      <x:c r="T126" t="str"/>
      <x:c r="U126" t="str"/>
      <x:c r="V126" t="str"/>
      <x:c r="W126" t="str"/>
      <x:c r="X126" t="str"/>
      <x:c r="Y126" t="str"/>
      <x:c r="Z126" t="str"/>
      <x:c r="AA126" t="str"/>
      <x:c r="AB126" t="str"/>
      <x:c r="AC126" t="str"/>
      <x:c r="AD126" t="str"/>
      <x:c r="AE126" t="str"/>
      <x:c r="AF126" t="str"/>
      <x:c r="AG126" t="str"/>
      <x:c r="AH126" t="str">
        <x:f>D126&amp;"|"&amp;UPPER(F126)&amp;"|"&amp;LEFT(B126,10)</x:f>
        <x:v>0884|COMMN|2025-07-01</x:v>
      </x:c>
    </x:row>
    <x:row r="127">
      <x:c r="A127" s="22" t="n">
        <x:v>212</x:v>
      </x:c>
      <x:c r="B127" t="str">
        <x:v>2026-01-03T00:00:00</x:v>
      </x:c>
      <x:c r="C127" t="str">
        <x:v>0884C</x:v>
      </x:c>
      <x:c r="D127" t="str">
        <x:v>0884</x:v>
      </x:c>
      <x:c r="E127" t="str">
        <x:v>Mayoral Staff IV</x:v>
      </x:c>
      <x:c r="F127" t="str">
        <x:v>COMMN</x:v>
      </x:c>
      <x:c r="G127" t="str">
        <x:v>34.55</x:v>
      </x:c>
      <x:c r="H127" t="str">
        <x:v>36.25</x:v>
      </x:c>
      <x:c r="I127" t="str">
        <x:v>38.075</x:v>
      </x:c>
      <x:c r="J127" t="str">
        <x:v>39.925</x:v>
      </x:c>
      <x:c r="K127" t="str">
        <x:v>41.95</x:v>
      </x:c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>
        <x:f>D127&amp;"|"&amp;UPPER(F127)&amp;"|"&amp;LEFT(B127,10)</x:f>
        <x:v>0884|COMMN|2026-01-03</x:v>
      </x:c>
    </x:row>
    <x:row r="128">
      <x:c r="A128" s="22" t="n">
        <x:v>213</x:v>
      </x:c>
      <x:c r="B128" t="str">
        <x:v>2026-07-01T00:00:00</x:v>
      </x:c>
      <x:c r="C128" t="str">
        <x:v>0884D</x:v>
      </x:c>
      <x:c r="D128" t="str">
        <x:v>0884</x:v>
      </x:c>
      <x:c r="E128" t="str">
        <x:v>Mayoral Staff IV</x:v>
      </x:c>
      <x:c r="F128" t="str">
        <x:v>COMMN</x:v>
      </x:c>
      <x:c r="G128" t="str">
        <x:v>35.2375</x:v>
      </x:c>
      <x:c r="H128" t="str">
        <x:v>36.975</x:v>
      </x:c>
      <x:c r="I128" t="str">
        <x:v>38.8375</x:v>
      </x:c>
      <x:c r="J128" t="str">
        <x:v>40.725</x:v>
      </x:c>
      <x:c r="K128" t="str">
        <x:v>42.7875</x:v>
      </x:c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>
        <x:f>D128&amp;"|"&amp;UPPER(F128)&amp;"|"&amp;LEFT(B128,10)</x:f>
        <x:v>0884|COMMN|2026-07-01</x:v>
      </x:c>
    </x:row>
    <x:row r="129">
      <x:c r="A129" s="22" t="n">
        <x:v>219</x:v>
      </x:c>
      <x:c r="B129" t="str">
        <x:v>2024-01-06T00:00:00</x:v>
      </x:c>
      <x:c r="C129" t="str">
        <x:v>0885Y</x:v>
      </x:c>
      <x:c r="D129" t="str">
        <x:v>0885</x:v>
      </x:c>
      <x:c r="E129" t="str">
        <x:v>Mayoral Staff V</x:v>
      </x:c>
      <x:c r="F129" t="str">
        <x:v>COMMN</x:v>
      </x:c>
      <x:c r="G129" t="str">
        <x:v>33.8125</x:v>
      </x:c>
      <x:c r="H129" t="str">
        <x:v>35.5375</x:v>
      </x:c>
      <x:c r="I129" t="str">
        <x:v>37.275</x:v>
      </x:c>
      <x:c r="J129" t="str">
        <x:v>39.1625</x:v>
      </x:c>
      <x:c r="K129" t="str">
        <x:v>41.1</x:v>
      </x:c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>
        <x:f>D129&amp;"|"&amp;UPPER(F129)&amp;"|"&amp;LEFT(B129,10)</x:f>
        <x:v>0885|COMMN|2024-01-06</x:v>
      </x:c>
    </x:row>
    <x:row r="130">
      <x:c r="A130" s="22" t="n">
        <x:v>220</x:v>
      </x:c>
      <x:c r="B130" t="str">
        <x:v>2024-07-01T00:00:00</x:v>
      </x:c>
      <x:c r="C130" t="str">
        <x:v>0885Z</x:v>
      </x:c>
      <x:c r="D130" t="str">
        <x:v>0885</x:v>
      </x:c>
      <x:c r="E130" t="str">
        <x:v>Mayoral Staff V</x:v>
      </x:c>
      <x:c r="F130" t="str">
        <x:v>COMMN</x:v>
      </x:c>
      <x:c r="G130" t="str">
        <x:v>34.325</x:v>
      </x:c>
      <x:c r="H130" t="str">
        <x:v>36.075</x:v>
      </x:c>
      <x:c r="I130" t="str">
        <x:v>37.8375</x:v>
      </x:c>
      <x:c r="J130" t="str">
        <x:v>39.75</x:v>
      </x:c>
      <x:c r="K130" t="str">
        <x:v>41.7125</x:v>
      </x:c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>
        <x:f>D130&amp;"|"&amp;UPPER(F130)&amp;"|"&amp;LEFT(B130,10)</x:f>
        <x:v>0885|COMMN|2024-07-01</x:v>
      </x:c>
    </x:row>
    <x:row r="131">
      <x:c r="A131" s="22" t="n">
        <x:v>221</x:v>
      </x:c>
      <x:c r="B131" t="str">
        <x:v>2025-01-04T00:00:00</x:v>
      </x:c>
      <x:c r="C131" t="str">
        <x:v>0885A</x:v>
      </x:c>
      <x:c r="D131" t="str">
        <x:v>0885</x:v>
      </x:c>
      <x:c r="E131" t="str">
        <x:v>Mayoral Staff V</x:v>
      </x:c>
      <x:c r="F131" t="str">
        <x:v>COMMN</x:v>
      </x:c>
      <x:c r="G131" t="str">
        <x:v>34.8375</x:v>
      </x:c>
      <x:c r="H131" t="str">
        <x:v>36.6125</x:v>
      </x:c>
      <x:c r="I131" t="str">
        <x:v>38.4</x:v>
      </x:c>
      <x:c r="J131" t="str">
        <x:v>40.35</x:v>
      </x:c>
      <x:c r="K131" t="str">
        <x:v>42.3375</x:v>
      </x:c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>
        <x:f>D131&amp;"|"&amp;UPPER(F131)&amp;"|"&amp;LEFT(B131,10)</x:f>
        <x:v>0885|COMMN|2025-01-04</x:v>
      </x:c>
    </x:row>
    <x:row r="132">
      <x:c r="A132" s="22" t="n">
        <x:v>222</x:v>
      </x:c>
      <x:c r="B132" t="str">
        <x:v>2025-07-01T00:00:00</x:v>
      </x:c>
      <x:c r="C132" t="str">
        <x:v>0885B</x:v>
      </x:c>
      <x:c r="D132" t="str">
        <x:v>0885</x:v>
      </x:c>
      <x:c r="E132" t="str">
        <x:v>Mayoral Staff V</x:v>
      </x:c>
      <x:c r="F132" t="str">
        <x:v>COMMN</x:v>
      </x:c>
      <x:c r="G132" t="str">
        <x:v>35.5375</x:v>
      </x:c>
      <x:c r="H132" t="str">
        <x:v>37.35</x:v>
      </x:c>
      <x:c r="I132" t="str">
        <x:v>39.175</x:v>
      </x:c>
      <x:c r="J132" t="str">
        <x:v>41.1625</x:v>
      </x:c>
      <x:c r="K132" t="str">
        <x:v>43.1875</x:v>
      </x:c>
      <x:c r="L132" t="str"/>
      <x:c r="M132" t="str"/>
      <x:c r="N132" t="str"/>
      <x:c r="O132" t="str"/>
      <x:c r="P132" t="str"/>
      <x:c r="Q132" t="str"/>
      <x:c r="R132" t="str"/>
      <x:c r="S132" t="str"/>
      <x:c r="T132" t="str"/>
      <x:c r="U132" t="str"/>
      <x:c r="V132" t="str"/>
      <x:c r="W132" t="str"/>
      <x:c r="X132" t="str"/>
      <x:c r="Y132" t="str"/>
      <x:c r="Z132" t="str"/>
      <x:c r="AA132" t="str"/>
      <x:c r="AB132" t="str"/>
      <x:c r="AC132" t="str"/>
      <x:c r="AD132" t="str"/>
      <x:c r="AE132" t="str"/>
      <x:c r="AF132" t="str"/>
      <x:c r="AG132" t="str"/>
      <x:c r="AH132" t="str">
        <x:f>D132&amp;"|"&amp;UPPER(F132)&amp;"|"&amp;LEFT(B132,10)</x:f>
        <x:v>0885|COMMN|2025-07-01</x:v>
      </x:c>
    </x:row>
    <x:row r="133">
      <x:c r="A133" s="22" t="n">
        <x:v>223</x:v>
      </x:c>
      <x:c r="B133" t="str">
        <x:v>2026-01-03T00:00:00</x:v>
      </x:c>
      <x:c r="C133" t="str">
        <x:v>0885C</x:v>
      </x:c>
      <x:c r="D133" t="str">
        <x:v>0885</x:v>
      </x:c>
      <x:c r="E133" t="str">
        <x:v>Mayoral Staff V</x:v>
      </x:c>
      <x:c r="F133" t="str">
        <x:v>COMMN</x:v>
      </x:c>
      <x:c r="G133" t="str">
        <x:v>36.075</x:v>
      </x:c>
      <x:c r="H133" t="str">
        <x:v>37.9125</x:v>
      </x:c>
      <x:c r="I133" t="str">
        <x:v>39.7625</x:v>
      </x:c>
      <x:c r="J133" t="str">
        <x:v>41.775</x:v>
      </x:c>
      <x:c r="K133" t="str">
        <x:v>43.8375</x:v>
      </x:c>
      <x:c r="L133" t="str"/>
      <x:c r="M133" t="str"/>
      <x:c r="N133" t="str"/>
      <x:c r="O133" t="str"/>
      <x:c r="P133" t="str"/>
      <x:c r="Q133" t="str"/>
      <x:c r="R133" t="str"/>
      <x:c r="S133" t="str"/>
      <x:c r="T133" t="str"/>
      <x:c r="U133" t="str"/>
      <x:c r="V133" t="str"/>
      <x:c r="W133" t="str"/>
      <x:c r="X133" t="str"/>
      <x:c r="Y133" t="str"/>
      <x:c r="Z133" t="str"/>
      <x:c r="AA133" t="str"/>
      <x:c r="AB133" t="str"/>
      <x:c r="AC133" t="str"/>
      <x:c r="AD133" t="str"/>
      <x:c r="AE133" t="str"/>
      <x:c r="AF133" t="str"/>
      <x:c r="AG133" t="str"/>
      <x:c r="AH133" t="str">
        <x:f>D133&amp;"|"&amp;UPPER(F133)&amp;"|"&amp;LEFT(B133,10)</x:f>
        <x:v>0885|COMMN|2026-01-03</x:v>
      </x:c>
    </x:row>
    <x:row r="134">
      <x:c r="A134" s="22" t="n">
        <x:v>224</x:v>
      </x:c>
      <x:c r="B134" t="str">
        <x:v>2026-07-01T00:00:00</x:v>
      </x:c>
      <x:c r="C134" t="str">
        <x:v>0885D</x:v>
      </x:c>
      <x:c r="D134" t="str">
        <x:v>0885</x:v>
      </x:c>
      <x:c r="E134" t="str">
        <x:v>Mayoral Staff V</x:v>
      </x:c>
      <x:c r="F134" t="str">
        <x:v>COMMN</x:v>
      </x:c>
      <x:c r="G134" t="str">
        <x:v>36.8</x:v>
      </x:c>
      <x:c r="H134" t="str">
        <x:v>38.675</x:v>
      </x:c>
      <x:c r="I134" t="str">
        <x:v>40.5625</x:v>
      </x:c>
      <x:c r="J134" t="str">
        <x:v>42.6125</x:v>
      </x:c>
      <x:c r="K134" t="str">
        <x:v>44.7125</x:v>
      </x:c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str"/>
      <x:c r="V134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/>
      <x:c r="AF134" t="str"/>
      <x:c r="AG134" t="str"/>
      <x:c r="AH134" t="str">
        <x:f>D134&amp;"|"&amp;UPPER(F134)&amp;"|"&amp;LEFT(B134,10)</x:f>
        <x:v>0885|COMMN|2026-07-01</x:v>
      </x:c>
    </x:row>
    <x:row r="135">
      <x:c r="A135" s="22" t="n">
        <x:v>230</x:v>
      </x:c>
      <x:c r="B135" t="str">
        <x:v>2024-01-06T00:00:00</x:v>
      </x:c>
      <x:c r="C135" t="str">
        <x:v>0886Y</x:v>
      </x:c>
      <x:c r="D135" t="str">
        <x:v>0886</x:v>
      </x:c>
      <x:c r="E135" t="str">
        <x:v>Mayoral Staff VI</x:v>
      </x:c>
      <x:c r="F135" t="str">
        <x:v>COMMN</x:v>
      </x:c>
      <x:c r="G135" t="str">
        <x:v>36.2125</x:v>
      </x:c>
      <x:c r="H135" t="str">
        <x:v>38.0125</x:v>
      </x:c>
      <x:c r="I135" t="str">
        <x:v>39.9</x:v>
      </x:c>
      <x:c r="J135" t="str">
        <x:v>41.925</x:v>
      </x:c>
      <x:c r="K135" t="str">
        <x:v>44.0125</x:v>
      </x:c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>
        <x:f>D135&amp;"|"&amp;UPPER(F135)&amp;"|"&amp;LEFT(B135,10)</x:f>
        <x:v>0886|COMMN|2024-01-06</x:v>
      </x:c>
    </x:row>
    <x:row r="136">
      <x:c r="A136" s="22" t="n">
        <x:v>231</x:v>
      </x:c>
      <x:c r="B136" t="str">
        <x:v>2024-07-01T00:00:00</x:v>
      </x:c>
      <x:c r="C136" t="str">
        <x:v>0886Z</x:v>
      </x:c>
      <x:c r="D136" t="str">
        <x:v>0886</x:v>
      </x:c>
      <x:c r="E136" t="str">
        <x:v>Mayoral Staff VI</x:v>
      </x:c>
      <x:c r="F136" t="str">
        <x:v>COMMN</x:v>
      </x:c>
      <x:c r="G136" t="str">
        <x:v>36.75</x:v>
      </x:c>
      <x:c r="H136" t="str">
        <x:v>38.5875</x:v>
      </x:c>
      <x:c r="I136" t="str">
        <x:v>40.5</x:v>
      </x:c>
      <x:c r="J136" t="str">
        <x:v>42.55</x:v>
      </x:c>
      <x:c r="K136" t="str">
        <x:v>44.675</x:v>
      </x:c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>
        <x:f>D136&amp;"|"&amp;UPPER(F136)&amp;"|"&amp;LEFT(B136,10)</x:f>
        <x:v>0886|COMMN|2024-07-01</x:v>
      </x:c>
    </x:row>
    <x:row r="137">
      <x:c r="A137" s="22" t="n">
        <x:v>232</x:v>
      </x:c>
      <x:c r="B137" t="str">
        <x:v>2025-01-04T00:00:00</x:v>
      </x:c>
      <x:c r="C137" t="str">
        <x:v>0886A</x:v>
      </x:c>
      <x:c r="D137" t="str">
        <x:v>0886</x:v>
      </x:c>
      <x:c r="E137" t="str">
        <x:v>Mayoral Staff VI</x:v>
      </x:c>
      <x:c r="F137" t="str">
        <x:v>COMMN</x:v>
      </x:c>
      <x:c r="G137" t="str">
        <x:v>37.3</x:v>
      </x:c>
      <x:c r="H137" t="str">
        <x:v>39.1625</x:v>
      </x:c>
      <x:c r="I137" t="str">
        <x:v>41.1125</x:v>
      </x:c>
      <x:c r="J137" t="str">
        <x:v>43.1875</x:v>
      </x:c>
      <x:c r="K137" t="str">
        <x:v>45.35</x:v>
      </x:c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>
        <x:f>D137&amp;"|"&amp;UPPER(F137)&amp;"|"&amp;LEFT(B137,10)</x:f>
        <x:v>0886|COMMN|2025-01-04</x:v>
      </x:c>
    </x:row>
    <x:row r="138">
      <x:c r="A138" s="22" t="n">
        <x:v>233</x:v>
      </x:c>
      <x:c r="B138" t="str">
        <x:v>2025-07-01T00:00:00</x:v>
      </x:c>
      <x:c r="C138" t="str">
        <x:v>0886B</x:v>
      </x:c>
      <x:c r="D138" t="str">
        <x:v>0886</x:v>
      </x:c>
      <x:c r="E138" t="str">
        <x:v>Mayoral Staff VI</x:v>
      </x:c>
      <x:c r="F138" t="str">
        <x:v>COMMN</x:v>
      </x:c>
      <x:c r="G138" t="str">
        <x:v>38.05</x:v>
      </x:c>
      <x:c r="H138" t="str">
        <x:v>39.95</x:v>
      </x:c>
      <x:c r="I138" t="str">
        <x:v>41.9375</x:v>
      </x:c>
      <x:c r="J138" t="str">
        <x:v>44.05</x:v>
      </x:c>
      <x:c r="K138" t="str">
        <x:v>46.2625</x:v>
      </x:c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>
        <x:f>D138&amp;"|"&amp;UPPER(F138)&amp;"|"&amp;LEFT(B138,10)</x:f>
        <x:v>0886|COMMN|2025-07-01</x:v>
      </x:c>
    </x:row>
    <x:row r="139">
      <x:c r="A139" s="22" t="n">
        <x:v>234</x:v>
      </x:c>
      <x:c r="B139" t="str">
        <x:v>2026-01-03T00:00:00</x:v>
      </x:c>
      <x:c r="C139" t="str">
        <x:v>0886C</x:v>
      </x:c>
      <x:c r="D139" t="str">
        <x:v>0886</x:v>
      </x:c>
      <x:c r="E139" t="str">
        <x:v>Mayoral Staff VI</x:v>
      </x:c>
      <x:c r="F139" t="str">
        <x:v>COMMN</x:v>
      </x:c>
      <x:c r="G139" t="str">
        <x:v>38.625</x:v>
      </x:c>
      <x:c r="H139" t="str">
        <x:v>40.55</x:v>
      </x:c>
      <x:c r="I139" t="str">
        <x:v>42.5625</x:v>
      </x:c>
      <x:c r="J139" t="str">
        <x:v>44.7125</x:v>
      </x:c>
      <x:c r="K139" t="str">
        <x:v>46.9625</x:v>
      </x:c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>
        <x:f>D139&amp;"|"&amp;UPPER(F139)&amp;"|"&amp;LEFT(B139,10)</x:f>
        <x:v>0886|COMMN|2026-01-03</x:v>
      </x:c>
    </x:row>
    <x:row r="140">
      <x:c r="A140" s="22" t="n">
        <x:v>235</x:v>
      </x:c>
      <x:c r="B140" t="str">
        <x:v>2026-07-01T00:00:00</x:v>
      </x:c>
      <x:c r="C140" t="str">
        <x:v>0886D</x:v>
      </x:c>
      <x:c r="D140" t="str">
        <x:v>0886</x:v>
      </x:c>
      <x:c r="E140" t="str">
        <x:v>Mayoral Staff VI</x:v>
      </x:c>
      <x:c r="F140" t="str">
        <x:v>COMMN</x:v>
      </x:c>
      <x:c r="G140" t="str">
        <x:v>39.4</x:v>
      </x:c>
      <x:c r="H140" t="str">
        <x:v>41.3625</x:v>
      </x:c>
      <x:c r="I140" t="str">
        <x:v>43.4125</x:v>
      </x:c>
      <x:c r="J140" t="str">
        <x:v>45.6125</x:v>
      </x:c>
      <x:c r="K140" t="str">
        <x:v>47.9</x:v>
      </x:c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>
        <x:f>D140&amp;"|"&amp;UPPER(F140)&amp;"|"&amp;LEFT(B140,10)</x:f>
        <x:v>0886|COMMN|2026-07-01</x:v>
      </x:c>
    </x:row>
    <x:row r="141">
      <x:c r="A141" s="22" t="n">
        <x:v>241</x:v>
      </x:c>
      <x:c r="B141" t="str">
        <x:v>2024-01-06T00:00:00</x:v>
      </x:c>
      <x:c r="C141" t="str">
        <x:v>0887Y</x:v>
      </x:c>
      <x:c r="D141" t="str">
        <x:v>0887</x:v>
      </x:c>
      <x:c r="E141" t="str">
        <x:v>Mayoral Staff VII</x:v>
      </x:c>
      <x:c r="F141" t="str">
        <x:v>COMMN</x:v>
      </x:c>
      <x:c r="G141" t="str">
        <x:v>38.925</x:v>
      </x:c>
      <x:c r="H141" t="str">
        <x:v>40.8875</x:v>
      </x:c>
      <x:c r="I141" t="str">
        <x:v>42.925</x:v>
      </x:c>
      <x:c r="J141" t="str">
        <x:v>45.075</x:v>
      </x:c>
      <x:c r="K141" t="str">
        <x:v>47.3125</x:v>
      </x:c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>
        <x:f>D141&amp;"|"&amp;UPPER(F141)&amp;"|"&amp;LEFT(B141,10)</x:f>
        <x:v>0887|COMMN|2024-01-06</x:v>
      </x:c>
    </x:row>
    <x:row r="142">
      <x:c r="A142" s="22" t="n">
        <x:v>242</x:v>
      </x:c>
      <x:c r="B142" t="str">
        <x:v>2024-07-01T00:00:00</x:v>
      </x:c>
      <x:c r="C142" t="str">
        <x:v>0887Z</x:v>
      </x:c>
      <x:c r="D142" t="str">
        <x:v>0887</x:v>
      </x:c>
      <x:c r="E142" t="str">
        <x:v>Mayoral Staff VII</x:v>
      </x:c>
      <x:c r="F142" t="str">
        <x:v>COMMN</x:v>
      </x:c>
      <x:c r="G142" t="str">
        <x:v>39.5125</x:v>
      </x:c>
      <x:c r="H142" t="str">
        <x:v>41.5</x:v>
      </x:c>
      <x:c r="I142" t="str">
        <x:v>43.575</x:v>
      </x:c>
      <x:c r="J142" t="str">
        <x:v>45.75</x:v>
      </x:c>
      <x:c r="K142" t="str">
        <x:v>48.025</x:v>
      </x:c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str"/>
      <x:c r="V142" t="str"/>
      <x:c r="W142" t="str"/>
      <x:c r="X142" t="str"/>
      <x:c r="Y142" t="str"/>
      <x:c r="Z142" t="str"/>
      <x:c r="AA142" t="str"/>
      <x:c r="AB142" t="str"/>
      <x:c r="AC142" t="str"/>
      <x:c r="AD142" t="str"/>
      <x:c r="AE142" t="str"/>
      <x:c r="AF142" t="str"/>
      <x:c r="AG142" t="str"/>
      <x:c r="AH142" t="str">
        <x:f>D142&amp;"|"&amp;UPPER(F142)&amp;"|"&amp;LEFT(B142,10)</x:f>
        <x:v>0887|COMMN|2024-07-01</x:v>
      </x:c>
    </x:row>
    <x:row r="143">
      <x:c r="A143" s="22" t="n">
        <x:v>243</x:v>
      </x:c>
      <x:c r="B143" t="str">
        <x:v>2025-01-04T00:00:00</x:v>
      </x:c>
      <x:c r="C143" t="str">
        <x:v>0887A</x:v>
      </x:c>
      <x:c r="D143" t="str">
        <x:v>0887</x:v>
      </x:c>
      <x:c r="E143" t="str">
        <x:v>Mayoral Staff VII</x:v>
      </x:c>
      <x:c r="F143" t="str">
        <x:v>COMMN</x:v>
      </x:c>
      <x:c r="G143" t="str">
        <x:v>40.1</x:v>
      </x:c>
      <x:c r="H143" t="str">
        <x:v>42.125</x:v>
      </x:c>
      <x:c r="I143" t="str">
        <x:v>44.225</x:v>
      </x:c>
      <x:c r="J143" t="str">
        <x:v>46.4375</x:v>
      </x:c>
      <x:c r="K143" t="str">
        <x:v>48.75</x:v>
      </x:c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>
        <x:f>D143&amp;"|"&amp;UPPER(F143)&amp;"|"&amp;LEFT(B143,10)</x:f>
        <x:v>0887|COMMN|2025-01-04</x:v>
      </x:c>
    </x:row>
    <x:row r="144">
      <x:c r="A144" s="22" t="n">
        <x:v>244</x:v>
      </x:c>
      <x:c r="B144" t="str">
        <x:v>2025-07-01T00:00:00</x:v>
      </x:c>
      <x:c r="C144" t="str">
        <x:v>0887B</x:v>
      </x:c>
      <x:c r="D144" t="str">
        <x:v>0887</x:v>
      </x:c>
      <x:c r="E144" t="str">
        <x:v>Mayoral Staff VII</x:v>
      </x:c>
      <x:c r="F144" t="str">
        <x:v>COMMN</x:v>
      </x:c>
      <x:c r="G144" t="str">
        <x:v>40.9</x:v>
      </x:c>
      <x:c r="H144" t="str">
        <x:v>42.975</x:v>
      </x:c>
      <x:c r="I144" t="str">
        <x:v>45.1125</x:v>
      </x:c>
      <x:c r="J144" t="str">
        <x:v>47.375</x:v>
      </x:c>
      <x:c r="K144" t="str">
        <x:v>49.725</x:v>
      </x:c>
      <x:c r="L144" t="str"/>
      <x:c r="M144" t="str"/>
      <x:c r="N144" t="str"/>
      <x:c r="O144" t="str"/>
      <x:c r="P144" t="str"/>
      <x:c r="Q144" t="str"/>
      <x:c r="R144" t="str"/>
      <x:c r="S144" t="str"/>
      <x:c r="T144" t="str"/>
      <x:c r="U144" t="str"/>
      <x:c r="V144" t="str"/>
      <x:c r="W144" t="str"/>
      <x:c r="X144" t="str"/>
      <x:c r="Y144" t="str"/>
      <x:c r="Z144" t="str"/>
      <x:c r="AA144" t="str"/>
      <x:c r="AB144" t="str"/>
      <x:c r="AC144" t="str"/>
      <x:c r="AD144" t="str"/>
      <x:c r="AE144" t="str"/>
      <x:c r="AF144" t="str"/>
      <x:c r="AG144" t="str"/>
      <x:c r="AH144" t="str">
        <x:f>D144&amp;"|"&amp;UPPER(F144)&amp;"|"&amp;LEFT(B144,10)</x:f>
        <x:v>0887|COMMN|2025-07-01</x:v>
      </x:c>
    </x:row>
    <x:row r="145">
      <x:c r="A145" s="22" t="n">
        <x:v>245</x:v>
      </x:c>
      <x:c r="B145" t="str">
        <x:v>2026-01-03T00:00:00</x:v>
      </x:c>
      <x:c r="C145" t="str">
        <x:v>0887C</x:v>
      </x:c>
      <x:c r="D145" t="str">
        <x:v>0887</x:v>
      </x:c>
      <x:c r="E145" t="str">
        <x:v>Mayoral Staff VII</x:v>
      </x:c>
      <x:c r="F145" t="str">
        <x:v>COMMN</x:v>
      </x:c>
      <x:c r="G145" t="str">
        <x:v>41.5125</x:v>
      </x:c>
      <x:c r="H145" t="str">
        <x:v>43.625</x:v>
      </x:c>
      <x:c r="I145" t="str">
        <x:v>45.7875</x:v>
      </x:c>
      <x:c r="J145" t="str">
        <x:v>48.0875</x:v>
      </x:c>
      <x:c r="K145" t="str">
        <x:v>50.475</x:v>
      </x:c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>
        <x:f>D145&amp;"|"&amp;UPPER(F145)&amp;"|"&amp;LEFT(B145,10)</x:f>
        <x:v>0887|COMMN|2026-01-03</x:v>
      </x:c>
    </x:row>
    <x:row r="146">
      <x:c r="A146" s="22" t="n">
        <x:v>246</x:v>
      </x:c>
      <x:c r="B146" t="str">
        <x:v>2026-07-01T00:00:00</x:v>
      </x:c>
      <x:c r="C146" t="str">
        <x:v>0887D</x:v>
      </x:c>
      <x:c r="D146" t="str">
        <x:v>0887</x:v>
      </x:c>
      <x:c r="E146" t="str">
        <x:v>Mayoral Staff VII</x:v>
      </x:c>
      <x:c r="F146" t="str">
        <x:v>COMMN</x:v>
      </x:c>
      <x:c r="G146" t="str">
        <x:v>42.3375</x:v>
      </x:c>
      <x:c r="H146" t="str">
        <x:v>44.5</x:v>
      </x:c>
      <x:c r="I146" t="str">
        <x:v>46.7</x:v>
      </x:c>
      <x:c r="J146" t="str">
        <x:v>49.05</x:v>
      </x:c>
      <x:c r="K146" t="str">
        <x:v>51.4875</x:v>
      </x:c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>
        <x:f>D146&amp;"|"&amp;UPPER(F146)&amp;"|"&amp;LEFT(B146,10)</x:f>
        <x:v>0887|COMMN|2026-07-01</x:v>
      </x:c>
    </x:row>
    <x:row r="147">
      <x:c r="A147" s="22" t="n">
        <x:v>252</x:v>
      </x:c>
      <x:c r="B147" t="str">
        <x:v>2024-01-06T00:00:00</x:v>
      </x:c>
      <x:c r="C147" t="str">
        <x:v>0888Y</x:v>
      </x:c>
      <x:c r="D147" t="str">
        <x:v>0888</x:v>
      </x:c>
      <x:c r="E147" t="str">
        <x:v>Mayoral Staff VIII</x:v>
      </x:c>
      <x:c r="F147" t="str">
        <x:v>COMMN</x:v>
      </x:c>
      <x:c r="G147" t="str">
        <x:v>41.925</x:v>
      </x:c>
      <x:c r="H147" t="str">
        <x:v>44.0125</x:v>
      </x:c>
      <x:c r="I147" t="str">
        <x:v>46.2125</x:v>
      </x:c>
      <x:c r="J147" t="str">
        <x:v>48.5375</x:v>
      </x:c>
      <x:c r="K147" t="str">
        <x:v>50.9625</x:v>
      </x:c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>
        <x:f>D147&amp;"|"&amp;UPPER(F147)&amp;"|"&amp;LEFT(B147,10)</x:f>
        <x:v>0888|COMMN|2024-01-06</x:v>
      </x:c>
    </x:row>
    <x:row r="148">
      <x:c r="A148" s="22" t="n">
        <x:v>253</x:v>
      </x:c>
      <x:c r="B148" t="str">
        <x:v>2024-07-01T00:00:00</x:v>
      </x:c>
      <x:c r="C148" t="str">
        <x:v>0888Z</x:v>
      </x:c>
      <x:c r="D148" t="str">
        <x:v>0888</x:v>
      </x:c>
      <x:c r="E148" t="str">
        <x:v>Mayoral Staff VIII</x:v>
      </x:c>
      <x:c r="F148" t="str">
        <x:v>COMMN</x:v>
      </x:c>
      <x:c r="G148" t="str">
        <x:v>42.55</x:v>
      </x:c>
      <x:c r="H148" t="str">
        <x:v>44.675</x:v>
      </x:c>
      <x:c r="I148" t="str">
        <x:v>46.9</x:v>
      </x:c>
      <x:c r="J148" t="str">
        <x:v>49.2625</x:v>
      </x:c>
      <x:c r="K148" t="str">
        <x:v>51.725</x:v>
      </x:c>
      <x:c r="L148" t="str"/>
      <x:c r="M148" t="str"/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  <x:c r="X148" t="str"/>
      <x:c r="Y148" t="str"/>
      <x:c r="Z148" t="str"/>
      <x:c r="AA148" t="str"/>
      <x:c r="AB148" t="str"/>
      <x:c r="AC148" t="str"/>
      <x:c r="AD148" t="str"/>
      <x:c r="AE148" t="str"/>
      <x:c r="AF148" t="str"/>
      <x:c r="AG148" t="str"/>
      <x:c r="AH148" t="str">
        <x:f>D148&amp;"|"&amp;UPPER(F148)&amp;"|"&amp;LEFT(B148,10)</x:f>
        <x:v>0888|COMMN|2024-07-01</x:v>
      </x:c>
    </x:row>
    <x:row r="149">
      <x:c r="A149" s="22" t="n">
        <x:v>254</x:v>
      </x:c>
      <x:c r="B149" t="str">
        <x:v>2025-01-04T00:00:00</x:v>
      </x:c>
      <x:c r="C149" t="str">
        <x:v>0888A</x:v>
      </x:c>
      <x:c r="D149" t="str">
        <x:v>0888</x:v>
      </x:c>
      <x:c r="E149" t="str">
        <x:v>Mayoral Staff VIII</x:v>
      </x:c>
      <x:c r="F149" t="str">
        <x:v>COMMN</x:v>
      </x:c>
      <x:c r="G149" t="str">
        <x:v>43.1875</x:v>
      </x:c>
      <x:c r="H149" t="str">
        <x:v>45.35</x:v>
      </x:c>
      <x:c r="I149" t="str">
        <x:v>47.6</x:v>
      </x:c>
      <x:c r="J149" t="str">
        <x:v>50</x:v>
      </x:c>
      <x:c r="K149" t="str">
        <x:v>52.5</x:v>
      </x:c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>
        <x:f>D149&amp;"|"&amp;UPPER(F149)&amp;"|"&amp;LEFT(B149,10)</x:f>
        <x:v>0888|COMMN|2025-01-04</x:v>
      </x:c>
    </x:row>
    <x:row r="150">
      <x:c r="A150" s="22" t="n">
        <x:v>255</x:v>
      </x:c>
      <x:c r="B150" t="str">
        <x:v>2025-07-01T00:00:00</x:v>
      </x:c>
      <x:c r="C150" t="str">
        <x:v>0888B</x:v>
      </x:c>
      <x:c r="D150" t="str">
        <x:v>0888</x:v>
      </x:c>
      <x:c r="E150" t="str">
        <x:v>Mayoral Staff VIII</x:v>
      </x:c>
      <x:c r="F150" t="str">
        <x:v>COMMN</x:v>
      </x:c>
      <x:c r="G150" t="str">
        <x:v>44.05</x:v>
      </x:c>
      <x:c r="H150" t="str">
        <x:v>46.2625</x:v>
      </x:c>
      <x:c r="I150" t="str">
        <x:v>48.5625</x:v>
      </x:c>
      <x:c r="J150" t="str">
        <x:v>51</x:v>
      </x:c>
      <x:c r="K150" t="str">
        <x:v>53.55</x:v>
      </x:c>
      <x:c r="L150" t="str"/>
      <x:c r="M150" t="str"/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/>
      <x:c r="AF150" t="str"/>
      <x:c r="AG150" t="str"/>
      <x:c r="AH150" t="str">
        <x:f>D150&amp;"|"&amp;UPPER(F150)&amp;"|"&amp;LEFT(B150,10)</x:f>
        <x:v>0888|COMMN|2025-07-01</x:v>
      </x:c>
    </x:row>
    <x:row r="151">
      <x:c r="A151" s="22" t="n">
        <x:v>256</x:v>
      </x:c>
      <x:c r="B151" t="str">
        <x:v>2026-01-03T00:00:00</x:v>
      </x:c>
      <x:c r="C151" t="str">
        <x:v>0888C</x:v>
      </x:c>
      <x:c r="D151" t="str">
        <x:v>0888</x:v>
      </x:c>
      <x:c r="E151" t="str">
        <x:v>Mayoral Staff VIII</x:v>
      </x:c>
      <x:c r="F151" t="str">
        <x:v>COMMN</x:v>
      </x:c>
      <x:c r="G151" t="str">
        <x:v>44.7125</x:v>
      </x:c>
      <x:c r="H151" t="str">
        <x:v>46.9625</x:v>
      </x:c>
      <x:c r="I151" t="str">
        <x:v>49.2875</x:v>
      </x:c>
      <x:c r="J151" t="str">
        <x:v>51.7625</x:v>
      </x:c>
      <x:c r="K151" t="str">
        <x:v>54.35</x:v>
      </x:c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>
        <x:f>D151&amp;"|"&amp;UPPER(F151)&amp;"|"&amp;LEFT(B151,10)</x:f>
        <x:v>0888|COMMN|2026-01-03</x:v>
      </x:c>
    </x:row>
    <x:row r="152">
      <x:c r="A152" s="22" t="n">
        <x:v>257</x:v>
      </x:c>
      <x:c r="B152" t="str">
        <x:v>2026-07-01T00:00:00</x:v>
      </x:c>
      <x:c r="C152" t="str">
        <x:v>0888D</x:v>
      </x:c>
      <x:c r="D152" t="str">
        <x:v>0888</x:v>
      </x:c>
      <x:c r="E152" t="str">
        <x:v>Mayoral Staff VIII</x:v>
      </x:c>
      <x:c r="F152" t="str">
        <x:v>COMMN</x:v>
      </x:c>
      <x:c r="G152" t="str">
        <x:v>45.6125</x:v>
      </x:c>
      <x:c r="H152" t="str">
        <x:v>47.9</x:v>
      </x:c>
      <x:c r="I152" t="str">
        <x:v>50.275</x:v>
      </x:c>
      <x:c r="J152" t="str">
        <x:v>52.8</x:v>
      </x:c>
      <x:c r="K152" t="str">
        <x:v>55.4375</x:v>
      </x:c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>
        <x:f>D152&amp;"|"&amp;UPPER(F152)&amp;"|"&amp;LEFT(B152,10)</x:f>
        <x:v>0888|COMMN|2026-07-01</x:v>
      </x:c>
    </x:row>
    <x:row r="153">
      <x:c r="A153" s="22" t="n">
        <x:v>263</x:v>
      </x:c>
      <x:c r="B153" t="str">
        <x:v>2024-01-06T00:00:00</x:v>
      </x:c>
      <x:c r="C153" t="str">
        <x:v>0889Y</x:v>
      </x:c>
      <x:c r="D153" t="str">
        <x:v>0889</x:v>
      </x:c>
      <x:c r="E153" t="str">
        <x:v>Mayoral Staff IX</x:v>
      </x:c>
      <x:c r="F153" t="str">
        <x:v>COMMN</x:v>
      </x:c>
      <x:c r="G153" t="str">
        <x:v>45.075</x:v>
      </x:c>
      <x:c r="H153" t="str">
        <x:v>47.3125</x:v>
      </x:c>
      <x:c r="I153" t="str">
        <x:v>49.7125</x:v>
      </x:c>
      <x:c r="J153" t="str">
        <x:v>52.2</x:v>
      </x:c>
      <x:c r="K153" t="str">
        <x:v>54.7875</x:v>
      </x:c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>
        <x:f>D153&amp;"|"&amp;UPPER(F153)&amp;"|"&amp;LEFT(B153,10)</x:f>
        <x:v>0889|COMMN|2024-01-06</x:v>
      </x:c>
    </x:row>
    <x:row r="154">
      <x:c r="A154" s="22" t="n">
        <x:v>264</x:v>
      </x:c>
      <x:c r="B154" t="str">
        <x:v>2024-07-01T00:00:00</x:v>
      </x:c>
      <x:c r="C154" t="str">
        <x:v>0889Z</x:v>
      </x:c>
      <x:c r="D154" t="str">
        <x:v>0889</x:v>
      </x:c>
      <x:c r="E154" t="str">
        <x:v>Mayoral Staff IX</x:v>
      </x:c>
      <x:c r="F154" t="str">
        <x:v>COMMN</x:v>
      </x:c>
      <x:c r="G154" t="str">
        <x:v>45.75</x:v>
      </x:c>
      <x:c r="H154" t="str">
        <x:v>48.025</x:v>
      </x:c>
      <x:c r="I154" t="str">
        <x:v>50.4625</x:v>
      </x:c>
      <x:c r="J154" t="str">
        <x:v>52.9875</x:v>
      </x:c>
      <x:c r="K154" t="str">
        <x:v>55.6125</x:v>
      </x:c>
      <x:c r="L154" t="str"/>
      <x:c r="M154" t="str"/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str"/>
      <x:c r="X154" t="str"/>
      <x:c r="Y154" t="str"/>
      <x:c r="Z154" t="str"/>
      <x:c r="AA154" t="str"/>
      <x:c r="AB154" t="str"/>
      <x:c r="AC154" t="str"/>
      <x:c r="AD154" t="str"/>
      <x:c r="AE154" t="str"/>
      <x:c r="AF154" t="str"/>
      <x:c r="AG154" t="str"/>
      <x:c r="AH154" t="str">
        <x:f>D154&amp;"|"&amp;UPPER(F154)&amp;"|"&amp;LEFT(B154,10)</x:f>
        <x:v>0889|COMMN|2024-07-01</x:v>
      </x:c>
    </x:row>
    <x:row r="155">
      <x:c r="A155" s="22" t="n">
        <x:v>265</x:v>
      </x:c>
      <x:c r="B155" t="str">
        <x:v>2025-01-04T00:00:00</x:v>
      </x:c>
      <x:c r="C155" t="str">
        <x:v>0889A</x:v>
      </x:c>
      <x:c r="D155" t="str">
        <x:v>0889</x:v>
      </x:c>
      <x:c r="E155" t="str">
        <x:v>Mayoral Staff IX</x:v>
      </x:c>
      <x:c r="F155" t="str">
        <x:v>COMMN</x:v>
      </x:c>
      <x:c r="G155" t="str">
        <x:v>46.4375</x:v>
      </x:c>
      <x:c r="H155" t="str">
        <x:v>48.75</x:v>
      </x:c>
      <x:c r="I155" t="str">
        <x:v>51.225</x:v>
      </x:c>
      <x:c r="J155" t="str">
        <x:v>53.7875</x:v>
      </x:c>
      <x:c r="K155" t="str">
        <x:v>56.45</x:v>
      </x:c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>
        <x:f>D155&amp;"|"&amp;UPPER(F155)&amp;"|"&amp;LEFT(B155,10)</x:f>
        <x:v>0889|COMMN|2025-01-04</x:v>
      </x:c>
    </x:row>
    <x:row r="156">
      <x:c r="A156" s="22" t="n">
        <x:v>266</x:v>
      </x:c>
      <x:c r="B156" t="str">
        <x:v>2025-07-01T00:00:00</x:v>
      </x:c>
      <x:c r="C156" t="str">
        <x:v>0889B</x:v>
      </x:c>
      <x:c r="D156" t="str">
        <x:v>0889</x:v>
      </x:c>
      <x:c r="E156" t="str">
        <x:v>Mayoral Staff IX</x:v>
      </x:c>
      <x:c r="F156" t="str">
        <x:v>COMMN</x:v>
      </x:c>
      <x:c r="G156" t="str">
        <x:v>47.375</x:v>
      </x:c>
      <x:c r="H156" t="str">
        <x:v>49.725</x:v>
      </x:c>
      <x:c r="I156" t="str">
        <x:v>52.25</x:v>
      </x:c>
      <x:c r="J156" t="str">
        <x:v>54.8625</x:v>
      </x:c>
      <x:c r="K156" t="str">
        <x:v>57.5875</x:v>
      </x:c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>
        <x:f>D156&amp;"|"&amp;UPPER(F156)&amp;"|"&amp;LEFT(B156,10)</x:f>
        <x:v>0889|COMMN|2025-07-01</x:v>
      </x:c>
    </x:row>
    <x:row r="157">
      <x:c r="A157" s="22" t="n">
        <x:v>267</x:v>
      </x:c>
      <x:c r="B157" t="str">
        <x:v>2026-01-03T00:00:00</x:v>
      </x:c>
      <x:c r="C157" t="str">
        <x:v>0889C</x:v>
      </x:c>
      <x:c r="D157" t="str">
        <x:v>0889</x:v>
      </x:c>
      <x:c r="E157" t="str">
        <x:v>Mayoral Staff IX</x:v>
      </x:c>
      <x:c r="F157" t="str">
        <x:v>COMMN</x:v>
      </x:c>
      <x:c r="G157" t="str">
        <x:v>48.0875</x:v>
      </x:c>
      <x:c r="H157" t="str">
        <x:v>50.475</x:v>
      </x:c>
      <x:c r="I157" t="str">
        <x:v>53.0375</x:v>
      </x:c>
      <x:c r="J157" t="str">
        <x:v>55.6875</x:v>
      </x:c>
      <x:c r="K157" t="str">
        <x:v>58.45</x:v>
      </x:c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>
        <x:f>D157&amp;"|"&amp;UPPER(F157)&amp;"|"&amp;LEFT(B157,10)</x:f>
        <x:v>0889|COMMN|2026-01-03</x:v>
      </x:c>
    </x:row>
    <x:row r="158">
      <x:c r="A158" s="22" t="n">
        <x:v>268</x:v>
      </x:c>
      <x:c r="B158" t="str">
        <x:v>2026-07-01T00:00:00</x:v>
      </x:c>
      <x:c r="C158" t="str">
        <x:v>0889D</x:v>
      </x:c>
      <x:c r="D158" t="str">
        <x:v>0889</x:v>
      </x:c>
      <x:c r="E158" t="str">
        <x:v>Mayoral Staff IX</x:v>
      </x:c>
      <x:c r="F158" t="str">
        <x:v>COMMN</x:v>
      </x:c>
      <x:c r="G158" t="str">
        <x:v>49.05</x:v>
      </x:c>
      <x:c r="H158" t="str">
        <x:v>51.4875</x:v>
      </x:c>
      <x:c r="I158" t="str">
        <x:v>54.1</x:v>
      </x:c>
      <x:c r="J158" t="str">
        <x:v>56.8</x:v>
      </x:c>
      <x:c r="K158" t="str">
        <x:v>59.625</x:v>
      </x:c>
      <x:c r="L158" t="str"/>
      <x:c r="M158" t="str"/>
      <x:c r="N158" t="str"/>
      <x:c r="O158" t="str"/>
      <x:c r="P158" t="str"/>
      <x:c r="Q158" t="str"/>
      <x:c r="R158" t="str"/>
      <x:c r="S158" t="str"/>
      <x:c r="T158" t="str"/>
      <x:c r="U158" t="str"/>
      <x:c r="V158" t="str"/>
      <x:c r="W158" t="str"/>
      <x:c r="X158" t="str"/>
      <x:c r="Y158" t="str"/>
      <x:c r="Z158" t="str"/>
      <x:c r="AA158" t="str"/>
      <x:c r="AB158" t="str"/>
      <x:c r="AC158" t="str"/>
      <x:c r="AD158" t="str"/>
      <x:c r="AE158" t="str"/>
      <x:c r="AF158" t="str"/>
      <x:c r="AG158" t="str"/>
      <x:c r="AH158" t="str">
        <x:f>D158&amp;"|"&amp;UPPER(F158)&amp;"|"&amp;LEFT(B158,10)</x:f>
        <x:v>0889|COMMN|2026-07-01</x:v>
      </x:c>
    </x:row>
    <x:row r="159">
      <x:c r="A159" s="22" t="n">
        <x:v>869</x:v>
      </x:c>
      <x:c r="B159" t="str">
        <x:v>2020-07-01T00:00:00</x:v>
      </x:c>
      <x:c r="C159" t="str">
        <x:v>1064S</x:v>
      </x:c>
      <x:c r="D159" t="str">
        <x:v>1064</x:v>
      </x:c>
      <x:c r="E159" t="str">
        <x:v>IS Programmer Analyst-Principal</x:v>
      </x:c>
      <x:c r="F159" t="str">
        <x:v>COMMN</x:v>
      </x:c>
      <x:c r="G159" t="str">
        <x:v>52.9125</x:v>
      </x:c>
      <x:c r="H159" t="str">
        <x:v>54.25</x:v>
      </x:c>
      <x:c r="I159" t="str">
        <x:v>55.5375</x:v>
      </x:c>
      <x:c r="J159" t="str">
        <x:v>57.525</x:v>
      </x:c>
      <x:c r="K159" t="str">
        <x:v>58.8875</x:v>
      </x:c>
      <x:c r="L159" t="str">
        <x:v>60.35</x:v>
      </x:c>
      <x:c r="M159" t="str">
        <x:v>61.9</x:v>
      </x:c>
      <x:c r="N159" t="str">
        <x:v>63.3875</x:v>
      </x:c>
      <x:c r="O159" t="str">
        <x:v>64.9625</x:v>
      </x:c>
      <x:c r="P159" t="str">
        <x:v>66.575</x:v>
      </x:c>
      <x:c r="Q159" t="str">
        <x:v>68.225</x:v>
      </x:c>
      <x:c r="R159" t="str">
        <x:v>69.9375</x:v>
      </x:c>
      <x:c r="S159" t="str">
        <x:v>71.7</x:v>
      </x:c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>
        <x:f>D159&amp;"|"&amp;UPPER(F159)&amp;"|"&amp;LEFT(B159,10)</x:f>
        <x:v>1064|COMMN|2020-07-01</x:v>
      </x:c>
    </x:row>
    <x:row r="160">
      <x:c r="A160" s="22" t="n">
        <x:v>875</x:v>
      </x:c>
      <x:c r="B160" t="str">
        <x:v>2024-01-06T00:00:00</x:v>
      </x:c>
      <x:c r="C160" t="str">
        <x:v>1064Y</x:v>
      </x:c>
      <x:c r="D160" t="str">
        <x:v>1064</x:v>
      </x:c>
      <x:c r="E160" t="str">
        <x:v>IS Programmer Analyst-Principal</x:v>
      </x:c>
      <x:c r="F160" t="str">
        <x:v>COMMN</x:v>
      </x:c>
      <x:c r="G160" t="str">
        <x:v>65.5875</x:v>
      </x:c>
      <x:c r="H160" t="str">
        <x:v>67.2375</x:v>
      </x:c>
      <x:c r="I160" t="str">
        <x:v>68.85</x:v>
      </x:c>
      <x:c r="J160" t="str">
        <x:v>71.325</x:v>
      </x:c>
      <x:c r="K160" t="str">
        <x:v>72.9875</x:v>
      </x:c>
      <x:c r="L160" t="str">
        <x:v>74.825</x:v>
      </x:c>
      <x:c r="M160" t="str">
        <x:v>76.725</x:v>
      </x:c>
      <x:c r="N160" t="str">
        <x:v>78.575</x:v>
      </x:c>
      <x:c r="O160" t="str">
        <x:v>80.5375</x:v>
      </x:c>
      <x:c r="P160" t="str">
        <x:v>82.5125</x:v>
      </x:c>
      <x:c r="Q160" t="str">
        <x:v>84.575</x:v>
      </x:c>
      <x:c r="R160" t="str">
        <x:v>86.7125</x:v>
      </x:c>
      <x:c r="S160" t="str">
        <x:v>88.875</x:v>
      </x:c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>
        <x:v>Please note, the last three steps in this salary range represent extended ranges that require department approval based upon recruitment/retention, special skills, limited duration or exemplary performance.</x:v>
      </x:c>
      <x:c r="AH160" t="str">
        <x:f>D160&amp;"|"&amp;UPPER(F160)&amp;"|"&amp;LEFT(B160,10)</x:f>
        <x:v>1064|COMMN|2024-01-06</x:v>
      </x:c>
    </x:row>
    <x:row r="161">
      <x:c r="A161" s="22" t="n">
        <x:v>887</x:v>
      </x:c>
      <x:c r="B161" t="str">
        <x:v>2024-01-06T00:00:00</x:v>
      </x:c>
      <x:c r="C161" t="str">
        <x:v>1064Y</x:v>
      </x:c>
      <x:c r="D161" t="str">
        <x:v>1064</x:v>
      </x:c>
      <x:c r="E161" t="str">
        <x:v>IS Programmer Analyst-Principal</x:v>
      </x:c>
      <x:c r="F161" t="str">
        <x:v>SFMTA</x:v>
      </x:c>
      <x:c r="G161" t="str">
        <x:v>65.5875</x:v>
      </x:c>
      <x:c r="H161" t="str">
        <x:v>67.2375</x:v>
      </x:c>
      <x:c r="I161" t="str">
        <x:v>68.85</x:v>
      </x:c>
      <x:c r="J161" t="str">
        <x:v>71.325</x:v>
      </x:c>
      <x:c r="K161" t="str">
        <x:v>72.9875</x:v>
      </x:c>
      <x:c r="L161" t="str">
        <x:v>74.825</x:v>
      </x:c>
      <x:c r="M161" t="str">
        <x:v>76.725</x:v>
      </x:c>
      <x:c r="N161" t="str">
        <x:v>78.575</x:v>
      </x:c>
      <x:c r="O161" t="str">
        <x:v>80.5375</x:v>
      </x:c>
      <x:c r="P161" t="str">
        <x:v>82.5125</x:v>
      </x:c>
      <x:c r="Q161" t="str">
        <x:v>84.575</x:v>
      </x:c>
      <x:c r="R161" t="str">
        <x:v>86.7125</x:v>
      </x:c>
      <x:c r="S161" t="str">
        <x:v>88.875</x:v>
      </x:c>
      <x:c r="T161" t="str"/>
      <x:c r="U161" t="str"/>
      <x:c r="V161" t="str"/>
      <x:c r="W161" t="str"/>
      <x:c r="X161" t="str"/>
      <x:c r="Y161" t="str"/>
      <x:c r="Z161" t="str"/>
      <x:c r="AA161" t="str"/>
      <x:c r="AB161" t="str"/>
      <x:c r="AC161" t="str"/>
      <x:c r="AD161" t="str"/>
      <x:c r="AE161" t="str"/>
      <x:c r="AF161" t="str"/>
      <x:c r="AG161" t="str">
        <x:v>Please note, the last three steps in this salary range represent extended ranges that require department approval based upon recruitment/retention, special skills, limited duration or exemplary performance.</x:v>
      </x:c>
      <x:c r="AH161" t="str">
        <x:f>D161&amp;"|"&amp;UPPER(F161)&amp;"|"&amp;LEFT(B161,10)</x:f>
        <x:v>1064|SFMTA|2024-01-06</x:v>
      </x:c>
    </x:row>
    <x:row r="162">
      <x:c r="A162" s="22" t="n">
        <x:v>876</x:v>
      </x:c>
      <x:c r="B162" t="str">
        <x:v>2024-07-01T00:00:00</x:v>
      </x:c>
      <x:c r="C162" t="str">
        <x:v>1064Z</x:v>
      </x:c>
      <x:c r="D162" t="str">
        <x:v>1064</x:v>
      </x:c>
      <x:c r="E162" t="str">
        <x:v>IS Programmer Analyst-Principal</x:v>
      </x:c>
      <x:c r="F162" t="str">
        <x:v>COMMN</x:v>
      </x:c>
      <x:c r="G162" t="str">
        <x:v>66.575</x:v>
      </x:c>
      <x:c r="H162" t="str">
        <x:v>68.25</x:v>
      </x:c>
      <x:c r="I162" t="str">
        <x:v>69.8875</x:v>
      </x:c>
      <x:c r="J162" t="str">
        <x:v>72.4</x:v>
      </x:c>
      <x:c r="K162" t="str">
        <x:v>74.0875</x:v>
      </x:c>
      <x:c r="L162" t="str">
        <x:v>75.95</x:v>
      </x:c>
      <x:c r="M162" t="str">
        <x:v>77.875</x:v>
      </x:c>
      <x:c r="N162" t="str">
        <x:v>79.75</x:v>
      </x:c>
      <x:c r="O162" t="str">
        <x:v>81.75</x:v>
      </x:c>
      <x:c r="P162" t="str">
        <x:v>83.75</x:v>
      </x:c>
      <x:c r="Q162" t="str">
        <x:v>85.8375</x:v>
      </x:c>
      <x:c r="R162" t="str">
        <x:v>88.0125</x:v>
      </x:c>
      <x:c r="S162" t="str">
        <x:v>90.2125</x:v>
      </x:c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>
        <x:v>Please note, the last three steps in this salary range represent extended ranges that require department approval based upon recruitment/retention, special skills, limited duration or exemplary performance.</x:v>
      </x:c>
      <x:c r="AH162" t="str">
        <x:f>D162&amp;"|"&amp;UPPER(F162)&amp;"|"&amp;LEFT(B162,10)</x:f>
        <x:v>1064|COMMN|2024-07-01</x:v>
      </x:c>
    </x:row>
    <x:row r="163">
      <x:c r="A163" s="22" t="n">
        <x:v>888</x:v>
      </x:c>
      <x:c r="B163" t="str">
        <x:v>2024-07-01T00:00:00</x:v>
      </x:c>
      <x:c r="C163" t="str">
        <x:v>1064Z</x:v>
      </x:c>
      <x:c r="D163" t="str">
        <x:v>1064</x:v>
      </x:c>
      <x:c r="E163" t="str">
        <x:v>IS Programmer Analyst-Principal</x:v>
      </x:c>
      <x:c r="F163" t="str">
        <x:v>SFMTA</x:v>
      </x:c>
      <x:c r="G163" t="str">
        <x:v>66.575</x:v>
      </x:c>
      <x:c r="H163" t="str">
        <x:v>68.25</x:v>
      </x:c>
      <x:c r="I163" t="str">
        <x:v>69.8875</x:v>
      </x:c>
      <x:c r="J163" t="str">
        <x:v>72.4</x:v>
      </x:c>
      <x:c r="K163" t="str">
        <x:v>74.0875</x:v>
      </x:c>
      <x:c r="L163" t="str">
        <x:v>75.95</x:v>
      </x:c>
      <x:c r="M163" t="str">
        <x:v>77.875</x:v>
      </x:c>
      <x:c r="N163" t="str">
        <x:v>79.75</x:v>
      </x:c>
      <x:c r="O163" t="str">
        <x:v>81.75</x:v>
      </x:c>
      <x:c r="P163" t="str">
        <x:v>83.75</x:v>
      </x:c>
      <x:c r="Q163" t="str">
        <x:v>85.8375</x:v>
      </x:c>
      <x:c r="R163" t="str">
        <x:v>88.0125</x:v>
      </x:c>
      <x:c r="S163" t="str">
        <x:v>90.2125</x:v>
      </x:c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>
        <x:v>Please note, the last three steps in this salary range represent extended ranges that require department approval based upon recruitment/retention, special skills, limited duration or exemplary performance.</x:v>
      </x:c>
      <x:c r="AH163" t="str">
        <x:f>D163&amp;"|"&amp;UPPER(F163)&amp;"|"&amp;LEFT(B163,10)</x:f>
        <x:v>1064|SFMTA|2024-07-01</x:v>
      </x:c>
    </x:row>
    <x:row r="164">
      <x:c r="A164" s="22" t="n">
        <x:v>877</x:v>
      </x:c>
      <x:c r="B164" t="str">
        <x:v>2025-01-04T00:00:00</x:v>
      </x:c>
      <x:c r="C164" t="str">
        <x:v>1064A</x:v>
      </x:c>
      <x:c r="D164" t="str">
        <x:v>1064</x:v>
      </x:c>
      <x:c r="E164" t="str">
        <x:v>IS Programmer Analyst-Principal</x:v>
      </x:c>
      <x:c r="F164" t="str">
        <x:v>COMMN</x:v>
      </x:c>
      <x:c r="G164" t="str">
        <x:v>67.575</x:v>
      </x:c>
      <x:c r="H164" t="str">
        <x:v>69.275</x:v>
      </x:c>
      <x:c r="I164" t="str">
        <x:v>70.9375</x:v>
      </x:c>
      <x:c r="J164" t="str">
        <x:v>73.4875</x:v>
      </x:c>
      <x:c r="K164" t="str">
        <x:v>75.2</x:v>
      </x:c>
      <x:c r="L164" t="str">
        <x:v>77.0875</x:v>
      </x:c>
      <x:c r="M164" t="str">
        <x:v>79.0375</x:v>
      </x:c>
      <x:c r="N164" t="str">
        <x:v>80.95</x:v>
      </x:c>
      <x:c r="O164" t="str">
        <x:v>82.975</x:v>
      </x:c>
      <x:c r="P164" t="str">
        <x:v>85</x:v>
      </x:c>
      <x:c r="Q164" t="str">
        <x:v>87.125</x:v>
      </x:c>
      <x:c r="R164" t="str">
        <x:v>89.3375</x:v>
      </x:c>
      <x:c r="S164" t="str">
        <x:v>91.5625</x:v>
      </x:c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>
        <x:v>Please note, the last three steps in this salary range represent extended ranges that require department approval based upon recruitment/retention, special skills, limited duration or exemplary performance.</x:v>
      </x:c>
      <x:c r="AH164" t="str">
        <x:f>D164&amp;"|"&amp;UPPER(F164)&amp;"|"&amp;LEFT(B164,10)</x:f>
        <x:v>1064|COMMN|2025-01-04</x:v>
      </x:c>
    </x:row>
    <x:row r="165">
      <x:c r="A165" s="22" t="n">
        <x:v>889</x:v>
      </x:c>
      <x:c r="B165" t="str">
        <x:v>2025-01-04T00:00:00</x:v>
      </x:c>
      <x:c r="C165" t="str">
        <x:v>1064A</x:v>
      </x:c>
      <x:c r="D165" t="str">
        <x:v>1064</x:v>
      </x:c>
      <x:c r="E165" t="str">
        <x:v>IS Programmer Analyst-Principal</x:v>
      </x:c>
      <x:c r="F165" t="str">
        <x:v>SFMTA</x:v>
      </x:c>
      <x:c r="G165" t="str">
        <x:v>67.575</x:v>
      </x:c>
      <x:c r="H165" t="str">
        <x:v>69.275</x:v>
      </x:c>
      <x:c r="I165" t="str">
        <x:v>70.9375</x:v>
      </x:c>
      <x:c r="J165" t="str">
        <x:v>73.4875</x:v>
      </x:c>
      <x:c r="K165" t="str">
        <x:v>75.2</x:v>
      </x:c>
      <x:c r="L165" t="str">
        <x:v>77.0875</x:v>
      </x:c>
      <x:c r="M165" t="str">
        <x:v>79.0375</x:v>
      </x:c>
      <x:c r="N165" t="str">
        <x:v>80.95</x:v>
      </x:c>
      <x:c r="O165" t="str">
        <x:v>82.975</x:v>
      </x:c>
      <x:c r="P165" t="str">
        <x:v>85</x:v>
      </x:c>
      <x:c r="Q165" t="str">
        <x:v>87.125</x:v>
      </x:c>
      <x:c r="R165" t="str">
        <x:v>89.3375</x:v>
      </x:c>
      <x:c r="S165" t="str">
        <x:v>91.5625</x:v>
      </x:c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>
        <x:v>Please note, the last three steps in this salary range represent extended ranges that require department approval based upon recruitment/retention, special skills, limited duration or exemplary performance.</x:v>
      </x:c>
      <x:c r="AH165" t="str">
        <x:f>D165&amp;"|"&amp;UPPER(F165)&amp;"|"&amp;LEFT(B165,10)</x:f>
        <x:v>1064|SFMTA|2025-01-04</x:v>
      </x:c>
    </x:row>
    <x:row r="166">
      <x:c r="A166" s="22" t="n">
        <x:v>878</x:v>
      </x:c>
      <x:c r="B166" t="str">
        <x:v>2025-07-01T00:00:00</x:v>
      </x:c>
      <x:c r="C166" t="str">
        <x:v>1064B</x:v>
      </x:c>
      <x:c r="D166" t="str">
        <x:v>1064</x:v>
      </x:c>
      <x:c r="E166" t="str">
        <x:v>IS Prg Analyst-Principal</x:v>
      </x:c>
      <x:c r="F166" t="str">
        <x:v>COMMN</x:v>
      </x:c>
      <x:c r="G166" t="str">
        <x:v>68.9375</x:v>
      </x:c>
      <x:c r="H166" t="str">
        <x:v>70.6625</x:v>
      </x:c>
      <x:c r="I166" t="str">
        <x:v>72.3625</x:v>
      </x:c>
      <x:c r="J166" t="str">
        <x:v>74.9625</x:v>
      </x:c>
      <x:c r="K166" t="str">
        <x:v>76.7125</x:v>
      </x:c>
      <x:c r="L166" t="str">
        <x:v>78.6375</x:v>
      </x:c>
      <x:c r="M166" t="str">
        <x:v>80.625</x:v>
      </x:c>
      <x:c r="N166" t="str">
        <x:v>82.575</x:v>
      </x:c>
      <x:c r="O166" t="str">
        <x:v>84.6375</x:v>
      </x:c>
      <x:c r="P166" t="str">
        <x:v>86.7125</x:v>
      </x:c>
      <x:c r="Q166" t="str">
        <x:v>88.875</x:v>
      </x:c>
      <x:c r="R166" t="str">
        <x:v>91.1375</x:v>
      </x:c>
      <x:c r="S166" t="str">
        <x:v>93.4</x:v>
      </x:c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>
        <x:v>Please note, the last three steps in this salary range represent extended ranges that require department approval based upon recruitment/retention, special skills, limited duration or exemplary performance.</x:v>
      </x:c>
      <x:c r="AH166" t="str">
        <x:f>D166&amp;"|"&amp;UPPER(F166)&amp;"|"&amp;LEFT(B166,10)</x:f>
        <x:v>1064|COMMN|2025-07-01</x:v>
      </x:c>
    </x:row>
    <x:row r="167">
      <x:c r="A167" s="22" t="n">
        <x:v>890</x:v>
      </x:c>
      <x:c r="B167" t="str">
        <x:v>2025-07-01T00:00:00</x:v>
      </x:c>
      <x:c r="C167" t="str">
        <x:v>1064B</x:v>
      </x:c>
      <x:c r="D167" t="str">
        <x:v>1064</x:v>
      </x:c>
      <x:c r="E167" t="str">
        <x:v>IS Prg Analyst-Principal</x:v>
      </x:c>
      <x:c r="F167" t="str">
        <x:v>SFMTA</x:v>
      </x:c>
      <x:c r="G167" t="str">
        <x:v>68.9375</x:v>
      </x:c>
      <x:c r="H167" t="str">
        <x:v>70.6625</x:v>
      </x:c>
      <x:c r="I167" t="str">
        <x:v>72.3625</x:v>
      </x:c>
      <x:c r="J167" t="str">
        <x:v>74.9625</x:v>
      </x:c>
      <x:c r="K167" t="str">
        <x:v>76.7125</x:v>
      </x:c>
      <x:c r="L167" t="str">
        <x:v>78.6375</x:v>
      </x:c>
      <x:c r="M167" t="str">
        <x:v>80.625</x:v>
      </x:c>
      <x:c r="N167" t="str">
        <x:v>82.575</x:v>
      </x:c>
      <x:c r="O167" t="str">
        <x:v>84.6375</x:v>
      </x:c>
      <x:c r="P167" t="str">
        <x:v>86.7125</x:v>
      </x:c>
      <x:c r="Q167" t="str">
        <x:v>88.875</x:v>
      </x:c>
      <x:c r="R167" t="str">
        <x:v>91.1375</x:v>
      </x:c>
      <x:c r="S167" t="str">
        <x:v>93.4</x:v>
      </x:c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>
        <x:v>Please note, the last three steps in this salary range represent extended ranges that require department approval based upon recruitment/retention, special skills, limited duration or exemplary performance.</x:v>
      </x:c>
      <x:c r="AH167" t="str">
        <x:f>D167&amp;"|"&amp;UPPER(F167)&amp;"|"&amp;LEFT(B167,10)</x:f>
        <x:v>1064|SFMTA|2025-07-01</x:v>
      </x:c>
    </x:row>
    <x:row r="168">
      <x:c r="A168" s="22" t="n">
        <x:v>879</x:v>
      </x:c>
      <x:c r="B168" t="str">
        <x:v>2026-01-03T00:00:00</x:v>
      </x:c>
      <x:c r="C168" t="str">
        <x:v>1064C</x:v>
      </x:c>
      <x:c r="D168" t="str">
        <x:v>1064</x:v>
      </x:c>
      <x:c r="E168" t="str">
        <x:v>IS Prg Analyst-Principal</x:v>
      </x:c>
      <x:c r="F168" t="str">
        <x:v>COMMN</x:v>
      </x:c>
      <x:c r="G168" t="str">
        <x:v>69.975</x:v>
      </x:c>
      <x:c r="H168" t="str">
        <x:v>71.725</x:v>
      </x:c>
      <x:c r="I168" t="str">
        <x:v>73.45</x:v>
      </x:c>
      <x:c r="J168" t="str">
        <x:v>76.0875</x:v>
      </x:c>
      <x:c r="K168" t="str">
        <x:v>77.8625</x:v>
      </x:c>
      <x:c r="L168" t="str">
        <x:v>79.8125</x:v>
      </x:c>
      <x:c r="M168" t="str">
        <x:v>81.8375</x:v>
      </x:c>
      <x:c r="N168" t="str">
        <x:v>83.8125</x:v>
      </x:c>
      <x:c r="O168" t="str">
        <x:v>85.9125</x:v>
      </x:c>
      <x:c r="P168" t="str">
        <x:v>88.0125</x:v>
      </x:c>
      <x:c r="Q168" t="str">
        <x:v>90.2125</x:v>
      </x:c>
      <x:c r="R168" t="str">
        <x:v>92.5</x:v>
      </x:c>
      <x:c r="S168" t="str">
        <x:v>94.8</x:v>
      </x:c>
      <x:c r="T168" t="str"/>
      <x:c r="U168" t="str"/>
      <x:c r="V168" t="str"/>
      <x:c r="W168" t="str"/>
      <x:c r="X168" t="str"/>
      <x:c r="Y168" t="str"/>
      <x:c r="Z168" t="str"/>
      <x:c r="AA168" t="str"/>
      <x:c r="AB168" t="str"/>
      <x:c r="AC168" t="str"/>
      <x:c r="AD168" t="str"/>
      <x:c r="AE168" t="str"/>
      <x:c r="AF168" t="str"/>
      <x:c r="AG168" t="str">
        <x:v>Please note, the last three steps in this salary range represent extended ranges that require department approval based upon recruitment/retention, special skills, limited duration or exemplary performance.</x:v>
      </x:c>
      <x:c r="AH168" t="str">
        <x:f>D168&amp;"|"&amp;UPPER(F168)&amp;"|"&amp;LEFT(B168,10)</x:f>
        <x:v>1064|COMMN|2026-01-03</x:v>
      </x:c>
    </x:row>
    <x:row r="169">
      <x:c r="A169" s="22" t="n">
        <x:v>891</x:v>
      </x:c>
      <x:c r="B169" t="str">
        <x:v>2026-01-03T00:00:00</x:v>
      </x:c>
      <x:c r="C169" t="str">
        <x:v>1064C</x:v>
      </x:c>
      <x:c r="D169" t="str">
        <x:v>1064</x:v>
      </x:c>
      <x:c r="E169" t="str">
        <x:v>IS Prg Analyst-Principal</x:v>
      </x:c>
      <x:c r="F169" t="str">
        <x:v>SFMTA</x:v>
      </x:c>
      <x:c r="G169" t="str">
        <x:v>69.975</x:v>
      </x:c>
      <x:c r="H169" t="str">
        <x:v>71.725</x:v>
      </x:c>
      <x:c r="I169" t="str">
        <x:v>73.45</x:v>
      </x:c>
      <x:c r="J169" t="str">
        <x:v>76.0875</x:v>
      </x:c>
      <x:c r="K169" t="str">
        <x:v>77.8625</x:v>
      </x:c>
      <x:c r="L169" t="str">
        <x:v>79.8125</x:v>
      </x:c>
      <x:c r="M169" t="str">
        <x:v>81.8375</x:v>
      </x:c>
      <x:c r="N169" t="str">
        <x:v>83.8125</x:v>
      </x:c>
      <x:c r="O169" t="str">
        <x:v>85.9125</x:v>
      </x:c>
      <x:c r="P169" t="str">
        <x:v>88.0125</x:v>
      </x:c>
      <x:c r="Q169" t="str">
        <x:v>90.2125</x:v>
      </x:c>
      <x:c r="R169" t="str">
        <x:v>92.5</x:v>
      </x:c>
      <x:c r="S169" t="str">
        <x:v>94.8</x:v>
      </x:c>
      <x:c r="T169" t="str"/>
      <x:c r="U169" t="str"/>
      <x:c r="V169" t="str"/>
      <x:c r="W169" t="str"/>
      <x:c r="X169" t="str"/>
      <x:c r="Y169" t="str"/>
      <x:c r="Z169" t="str"/>
      <x:c r="AA169" t="str"/>
      <x:c r="AB169" t="str"/>
      <x:c r="AC169" t="str"/>
      <x:c r="AD169" t="str"/>
      <x:c r="AE169" t="str"/>
      <x:c r="AF169" t="str"/>
      <x:c r="AG169" t="str">
        <x:v>Please note, the last three steps in this salary range represent extended ranges that require department approval based upon recruitment/retention, special skills, limited duration or exemplary performance.</x:v>
      </x:c>
      <x:c r="AH169" t="str">
        <x:f>D169&amp;"|"&amp;UPPER(F169)&amp;"|"&amp;LEFT(B169,10)</x:f>
        <x:v>1064|SFMTA|2026-01-03</x:v>
      </x:c>
    </x:row>
    <x:row r="170">
      <x:c r="A170" s="22" t="n">
        <x:v>880</x:v>
      </x:c>
      <x:c r="B170" t="str">
        <x:v>2026-07-01T00:00:00</x:v>
      </x:c>
      <x:c r="C170" t="str">
        <x:v>1064D</x:v>
      </x:c>
      <x:c r="D170" t="str">
        <x:v>1064</x:v>
      </x:c>
      <x:c r="E170" t="str">
        <x:v>IS Prg Analyst-Principal</x:v>
      </x:c>
      <x:c r="F170" t="str">
        <x:v>COMMN</x:v>
      </x:c>
      <x:c r="G170" t="str">
        <x:v>71.375</x:v>
      </x:c>
      <x:c r="H170" t="str">
        <x:v>73.1625</x:v>
      </x:c>
      <x:c r="I170" t="str">
        <x:v>74.925</x:v>
      </x:c>
      <x:c r="J170" t="str">
        <x:v>77.6125</x:v>
      </x:c>
      <x:c r="K170" t="str">
        <x:v>79.425</x:v>
      </x:c>
      <x:c r="L170" t="str">
        <x:v>81.4125</x:v>
      </x:c>
      <x:c r="M170" t="str">
        <x:v>83.475</x:v>
      </x:c>
      <x:c r="N170" t="str">
        <x:v>85.4875</x:v>
      </x:c>
      <x:c r="O170" t="str">
        <x:v>87.625</x:v>
      </x:c>
      <x:c r="P170" t="str">
        <x:v>89.775</x:v>
      </x:c>
      <x:c r="Q170" t="str">
        <x:v>92.0125</x:v>
      </x:c>
      <x:c r="R170" t="str">
        <x:v>94.35</x:v>
      </x:c>
      <x:c r="S170" t="str">
        <x:v>96.7</x:v>
      </x:c>
      <x:c r="T170" t="str"/>
      <x:c r="U170" t="str"/>
      <x:c r="V170" t="str"/>
      <x:c r="W170" t="str"/>
      <x:c r="X170" t="str"/>
      <x:c r="Y170" t="str"/>
      <x:c r="Z170" t="str"/>
      <x:c r="AA170" t="str"/>
      <x:c r="AB170" t="str"/>
      <x:c r="AC170" t="str"/>
      <x:c r="AD170" t="str"/>
      <x:c r="AE170" t="str"/>
      <x:c r="AF170" t="str"/>
      <x:c r="AG170" t="str">
        <x:v>Please note, the last three steps in this salary range represent extended ranges that require department approval based upon recruitment/retention, special skills, limited duration or exemplary performance.</x:v>
      </x:c>
      <x:c r="AH170" t="str">
        <x:f>D170&amp;"|"&amp;UPPER(F170)&amp;"|"&amp;LEFT(B170,10)</x:f>
        <x:v>1064|COMMN|2026-07-01</x:v>
      </x:c>
    </x:row>
    <x:row r="171">
      <x:c r="A171" s="22" t="n">
        <x:v>892</x:v>
      </x:c>
      <x:c r="B171" t="str">
        <x:v>2026-07-01T00:00:00</x:v>
      </x:c>
      <x:c r="C171" t="str">
        <x:v>1064D</x:v>
      </x:c>
      <x:c r="D171" t="str">
        <x:v>1064</x:v>
      </x:c>
      <x:c r="E171" t="str">
        <x:v>IS Prg Analyst-Principal</x:v>
      </x:c>
      <x:c r="F171" t="str">
        <x:v>SFMTA</x:v>
      </x:c>
      <x:c r="G171" t="str">
        <x:v>71.375</x:v>
      </x:c>
      <x:c r="H171" t="str">
        <x:v>73.1625</x:v>
      </x:c>
      <x:c r="I171" t="str">
        <x:v>74.925</x:v>
      </x:c>
      <x:c r="J171" t="str">
        <x:v>77.6125</x:v>
      </x:c>
      <x:c r="K171" t="str">
        <x:v>79.425</x:v>
      </x:c>
      <x:c r="L171" t="str">
        <x:v>81.4125</x:v>
      </x:c>
      <x:c r="M171" t="str">
        <x:v>83.475</x:v>
      </x:c>
      <x:c r="N171" t="str">
        <x:v>85.4875</x:v>
      </x:c>
      <x:c r="O171" t="str">
        <x:v>87.625</x:v>
      </x:c>
      <x:c r="P171" t="str">
        <x:v>89.775</x:v>
      </x:c>
      <x:c r="Q171" t="str">
        <x:v>92.0125</x:v>
      </x:c>
      <x:c r="R171" t="str">
        <x:v>94.35</x:v>
      </x:c>
      <x:c r="S171" t="str">
        <x:v>96.7</x:v>
      </x:c>
      <x:c r="T171" t="str"/>
      <x:c r="U171" t="str"/>
      <x:c r="V171" t="str"/>
      <x:c r="W171" t="str"/>
      <x:c r="X171" t="str"/>
      <x:c r="Y171" t="str"/>
      <x:c r="Z171" t="str"/>
      <x:c r="AA171" t="str"/>
      <x:c r="AB171" t="str"/>
      <x:c r="AC171" t="str"/>
      <x:c r="AD171" t="str"/>
      <x:c r="AE171" t="str"/>
      <x:c r="AF171" t="str"/>
      <x:c r="AG171" t="str">
        <x:v>Please note, the last three steps in this salary range represent extended ranges that require department approval based upon recruitment/retention, special skills, limited duration or exemplary performance.</x:v>
      </x:c>
      <x:c r="AH171" t="str">
        <x:f>D171&amp;"|"&amp;UPPER(F171)&amp;"|"&amp;LEFT(B171,10)</x:f>
        <x:v>1064|SFMTA|2026-07-01</x:v>
      </x:c>
    </x:row>
    <x:row r="172">
      <x:c r="A172" s="22" t="n">
        <x:v>941</x:v>
      </x:c>
      <x:c r="B172" t="str">
        <x:v>2023-07-01T00:00:00</x:v>
      </x:c>
      <x:c r="C172" t="str">
        <x:v>1090X</x:v>
      </x:c>
      <x:c r="D172" t="str">
        <x:v>1090</x:v>
      </x:c>
      <x:c r="E172" t="str">
        <x:v>IT Operations Support Apprentice</x:v>
      </x:c>
      <x:c r="F172" t="str">
        <x:v>COMMN</x:v>
      </x:c>
      <x:c r="G172" t="str">
        <x:v>29.55</x:v>
      </x:c>
      <x:c r="H172" t="str">
        <x:v>31.2</x:v>
      </x:c>
      <x:c r="I172" t="str"/>
      <x:c r="J172" t="str"/>
      <x:c r="K172" t="str"/>
      <x:c r="L172" t="str"/>
      <x:c r="M172" t="str"/>
      <x:c r="N172" t="str"/>
      <x:c r="O172" t="str"/>
      <x:c r="P172" t="str"/>
      <x:c r="Q172" t="str"/>
      <x:c r="R172" t="str"/>
      <x:c r="S172" t="str"/>
      <x:c r="T172" t="str"/>
      <x:c r="U172" t="str"/>
      <x:c r="V172" t="str"/>
      <x:c r="W172" t="str"/>
      <x:c r="X172" t="str"/>
      <x:c r="Y172" t="str"/>
      <x:c r="Z172" t="str"/>
      <x:c r="AA172" t="str"/>
      <x:c r="AB172" t="str"/>
      <x:c r="AC172" t="str"/>
      <x:c r="AD172" t="str"/>
      <x:c r="AE172" t="str"/>
      <x:c r="AF172" t="str"/>
      <x:c r="AG172" t="str"/>
      <x:c r="AH172" t="str">
        <x:f>D172&amp;"|"&amp;UPPER(F172)&amp;"|"&amp;LEFT(B172,10)</x:f>
        <x:v>1090|COMMN|2023-07-01</x:v>
      </x:c>
    </x:row>
    <x:row r="173">
      <x:c r="A173" s="22" t="n">
        <x:v>942</x:v>
      </x:c>
      <x:c r="B173" t="str">
        <x:v>2024-01-06T00:00:00</x:v>
      </x:c>
      <x:c r="C173" t="str">
        <x:v>1090Y</x:v>
      </x:c>
      <x:c r="D173" t="str">
        <x:v>1090</x:v>
      </x:c>
      <x:c r="E173" t="str">
        <x:v>IT Operations Support Apprentice</x:v>
      </x:c>
      <x:c r="F173" t="str">
        <x:v>COMMN</x:v>
      </x:c>
      <x:c r="G173" t="str">
        <x:v>30.2125</x:v>
      </x:c>
      <x:c r="H173" t="str">
        <x:v>31.9</x:v>
      </x:c>
      <x:c r="I173" t="str"/>
      <x:c r="J173" t="str"/>
      <x:c r="K173" t="str"/>
      <x:c r="L173" t="str"/>
      <x:c r="M173" t="str"/>
      <x:c r="N173" t="str"/>
      <x:c r="O173" t="str"/>
      <x:c r="P173" t="str"/>
      <x:c r="Q173" t="str"/>
      <x:c r="R173" t="str"/>
      <x:c r="S173" t="str"/>
      <x:c r="T173" t="str"/>
      <x:c r="U173" t="str"/>
      <x:c r="V173" t="str"/>
      <x:c r="W173" t="str"/>
      <x:c r="X173" t="str"/>
      <x:c r="Y173" t="str"/>
      <x:c r="Z173" t="str"/>
      <x:c r="AA173" t="str"/>
      <x:c r="AB173" t="str"/>
      <x:c r="AC173" t="str"/>
      <x:c r="AD173" t="str"/>
      <x:c r="AE173" t="str"/>
      <x:c r="AF173" t="str"/>
      <x:c r="AG173" t="str"/>
      <x:c r="AH173" t="str">
        <x:f>D173&amp;"|"&amp;UPPER(F173)&amp;"|"&amp;LEFT(B173,10)</x:f>
        <x:v>1090|COMMN|2024-01-06</x:v>
      </x:c>
    </x:row>
    <x:row r="174">
      <x:c r="A174" s="22" t="n">
        <x:v>949</x:v>
      </x:c>
      <x:c r="B174" t="str">
        <x:v>2024-01-06T00:00:00</x:v>
      </x:c>
      <x:c r="C174" t="str">
        <x:v>1090Y</x:v>
      </x:c>
      <x:c r="D174" t="str">
        <x:v>1090</x:v>
      </x:c>
      <x:c r="E174" t="str">
        <x:v>IT Operations Support Apprentice</x:v>
      </x:c>
      <x:c r="F174" t="str">
        <x:v>SFMTA</x:v>
      </x:c>
      <x:c r="G174" t="str">
        <x:v>30.2125</x:v>
      </x:c>
      <x:c r="H174" t="str">
        <x:v>31.9</x:v>
      </x:c>
      <x:c r="I174" t="str"/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>
        <x:f>D174&amp;"|"&amp;UPPER(F174)&amp;"|"&amp;LEFT(B174,10)</x:f>
        <x:v>1090|SFMTA|2024-01-06</x:v>
      </x:c>
    </x:row>
    <x:row r="175">
      <x:c r="A175" s="22" t="n">
        <x:v>943</x:v>
      </x:c>
      <x:c r="B175" t="str">
        <x:v>2024-07-01T00:00:00</x:v>
      </x:c>
      <x:c r="C175" t="str">
        <x:v>1090Z</x:v>
      </x:c>
      <x:c r="D175" t="str">
        <x:v>1090</x:v>
      </x:c>
      <x:c r="E175" t="str">
        <x:v>IT Operations Support Apprentice</x:v>
      </x:c>
      <x:c r="F175" t="str">
        <x:v>COMMN</x:v>
      </x:c>
      <x:c r="G175" t="str">
        <x:v>30.6625</x:v>
      </x:c>
      <x:c r="H175" t="str">
        <x:v>32.375</x:v>
      </x:c>
      <x:c r="I175" t="str"/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>
        <x:f>D175&amp;"|"&amp;UPPER(F175)&amp;"|"&amp;LEFT(B175,10)</x:f>
        <x:v>1090|COMMN|2024-07-01</x:v>
      </x:c>
    </x:row>
    <x:row r="176">
      <x:c r="A176" s="22" t="n">
        <x:v>950</x:v>
      </x:c>
      <x:c r="B176" t="str">
        <x:v>2024-07-01T00:00:00</x:v>
      </x:c>
      <x:c r="C176" t="str">
        <x:v>1090Z</x:v>
      </x:c>
      <x:c r="D176" t="str">
        <x:v>1090</x:v>
      </x:c>
      <x:c r="E176" t="str">
        <x:v>IT Operations Support Apprentice</x:v>
      </x:c>
      <x:c r="F176" t="str">
        <x:v>SFMTA</x:v>
      </x:c>
      <x:c r="G176" t="str">
        <x:v>30.6625</x:v>
      </x:c>
      <x:c r="H176" t="str">
        <x:v>32.375</x:v>
      </x:c>
      <x:c r="I176" t="str"/>
      <x:c r="J176" t="str"/>
      <x:c r="K176" t="str"/>
      <x:c r="L176" t="str"/>
      <x:c r="M176" t="str"/>
      <x:c r="N176" t="str"/>
      <x:c r="O176" t="str"/>
      <x:c r="P176" t="str"/>
      <x:c r="Q176" t="str"/>
      <x:c r="R176" t="str"/>
      <x:c r="S176" t="str"/>
      <x:c r="T176" t="str"/>
      <x:c r="U176" t="str"/>
      <x:c r="V176" t="str"/>
      <x:c r="W176" t="str"/>
      <x:c r="X176" t="str"/>
      <x:c r="Y176" t="str"/>
      <x:c r="Z176" t="str"/>
      <x:c r="AA176" t="str"/>
      <x:c r="AB176" t="str"/>
      <x:c r="AC176" t="str"/>
      <x:c r="AD176" t="str"/>
      <x:c r="AE176" t="str"/>
      <x:c r="AF176" t="str"/>
      <x:c r="AG176" t="str"/>
      <x:c r="AH176" t="str">
        <x:f>D176&amp;"|"&amp;UPPER(F176)&amp;"|"&amp;LEFT(B176,10)</x:f>
        <x:v>1090|SFMTA|2024-07-01</x:v>
      </x:c>
    </x:row>
    <x:row r="177">
      <x:c r="A177" s="22" t="n">
        <x:v>944</x:v>
      </x:c>
      <x:c r="B177" t="str">
        <x:v>2025-01-04T00:00:00</x:v>
      </x:c>
      <x:c r="C177" t="str">
        <x:v>1090A</x:v>
      </x:c>
      <x:c r="D177" t="str">
        <x:v>1090</x:v>
      </x:c>
      <x:c r="E177" t="str">
        <x:v>IT Operations Support Apprentice</x:v>
      </x:c>
      <x:c r="F177" t="str">
        <x:v>COMMN</x:v>
      </x:c>
      <x:c r="G177" t="str">
        <x:v>31.125</x:v>
      </x:c>
      <x:c r="H177" t="str">
        <x:v>32.8625</x:v>
      </x:c>
      <x:c r="I177" t="str"/>
      <x:c r="J177" t="str"/>
      <x:c r="K177" t="str"/>
      <x:c r="L177" t="str"/>
      <x:c r="M177" t="str"/>
      <x:c r="N177" t="str"/>
      <x:c r="O177" t="str"/>
      <x:c r="P177" t="str"/>
      <x:c r="Q177" t="str"/>
      <x:c r="R177" t="str"/>
      <x:c r="S177" t="str"/>
      <x:c r="T177" t="str"/>
      <x:c r="U177" t="str"/>
      <x:c r="V177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/>
      <x:c r="AF177" t="str"/>
      <x:c r="AG177" t="str"/>
      <x:c r="AH177" t="str">
        <x:f>D177&amp;"|"&amp;UPPER(F177)&amp;"|"&amp;LEFT(B177,10)</x:f>
        <x:v>1090|COMMN|2025-01-04</x:v>
      </x:c>
    </x:row>
    <x:row r="178">
      <x:c r="A178" s="22" t="n">
        <x:v>951</x:v>
      </x:c>
      <x:c r="B178" t="str">
        <x:v>2025-01-04T00:00:00</x:v>
      </x:c>
      <x:c r="C178" t="str">
        <x:v>1090A</x:v>
      </x:c>
      <x:c r="D178" t="str">
        <x:v>1090</x:v>
      </x:c>
      <x:c r="E178" t="str">
        <x:v>IT Operations Support Apprentice</x:v>
      </x:c>
      <x:c r="F178" t="str">
        <x:v>SFMTA</x:v>
      </x:c>
      <x:c r="G178" t="str">
        <x:v>31.125</x:v>
      </x:c>
      <x:c r="H178" t="str">
        <x:v>32.8625</x:v>
      </x:c>
      <x:c r="I178" t="str"/>
      <x:c r="J178" t="str"/>
      <x:c r="K178" t="str"/>
      <x:c r="L178" t="str"/>
      <x:c r="M178" t="str"/>
      <x:c r="N178" t="str"/>
      <x:c r="O178" t="str"/>
      <x:c r="P178" t="str"/>
      <x:c r="Q178" t="str"/>
      <x:c r="R178" t="str"/>
      <x:c r="S178" t="str"/>
      <x:c r="T178" t="str"/>
      <x:c r="U178" t="str"/>
      <x:c r="V178" t="str"/>
      <x:c r="W178" t="str"/>
      <x:c r="X178" t="str"/>
      <x:c r="Y178" t="str"/>
      <x:c r="Z178" t="str"/>
      <x:c r="AA178" t="str"/>
      <x:c r="AB178" t="str"/>
      <x:c r="AC178" t="str"/>
      <x:c r="AD178" t="str"/>
      <x:c r="AE178" t="str"/>
      <x:c r="AF178" t="str"/>
      <x:c r="AG178" t="str"/>
      <x:c r="AH178" t="str">
        <x:f>D178&amp;"|"&amp;UPPER(F178)&amp;"|"&amp;LEFT(B178,10)</x:f>
        <x:v>1090|SFMTA|2025-01-04</x:v>
      </x:c>
    </x:row>
    <x:row r="179">
      <x:c r="A179" s="22" t="n">
        <x:v>945</x:v>
      </x:c>
      <x:c r="B179" t="str">
        <x:v>2025-07-01T00:00:00</x:v>
      </x:c>
      <x:c r="C179" t="str">
        <x:v>1090B</x:v>
      </x:c>
      <x:c r="D179" t="str">
        <x:v>1090</x:v>
      </x:c>
      <x:c r="E179" t="str">
        <x:v>IT Operations Support Apprenti</x:v>
      </x:c>
      <x:c r="F179" t="str">
        <x:v>COMMN</x:v>
      </x:c>
      <x:c r="G179" t="str">
        <x:v>31.75</x:v>
      </x:c>
      <x:c r="H179" t="str">
        <x:v>33.525</x:v>
      </x:c>
      <x:c r="I179" t="str"/>
      <x:c r="J179" t="str"/>
      <x:c r="K179" t="str"/>
      <x:c r="L179" t="str"/>
      <x:c r="M179" t="str"/>
      <x:c r="N179" t="str"/>
      <x:c r="O179" t="str"/>
      <x:c r="P179" t="str"/>
      <x:c r="Q179" t="str"/>
      <x:c r="R179" t="str"/>
      <x:c r="S179" t="str"/>
      <x:c r="T179" t="str"/>
      <x:c r="U179" t="str"/>
      <x:c r="V179" t="str"/>
      <x:c r="W179" t="str"/>
      <x:c r="X179" t="str"/>
      <x:c r="Y179" t="str"/>
      <x:c r="Z179" t="str"/>
      <x:c r="AA179" t="str"/>
      <x:c r="AB179" t="str"/>
      <x:c r="AC179" t="str"/>
      <x:c r="AD179" t="str"/>
      <x:c r="AE179" t="str"/>
      <x:c r="AF179" t="str"/>
      <x:c r="AG179" t="str"/>
      <x:c r="AH179" t="str">
        <x:f>D179&amp;"|"&amp;UPPER(F179)&amp;"|"&amp;LEFT(B179,10)</x:f>
        <x:v>1090|COMMN|2025-07-01</x:v>
      </x:c>
    </x:row>
    <x:row r="180">
      <x:c r="A180" s="22" t="n">
        <x:v>952</x:v>
      </x:c>
      <x:c r="B180" t="str">
        <x:v>2025-07-01T00:00:00</x:v>
      </x:c>
      <x:c r="C180" t="str">
        <x:v>1090B</x:v>
      </x:c>
      <x:c r="D180" t="str">
        <x:v>1090</x:v>
      </x:c>
      <x:c r="E180" t="str">
        <x:v>IT Operations Support Apprent</x:v>
      </x:c>
      <x:c r="F180" t="str">
        <x:v>SFMTA</x:v>
      </x:c>
      <x:c r="G180" t="str">
        <x:v>31.75</x:v>
      </x:c>
      <x:c r="H180" t="str">
        <x:v>33.525</x:v>
      </x:c>
      <x:c r="I180" t="str"/>
      <x:c r="J180" t="str"/>
      <x:c r="K180" t="str"/>
      <x:c r="L180" t="str"/>
      <x:c r="M180" t="str"/>
      <x:c r="N180" t="str"/>
      <x:c r="O180" t="str"/>
      <x:c r="P180" t="str"/>
      <x:c r="Q180" t="str"/>
      <x:c r="R180" t="str"/>
      <x:c r="S180" t="str"/>
      <x:c r="T180" t="str"/>
      <x:c r="U180" t="str"/>
      <x:c r="V180" t="str"/>
      <x:c r="W180" t="str"/>
      <x:c r="X180" t="str"/>
      <x:c r="Y180" t="str"/>
      <x:c r="Z180" t="str"/>
      <x:c r="AA180" t="str"/>
      <x:c r="AB180" t="str"/>
      <x:c r="AC180" t="str"/>
      <x:c r="AD180" t="str"/>
      <x:c r="AE180" t="str"/>
      <x:c r="AF180" t="str"/>
      <x:c r="AG180" t="str"/>
      <x:c r="AH180" t="str">
        <x:f>D180&amp;"|"&amp;UPPER(F180)&amp;"|"&amp;LEFT(B180,10)</x:f>
        <x:v>1090|SFMTA|2025-07-01</x:v>
      </x:c>
    </x:row>
    <x:row r="181">
      <x:c r="A181" s="22" t="n">
        <x:v>946</x:v>
      </x:c>
      <x:c r="B181" t="str">
        <x:v>2026-01-03T00:00:00</x:v>
      </x:c>
      <x:c r="C181" t="str">
        <x:v>1090C</x:v>
      </x:c>
      <x:c r="D181" t="str">
        <x:v>1090</x:v>
      </x:c>
      <x:c r="E181" t="str">
        <x:v>IT Operations Support Apprenti</x:v>
      </x:c>
      <x:c r="F181" t="str">
        <x:v>COMMN</x:v>
      </x:c>
      <x:c r="G181" t="str">
        <x:v>32.225</x:v>
      </x:c>
      <x:c r="H181" t="str">
        <x:v>34.025</x:v>
      </x:c>
      <x:c r="I181" t="str"/>
      <x:c r="J181" t="str"/>
      <x:c r="K181" t="str"/>
      <x:c r="L181" t="str"/>
      <x:c r="M181" t="str"/>
      <x:c r="N181" t="str"/>
      <x:c r="O181" t="str"/>
      <x:c r="P181" t="str"/>
      <x:c r="Q181" t="str"/>
      <x:c r="R181" t="str"/>
      <x:c r="S181" t="str"/>
      <x:c r="T181" t="str"/>
      <x:c r="U181" t="str"/>
      <x:c r="V181" t="str"/>
      <x:c r="W181" t="str"/>
      <x:c r="X181" t="str"/>
      <x:c r="Y181" t="str"/>
      <x:c r="Z181" t="str"/>
      <x:c r="AA181" t="str"/>
      <x:c r="AB181" t="str"/>
      <x:c r="AC181" t="str"/>
      <x:c r="AD181" t="str"/>
      <x:c r="AE181" t="str"/>
      <x:c r="AF181" t="str"/>
      <x:c r="AG181" t="str"/>
      <x:c r="AH181" t="str">
        <x:f>D181&amp;"|"&amp;UPPER(F181)&amp;"|"&amp;LEFT(B181,10)</x:f>
        <x:v>1090|COMMN|2026-01-03</x:v>
      </x:c>
    </x:row>
    <x:row r="182">
      <x:c r="A182" s="22" t="n">
        <x:v>953</x:v>
      </x:c>
      <x:c r="B182" t="str">
        <x:v>2026-01-03T00:00:00</x:v>
      </x:c>
      <x:c r="C182" t="str">
        <x:v>1090C</x:v>
      </x:c>
      <x:c r="D182" t="str">
        <x:v>1090</x:v>
      </x:c>
      <x:c r="E182" t="str">
        <x:v>IT Operations Support Apprent</x:v>
      </x:c>
      <x:c r="F182" t="str">
        <x:v>SFMTA</x:v>
      </x:c>
      <x:c r="G182" t="str">
        <x:v>32.225</x:v>
      </x:c>
      <x:c r="H182" t="str">
        <x:v>34.025</x:v>
      </x:c>
      <x:c r="I182" t="str"/>
      <x:c r="J182" t="str"/>
      <x:c r="K182" t="str"/>
      <x:c r="L182" t="str"/>
      <x:c r="M182" t="str"/>
      <x:c r="N182" t="str"/>
      <x:c r="O182" t="str"/>
      <x:c r="P182" t="str"/>
      <x:c r="Q182" t="str"/>
      <x:c r="R182" t="str"/>
      <x:c r="S182" t="str"/>
      <x:c r="T182" t="str"/>
      <x:c r="U182" t="str"/>
      <x:c r="V182" t="str"/>
      <x:c r="W182" t="str"/>
      <x:c r="X182" t="str"/>
      <x:c r="Y182" t="str"/>
      <x:c r="Z182" t="str"/>
      <x:c r="AA182" t="str"/>
      <x:c r="AB182" t="str"/>
      <x:c r="AC182" t="str"/>
      <x:c r="AD182" t="str"/>
      <x:c r="AE182" t="str"/>
      <x:c r="AF182" t="str"/>
      <x:c r="AG182" t="str"/>
      <x:c r="AH182" t="str">
        <x:f>D182&amp;"|"&amp;UPPER(F182)&amp;"|"&amp;LEFT(B182,10)</x:f>
        <x:v>1090|SFMTA|2026-01-03</x:v>
      </x:c>
    </x:row>
    <x:row r="183">
      <x:c r="A183" s="22" t="n">
        <x:v>947</x:v>
      </x:c>
      <x:c r="B183" t="str">
        <x:v>2026-07-01T00:00:00</x:v>
      </x:c>
      <x:c r="C183" t="str">
        <x:v>1090D</x:v>
      </x:c>
      <x:c r="D183" t="str">
        <x:v>1090</x:v>
      </x:c>
      <x:c r="E183" t="str">
        <x:v>IT Operations Support Apprenti</x:v>
      </x:c>
      <x:c r="F183" t="str">
        <x:v>COMMN</x:v>
      </x:c>
      <x:c r="G183" t="str">
        <x:v>32.875</x:v>
      </x:c>
      <x:c r="H183" t="str">
        <x:v>34.7</x:v>
      </x:c>
      <x:c r="I183" t="str"/>
      <x:c r="J183" t="str"/>
      <x:c r="K183" t="str"/>
      <x:c r="L183" t="str"/>
      <x:c r="M183" t="str"/>
      <x:c r="N183" t="str"/>
      <x:c r="O183" t="str"/>
      <x:c r="P183" t="str"/>
      <x:c r="Q183" t="str"/>
      <x:c r="R183" t="str"/>
      <x:c r="S183" t="str"/>
      <x:c r="T183" t="str"/>
      <x:c r="U183" t="str"/>
      <x:c r="V183" t="str"/>
      <x:c r="W183" t="str"/>
      <x:c r="X183" t="str"/>
      <x:c r="Y183" t="str"/>
      <x:c r="Z183" t="str"/>
      <x:c r="AA183" t="str"/>
      <x:c r="AB183" t="str"/>
      <x:c r="AC183" t="str"/>
      <x:c r="AD183" t="str"/>
      <x:c r="AE183" t="str"/>
      <x:c r="AF183" t="str"/>
      <x:c r="AG183" t="str"/>
      <x:c r="AH183" t="str">
        <x:f>D183&amp;"|"&amp;UPPER(F183)&amp;"|"&amp;LEFT(B183,10)</x:f>
        <x:v>1090|COMMN|2026-07-01</x:v>
      </x:c>
    </x:row>
    <x:row r="184">
      <x:c r="A184" s="22" t="n">
        <x:v>954</x:v>
      </x:c>
      <x:c r="B184" t="str">
        <x:v>2026-07-01T00:00:00</x:v>
      </x:c>
      <x:c r="C184" t="str">
        <x:v>1090D</x:v>
      </x:c>
      <x:c r="D184" t="str">
        <x:v>1090</x:v>
      </x:c>
      <x:c r="E184" t="str">
        <x:v>IT Operations Support Apprent</x:v>
      </x:c>
      <x:c r="F184" t="str">
        <x:v>SFMTA</x:v>
      </x:c>
      <x:c r="G184" t="str">
        <x:v>32.875</x:v>
      </x:c>
      <x:c r="H184" t="str">
        <x:v>34.7</x:v>
      </x:c>
      <x:c r="I184" t="str"/>
      <x:c r="J184" t="str"/>
      <x:c r="K184" t="str"/>
      <x:c r="L184" t="str"/>
      <x:c r="M184" t="str"/>
      <x:c r="N184" t="str"/>
      <x:c r="O184" t="str"/>
      <x:c r="P184" t="str"/>
      <x:c r="Q184" t="str"/>
      <x:c r="R184" t="str"/>
      <x:c r="S184" t="str"/>
      <x:c r="T184" t="str"/>
      <x:c r="U184" t="str"/>
      <x:c r="V184" t="str"/>
      <x:c r="W184" t="str"/>
      <x:c r="X184" t="str"/>
      <x:c r="Y184" t="str"/>
      <x:c r="Z184" t="str"/>
      <x:c r="AA184" t="str"/>
      <x:c r="AB184" t="str"/>
      <x:c r="AC184" t="str"/>
      <x:c r="AD184" t="str"/>
      <x:c r="AE184" t="str"/>
      <x:c r="AF184" t="str"/>
      <x:c r="AG184" t="str"/>
      <x:c r="AH184" t="str">
        <x:f>D184&amp;"|"&amp;UPPER(F184)&amp;"|"&amp;LEFT(B184,10)</x:f>
        <x:v>1090|SFMTA|2026-07-01</x:v>
      </x:c>
    </x:row>
    <x:row r="185">
      <x:c r="A185" s="22" t="n">
        <x:v>955</x:v>
      </x:c>
      <x:c r="B185" t="str">
        <x:v>2020-07-01T00:00:00</x:v>
      </x:c>
      <x:c r="C185" t="str">
        <x:v>1091S</x:v>
      </x:c>
      <x:c r="D185" t="str">
        <x:v>1091</x:v>
      </x:c>
      <x:c r="E185" t="str">
        <x:v>IT Operations Support Administrator I</x:v>
      </x:c>
      <x:c r="F185" t="str">
        <x:v>COMMN</x:v>
      </x:c>
      <x:c r="G185" t="str">
        <x:v>28.4125</x:v>
      </x:c>
      <x:c r="H185" t="str">
        <x:v>29.1</x:v>
      </x:c>
      <x:c r="I185" t="str">
        <x:v>29.825</x:v>
      </x:c>
      <x:c r="J185" t="str">
        <x:v>30.5375</x:v>
      </x:c>
      <x:c r="K185" t="str">
        <x:v>31.3</x:v>
      </x:c>
      <x:c r="L185" t="str">
        <x:v>32.0875</x:v>
      </x:c>
      <x:c r="M185" t="str">
        <x:v>32.875</x:v>
      </x:c>
      <x:c r="N185" t="str">
        <x:v>33.6875</x:v>
      </x:c>
      <x:c r="O185" t="str">
        <x:v>34.5125</x:v>
      </x:c>
      <x:c r="P185" t="str">
        <x:v>35.2</x:v>
      </x:c>
      <x:c r="Q185" t="str"/>
      <x:c r="R185" t="str"/>
      <x:c r="S185" t="str"/>
      <x:c r="T185" t="str"/>
      <x:c r="U185" t="str"/>
      <x:c r="V185" t="str"/>
      <x:c r="W185" t="str"/>
      <x:c r="X185" t="str"/>
      <x:c r="Y185" t="str"/>
      <x:c r="Z185" t="str"/>
      <x:c r="AA185" t="str"/>
      <x:c r="AB185" t="str"/>
      <x:c r="AC185" t="str"/>
      <x:c r="AD185" t="str"/>
      <x:c r="AE185" t="str"/>
      <x:c r="AF185" t="str"/>
      <x:c r="AG185" t="str"/>
      <x:c r="AH185" t="str">
        <x:f>D185&amp;"|"&amp;UPPER(F185)&amp;"|"&amp;LEFT(B185,10)</x:f>
        <x:v>1091|COMMN|2020-07-01</x:v>
      </x:c>
    </x:row>
    <x:row r="186">
      <x:c r="A186" s="22" t="n">
        <x:v>961</x:v>
      </x:c>
      <x:c r="B186" t="str">
        <x:v>2024-01-06T00:00:00</x:v>
      </x:c>
      <x:c r="C186" t="str">
        <x:v>1091Y</x:v>
      </x:c>
      <x:c r="D186" t="str">
        <x:v>1091</x:v>
      </x:c>
      <x:c r="E186" t="str">
        <x:v>IT Operations Support Administrator I</x:v>
      </x:c>
      <x:c r="F186" t="str">
        <x:v>COMMN</x:v>
      </x:c>
      <x:c r="G186" t="str">
        <x:v>33.575</x:v>
      </x:c>
      <x:c r="H186" t="str">
        <x:v>34.4</x:v>
      </x:c>
      <x:c r="I186" t="str">
        <x:v>35.25</x:v>
      </x:c>
      <x:c r="J186" t="str">
        <x:v>36.0875</x:v>
      </x:c>
      <x:c r="K186" t="str">
        <x:v>37</x:v>
      </x:c>
      <x:c r="L186" t="str">
        <x:v>37.925</x:v>
      </x:c>
      <x:c r="M186" t="str">
        <x:v>38.85</x:v>
      </x:c>
      <x:c r="N186" t="str">
        <x:v>39.825</x:v>
      </x:c>
      <x:c r="O186" t="str">
        <x:v>40.8</x:v>
      </x:c>
      <x:c r="P186" t="str">
        <x:v>41.5875</x:v>
      </x:c>
      <x:c r="Q186" t="str"/>
      <x:c r="R186" t="str"/>
      <x:c r="S186" t="str"/>
      <x:c r="T186" t="str"/>
      <x:c r="U186" t="str"/>
      <x:c r="V186" t="str"/>
      <x:c r="W186" t="str"/>
      <x:c r="X186" t="str"/>
      <x:c r="Y186" t="str"/>
      <x:c r="Z186" t="str"/>
      <x:c r="AA186" t="str"/>
      <x:c r="AB186" t="str"/>
      <x:c r="AC186" t="str"/>
      <x:c r="AD186" t="str"/>
      <x:c r="AE186" t="str"/>
      <x:c r="AF186" t="str"/>
      <x:c r="AG186" t="str"/>
      <x:c r="AH186" t="str">
        <x:f>D186&amp;"|"&amp;UPPER(F186)&amp;"|"&amp;LEFT(B186,10)</x:f>
        <x:v>1091|COMMN|2024-01-06</x:v>
      </x:c>
    </x:row>
    <x:row r="187">
      <x:c r="A187" s="22" t="n">
        <x:v>973</x:v>
      </x:c>
      <x:c r="B187" t="str">
        <x:v>2024-01-06T00:00:00</x:v>
      </x:c>
      <x:c r="C187" t="str">
        <x:v>1091Y</x:v>
      </x:c>
      <x:c r="D187" t="str">
        <x:v>1091</x:v>
      </x:c>
      <x:c r="E187" t="str">
        <x:v>IT Operations Support Administrator I</x:v>
      </x:c>
      <x:c r="F187" t="str">
        <x:v>SFMTA</x:v>
      </x:c>
      <x:c r="G187" t="str">
        <x:v>33.575</x:v>
      </x:c>
      <x:c r="H187" t="str">
        <x:v>34.4</x:v>
      </x:c>
      <x:c r="I187" t="str">
        <x:v>35.25</x:v>
      </x:c>
      <x:c r="J187" t="str">
        <x:v>36.0875</x:v>
      </x:c>
      <x:c r="K187" t="str">
        <x:v>37</x:v>
      </x:c>
      <x:c r="L187" t="str">
        <x:v>37.925</x:v>
      </x:c>
      <x:c r="M187" t="str">
        <x:v>38.85</x:v>
      </x:c>
      <x:c r="N187" t="str">
        <x:v>39.825</x:v>
      </x:c>
      <x:c r="O187" t="str">
        <x:v>40.8</x:v>
      </x:c>
      <x:c r="P187" t="str">
        <x:v>41.5875</x:v>
      </x:c>
      <x:c r="Q187" t="str"/>
      <x:c r="R187" t="str"/>
      <x:c r="S187" t="str"/>
      <x:c r="T187" t="str"/>
      <x:c r="U187" t="str"/>
      <x:c r="V187" t="str"/>
      <x:c r="W187" t="str"/>
      <x:c r="X187" t="str"/>
      <x:c r="Y187" t="str"/>
      <x:c r="Z187" t="str"/>
      <x:c r="AA187" t="str"/>
      <x:c r="AB187" t="str"/>
      <x:c r="AC187" t="str"/>
      <x:c r="AD187" t="str"/>
      <x:c r="AE187" t="str"/>
      <x:c r="AF187" t="str"/>
      <x:c r="AG187" t="str"/>
      <x:c r="AH187" t="str">
        <x:f>D187&amp;"|"&amp;UPPER(F187)&amp;"|"&amp;LEFT(B187,10)</x:f>
        <x:v>1091|SFMTA|2024-01-06</x:v>
      </x:c>
    </x:row>
    <x:row r="188">
      <x:c r="A188" s="22" t="n">
        <x:v>962</x:v>
      </x:c>
      <x:c r="B188" t="str">
        <x:v>2024-07-01T00:00:00</x:v>
      </x:c>
      <x:c r="C188" t="str">
        <x:v>1091Z</x:v>
      </x:c>
      <x:c r="D188" t="str">
        <x:v>1091</x:v>
      </x:c>
      <x:c r="E188" t="str">
        <x:v>IT Operations Support Administrator I</x:v>
      </x:c>
      <x:c r="F188" t="str">
        <x:v>COMMN</x:v>
      </x:c>
      <x:c r="G188" t="str">
        <x:v>34.4125</x:v>
      </x:c>
      <x:c r="H188" t="str">
        <x:v>35.2625</x:v>
      </x:c>
      <x:c r="I188" t="str">
        <x:v>36.1375</x:v>
      </x:c>
      <x:c r="J188" t="str">
        <x:v>36.9875</x:v>
      </x:c>
      <x:c r="K188" t="str">
        <x:v>37.925</x:v>
      </x:c>
      <x:c r="L188" t="str">
        <x:v>38.875</x:v>
      </x:c>
      <x:c r="M188" t="str">
        <x:v>39.825</x:v>
      </x:c>
      <x:c r="N188" t="str">
        <x:v>40.825</x:v>
      </x:c>
      <x:c r="O188" t="str">
        <x:v>41.825</x:v>
      </x:c>
      <x:c r="P188" t="str">
        <x:v>42.625</x:v>
      </x:c>
      <x:c r="Q188" t="str"/>
      <x:c r="R188" t="str"/>
      <x:c r="S188" t="str"/>
      <x:c r="T188" t="str"/>
      <x:c r="U188" t="str"/>
      <x:c r="V188" t="str"/>
      <x:c r="W188" t="str"/>
      <x:c r="X188" t="str"/>
      <x:c r="Y188" t="str"/>
      <x:c r="Z188" t="str"/>
      <x:c r="AA188" t="str"/>
      <x:c r="AB188" t="str"/>
      <x:c r="AC188" t="str"/>
      <x:c r="AD188" t="str"/>
      <x:c r="AE188" t="str"/>
      <x:c r="AF188" t="str"/>
      <x:c r="AG188" t="str"/>
      <x:c r="AH188" t="str">
        <x:f>D188&amp;"|"&amp;UPPER(F188)&amp;"|"&amp;LEFT(B188,10)</x:f>
        <x:v>1091|COMMN|2024-07-01</x:v>
      </x:c>
    </x:row>
    <x:row r="189">
      <x:c r="A189" s="22" t="n">
        <x:v>974</x:v>
      </x:c>
      <x:c r="B189" t="str">
        <x:v>2024-07-01T00:00:00</x:v>
      </x:c>
      <x:c r="C189" t="str">
        <x:v>1091Z</x:v>
      </x:c>
      <x:c r="D189" t="str">
        <x:v>1091</x:v>
      </x:c>
      <x:c r="E189" t="str">
        <x:v>IT Operations Support Administrator I</x:v>
      </x:c>
      <x:c r="F189" t="str">
        <x:v>SFMTA</x:v>
      </x:c>
      <x:c r="G189" t="str">
        <x:v>34.4125</x:v>
      </x:c>
      <x:c r="H189" t="str">
        <x:v>35.2625</x:v>
      </x:c>
      <x:c r="I189" t="str">
        <x:v>36.1375</x:v>
      </x:c>
      <x:c r="J189" t="str">
        <x:v>36.9875</x:v>
      </x:c>
      <x:c r="K189" t="str">
        <x:v>37.925</x:v>
      </x:c>
      <x:c r="L189" t="str">
        <x:v>38.875</x:v>
      </x:c>
      <x:c r="M189" t="str">
        <x:v>39.825</x:v>
      </x:c>
      <x:c r="N189" t="str">
        <x:v>40.825</x:v>
      </x:c>
      <x:c r="O189" t="str">
        <x:v>41.825</x:v>
      </x:c>
      <x:c r="P189" t="str">
        <x:v>42.625</x:v>
      </x:c>
      <x:c r="Q189" t="str"/>
      <x:c r="R189" t="str"/>
      <x:c r="S189" t="str"/>
      <x:c r="T189" t="str"/>
      <x:c r="U189" t="str"/>
      <x:c r="V189" t="str"/>
      <x:c r="W189" t="str"/>
      <x:c r="X189" t="str"/>
      <x:c r="Y189" t="str"/>
      <x:c r="Z189" t="str"/>
      <x:c r="AA189" t="str"/>
      <x:c r="AB189" t="str"/>
      <x:c r="AC189" t="str"/>
      <x:c r="AD189" t="str"/>
      <x:c r="AE189" t="str"/>
      <x:c r="AF189" t="str"/>
      <x:c r="AG189" t="str"/>
      <x:c r="AH189" t="str">
        <x:f>D189&amp;"|"&amp;UPPER(F189)&amp;"|"&amp;LEFT(B189,10)</x:f>
        <x:v>1091|SFMTA|2024-07-01</x:v>
      </x:c>
    </x:row>
    <x:row r="190">
      <x:c r="A190" s="22" t="n">
        <x:v>963</x:v>
      </x:c>
      <x:c r="B190" t="str">
        <x:v>2025-01-04T00:00:00</x:v>
      </x:c>
      <x:c r="C190" t="str">
        <x:v>1091A</x:v>
      </x:c>
      <x:c r="D190" t="str">
        <x:v>1091</x:v>
      </x:c>
      <x:c r="E190" t="str">
        <x:v>IT Operations Support Administrator I</x:v>
      </x:c>
      <x:c r="F190" t="str">
        <x:v>COMMN</x:v>
      </x:c>
      <x:c r="G190" t="str">
        <x:v>34.925</x:v>
      </x:c>
      <x:c r="H190" t="str">
        <x:v>35.7875</x:v>
      </x:c>
      <x:c r="I190" t="str">
        <x:v>36.675</x:v>
      </x:c>
      <x:c r="J190" t="str">
        <x:v>37.5375</x:v>
      </x:c>
      <x:c r="K190" t="str">
        <x:v>38.5</x:v>
      </x:c>
      <x:c r="L190" t="str">
        <x:v>39.4625</x:v>
      </x:c>
      <x:c r="M190" t="str">
        <x:v>40.425</x:v>
      </x:c>
      <x:c r="N190" t="str">
        <x:v>41.4375</x:v>
      </x:c>
      <x:c r="O190" t="str">
        <x:v>42.45</x:v>
      </x:c>
      <x:c r="P190" t="str">
        <x:v>43.2625</x:v>
      </x:c>
      <x:c r="Q190" t="str"/>
      <x:c r="R190" t="str"/>
      <x:c r="S190" t="str"/>
      <x:c r="T190" t="str"/>
      <x:c r="U190" t="str"/>
      <x:c r="V190" t="str"/>
      <x:c r="W190" t="str"/>
      <x:c r="X190" t="str"/>
      <x:c r="Y190" t="str"/>
      <x:c r="Z190" t="str"/>
      <x:c r="AA190" t="str"/>
      <x:c r="AB190" t="str"/>
      <x:c r="AC190" t="str"/>
      <x:c r="AD190" t="str"/>
      <x:c r="AE190" t="str"/>
      <x:c r="AF190" t="str"/>
      <x:c r="AG190" t="str"/>
      <x:c r="AH190" t="str">
        <x:f>D190&amp;"|"&amp;UPPER(F190)&amp;"|"&amp;LEFT(B190,10)</x:f>
        <x:v>1091|COMMN|2025-01-04</x:v>
      </x:c>
    </x:row>
    <x:row r="191">
      <x:c r="A191" s="22" t="n">
        <x:v>975</x:v>
      </x:c>
      <x:c r="B191" t="str">
        <x:v>2025-01-04T00:00:00</x:v>
      </x:c>
      <x:c r="C191" t="str">
        <x:v>1091A</x:v>
      </x:c>
      <x:c r="D191" t="str">
        <x:v>1091</x:v>
      </x:c>
      <x:c r="E191" t="str">
        <x:v>IT Operations Support Administrator I</x:v>
      </x:c>
      <x:c r="F191" t="str">
        <x:v>SFMTA</x:v>
      </x:c>
      <x:c r="G191" t="str">
        <x:v>34.925</x:v>
      </x:c>
      <x:c r="H191" t="str">
        <x:v>35.7875</x:v>
      </x:c>
      <x:c r="I191" t="str">
        <x:v>36.675</x:v>
      </x:c>
      <x:c r="J191" t="str">
        <x:v>37.5375</x:v>
      </x:c>
      <x:c r="K191" t="str">
        <x:v>38.5</x:v>
      </x:c>
      <x:c r="L191" t="str">
        <x:v>39.4625</x:v>
      </x:c>
      <x:c r="M191" t="str">
        <x:v>40.425</x:v>
      </x:c>
      <x:c r="N191" t="str">
        <x:v>41.4375</x:v>
      </x:c>
      <x:c r="O191" t="str">
        <x:v>42.45</x:v>
      </x:c>
      <x:c r="P191" t="str">
        <x:v>43.2625</x:v>
      </x:c>
      <x:c r="Q191" t="str"/>
      <x:c r="R191" t="str"/>
      <x:c r="S191" t="str"/>
      <x:c r="T191" t="str"/>
      <x:c r="U191" t="str"/>
      <x:c r="V191" t="str"/>
      <x:c r="W191" t="str"/>
      <x:c r="X191" t="str"/>
      <x:c r="Y191" t="str"/>
      <x:c r="Z191" t="str"/>
      <x:c r="AA191" t="str"/>
      <x:c r="AB191" t="str"/>
      <x:c r="AC191" t="str"/>
      <x:c r="AD191" t="str"/>
      <x:c r="AE191" t="str"/>
      <x:c r="AF191" t="str"/>
      <x:c r="AG191" t="str"/>
      <x:c r="AH191" t="str">
        <x:f>D191&amp;"|"&amp;UPPER(F191)&amp;"|"&amp;LEFT(B191,10)</x:f>
        <x:v>1091|SFMTA|2025-01-04</x:v>
      </x:c>
    </x:row>
    <x:row r="192">
      <x:c r="A192" s="22" t="n">
        <x:v>964</x:v>
      </x:c>
      <x:c r="B192" t="str">
        <x:v>2025-07-01T00:00:00</x:v>
      </x:c>
      <x:c r="C192" t="str">
        <x:v>1091B</x:v>
      </x:c>
      <x:c r="D192" t="str">
        <x:v>1091</x:v>
      </x:c>
      <x:c r="E192" t="str">
        <x:v>IT Operations Support Admin I</x:v>
      </x:c>
      <x:c r="F192" t="str">
        <x:v>COMMN</x:v>
      </x:c>
      <x:c r="G192" t="str">
        <x:v>35.625</x:v>
      </x:c>
      <x:c r="H192" t="str">
        <x:v>36.5125</x:v>
      </x:c>
      <x:c r="I192" t="str">
        <x:v>37.4125</x:v>
      </x:c>
      <x:c r="J192" t="str">
        <x:v>38.2875</x:v>
      </x:c>
      <x:c r="K192" t="str">
        <x:v>39.275</x:v>
      </x:c>
      <x:c r="L192" t="str">
        <x:v>40.25</x:v>
      </x:c>
      <x:c r="M192" t="str">
        <x:v>41.2375</x:v>
      </x:c>
      <x:c r="N192" t="str">
        <x:v>42.275</x:v>
      </x:c>
      <x:c r="O192" t="str">
        <x:v>43.3</x:v>
      </x:c>
      <x:c r="P192" t="str">
        <x:v>44.1375</x:v>
      </x:c>
      <x:c r="Q192" t="str"/>
      <x:c r="R192" t="str"/>
      <x:c r="S192" t="str"/>
      <x:c r="T192" t="str"/>
      <x:c r="U192" t="str"/>
      <x:c r="V192" t="str"/>
      <x:c r="W192" t="str"/>
      <x:c r="X192" t="str"/>
      <x:c r="Y192" t="str"/>
      <x:c r="Z192" t="str"/>
      <x:c r="AA192" t="str"/>
      <x:c r="AB192" t="str"/>
      <x:c r="AC192" t="str"/>
      <x:c r="AD192" t="str"/>
      <x:c r="AE192" t="str"/>
      <x:c r="AF192" t="str"/>
      <x:c r="AG192" t="str"/>
      <x:c r="AH192" t="str">
        <x:f>D192&amp;"|"&amp;UPPER(F192)&amp;"|"&amp;LEFT(B192,10)</x:f>
        <x:v>1091|COMMN|2025-07-01</x:v>
      </x:c>
    </x:row>
    <x:row r="193">
      <x:c r="A193" s="22" t="n">
        <x:v>976</x:v>
      </x:c>
      <x:c r="B193" t="str">
        <x:v>2025-07-01T00:00:00</x:v>
      </x:c>
      <x:c r="C193" t="str">
        <x:v>1091B</x:v>
      </x:c>
      <x:c r="D193" t="str">
        <x:v>1091</x:v>
      </x:c>
      <x:c r="E193" t="str">
        <x:v>IT Operations Support Admin I</x:v>
      </x:c>
      <x:c r="F193" t="str">
        <x:v>SFMTA</x:v>
      </x:c>
      <x:c r="G193" t="str">
        <x:v>35.625</x:v>
      </x:c>
      <x:c r="H193" t="str">
        <x:v>36.5125</x:v>
      </x:c>
      <x:c r="I193" t="str">
        <x:v>37.4125</x:v>
      </x:c>
      <x:c r="J193" t="str">
        <x:v>38.2875</x:v>
      </x:c>
      <x:c r="K193" t="str">
        <x:v>39.275</x:v>
      </x:c>
      <x:c r="L193" t="str">
        <x:v>40.25</x:v>
      </x:c>
      <x:c r="M193" t="str">
        <x:v>41.2375</x:v>
      </x:c>
      <x:c r="N193" t="str">
        <x:v>42.275</x:v>
      </x:c>
      <x:c r="O193" t="str">
        <x:v>43.3</x:v>
      </x:c>
      <x:c r="P193" t="str">
        <x:v>44.1375</x:v>
      </x:c>
      <x:c r="Q193" t="str"/>
      <x:c r="R193" t="str"/>
      <x:c r="S193" t="str"/>
      <x:c r="T193" t="str"/>
      <x:c r="U193" t="str"/>
      <x:c r="V193" t="str"/>
      <x:c r="W193" t="str"/>
      <x:c r="X193" t="str"/>
      <x:c r="Y193" t="str"/>
      <x:c r="Z193" t="str"/>
      <x:c r="AA193" t="str"/>
      <x:c r="AB193" t="str"/>
      <x:c r="AC193" t="str"/>
      <x:c r="AD193" t="str"/>
      <x:c r="AE193" t="str"/>
      <x:c r="AF193" t="str"/>
      <x:c r="AG193" t="str"/>
      <x:c r="AH193" t="str">
        <x:f>D193&amp;"|"&amp;UPPER(F193)&amp;"|"&amp;LEFT(B193,10)</x:f>
        <x:v>1091|SFMTA|2025-07-01</x:v>
      </x:c>
    </x:row>
    <x:row r="194">
      <x:c r="A194" s="22" t="n">
        <x:v>965</x:v>
      </x:c>
      <x:c r="B194" t="str">
        <x:v>2026-01-03T00:00:00</x:v>
      </x:c>
      <x:c r="C194" t="str">
        <x:v>1091C</x:v>
      </x:c>
      <x:c r="D194" t="str">
        <x:v>1091</x:v>
      </x:c>
      <x:c r="E194" t="str">
        <x:v>IT Operations Support Admin I</x:v>
      </x:c>
      <x:c r="F194" t="str">
        <x:v>COMMN</x:v>
      </x:c>
      <x:c r="G194" t="str">
        <x:v>36.1625</x:v>
      </x:c>
      <x:c r="H194" t="str">
        <x:v>37.0625</x:v>
      </x:c>
      <x:c r="I194" t="str">
        <x:v>37.975</x:v>
      </x:c>
      <x:c r="J194" t="str">
        <x:v>38.8625</x:v>
      </x:c>
      <x:c r="K194" t="str">
        <x:v>39.8625</x:v>
      </x:c>
      <x:c r="L194" t="str">
        <x:v>40.85</x:v>
      </x:c>
      <x:c r="M194" t="str">
        <x:v>41.85</x:v>
      </x:c>
      <x:c r="N194" t="str">
        <x:v>42.9125</x:v>
      </x:c>
      <x:c r="O194" t="str">
        <x:v>43.95</x:v>
      </x:c>
      <x:c r="P194" t="str">
        <x:v>44.8</x:v>
      </x:c>
      <x:c r="Q194" t="str"/>
      <x:c r="R194" t="str"/>
      <x:c r="S194" t="str"/>
      <x:c r="T194" t="str"/>
      <x:c r="U194" t="str"/>
      <x:c r="V194" t="str"/>
      <x:c r="W194" t="str"/>
      <x:c r="X194" t="str"/>
      <x:c r="Y194" t="str"/>
      <x:c r="Z194" t="str"/>
      <x:c r="AA194" t="str"/>
      <x:c r="AB194" t="str"/>
      <x:c r="AC194" t="str"/>
      <x:c r="AD194" t="str"/>
      <x:c r="AE194" t="str"/>
      <x:c r="AF194" t="str"/>
      <x:c r="AG194" t="str"/>
      <x:c r="AH194" t="str">
        <x:f>D194&amp;"|"&amp;UPPER(F194)&amp;"|"&amp;LEFT(B194,10)</x:f>
        <x:v>1091|COMMN|2026-01-03</x:v>
      </x:c>
    </x:row>
    <x:row r="195">
      <x:c r="A195" s="22" t="n">
        <x:v>977</x:v>
      </x:c>
      <x:c r="B195" t="str">
        <x:v>2026-01-03T00:00:00</x:v>
      </x:c>
      <x:c r="C195" t="str">
        <x:v>1091C</x:v>
      </x:c>
      <x:c r="D195" t="str">
        <x:v>1091</x:v>
      </x:c>
      <x:c r="E195" t="str">
        <x:v>IT Operations Support Admin I</x:v>
      </x:c>
      <x:c r="F195" t="str">
        <x:v>SFMTA</x:v>
      </x:c>
      <x:c r="G195" t="str">
        <x:v>36.1625</x:v>
      </x:c>
      <x:c r="H195" t="str">
        <x:v>37.0625</x:v>
      </x:c>
      <x:c r="I195" t="str">
        <x:v>37.975</x:v>
      </x:c>
      <x:c r="J195" t="str">
        <x:v>38.8625</x:v>
      </x:c>
      <x:c r="K195" t="str">
        <x:v>39.8625</x:v>
      </x:c>
      <x:c r="L195" t="str">
        <x:v>40.85</x:v>
      </x:c>
      <x:c r="M195" t="str">
        <x:v>41.85</x:v>
      </x:c>
      <x:c r="N195" t="str">
        <x:v>42.9125</x:v>
      </x:c>
      <x:c r="O195" t="str">
        <x:v>43.95</x:v>
      </x:c>
      <x:c r="P195" t="str">
        <x:v>44.8</x:v>
      </x:c>
      <x:c r="Q195" t="str"/>
      <x:c r="R195" t="str"/>
      <x:c r="S195" t="str"/>
      <x:c r="T195" t="str"/>
      <x:c r="U195" t="str"/>
      <x:c r="V195" t="str"/>
      <x:c r="W195" t="str"/>
      <x:c r="X195" t="str"/>
      <x:c r="Y195" t="str"/>
      <x:c r="Z195" t="str"/>
      <x:c r="AA195" t="str"/>
      <x:c r="AB195" t="str"/>
      <x:c r="AC195" t="str"/>
      <x:c r="AD195" t="str"/>
      <x:c r="AE195" t="str"/>
      <x:c r="AF195" t="str"/>
      <x:c r="AG195" t="str"/>
      <x:c r="AH195" t="str">
        <x:f>D195&amp;"|"&amp;UPPER(F195)&amp;"|"&amp;LEFT(B195,10)</x:f>
        <x:v>1091|SFMTA|2026-01-03</x:v>
      </x:c>
    </x:row>
    <x:row r="196">
      <x:c r="A196" s="22" t="n">
        <x:v>966</x:v>
      </x:c>
      <x:c r="B196" t="str">
        <x:v>2026-07-01T00:00:00</x:v>
      </x:c>
      <x:c r="C196" t="str">
        <x:v>1091D</x:v>
      </x:c>
      <x:c r="D196" t="str">
        <x:v>1091</x:v>
      </x:c>
      <x:c r="E196" t="str">
        <x:v>IT Operations Support Admin I</x:v>
      </x:c>
      <x:c r="F196" t="str">
        <x:v>COMMN</x:v>
      </x:c>
      <x:c r="G196" t="str">
        <x:v>36.8875</x:v>
      </x:c>
      <x:c r="H196" t="str">
        <x:v>37.8</x:v>
      </x:c>
      <x:c r="I196" t="str">
        <x:v>38.7375</x:v>
      </x:c>
      <x:c r="J196" t="str">
        <x:v>39.6375</x:v>
      </x:c>
      <x:c r="K196" t="str">
        <x:v>40.6625</x:v>
      </x:c>
      <x:c r="L196" t="str">
        <x:v>41.6625</x:v>
      </x:c>
      <x:c r="M196" t="str">
        <x:v>42.6875</x:v>
      </x:c>
      <x:c r="N196" t="str">
        <x:v>43.775</x:v>
      </x:c>
      <x:c r="O196" t="str">
        <x:v>44.825</x:v>
      </x:c>
      <x:c r="P196" t="str">
        <x:v>45.7</x:v>
      </x:c>
      <x:c r="Q196" t="str"/>
      <x:c r="R196" t="str"/>
      <x:c r="S196" t="str"/>
      <x:c r="T196" t="str"/>
      <x:c r="U196" t="str"/>
      <x:c r="V196" t="str"/>
      <x:c r="W196" t="str"/>
      <x:c r="X196" t="str"/>
      <x:c r="Y196" t="str"/>
      <x:c r="Z196" t="str"/>
      <x:c r="AA196" t="str"/>
      <x:c r="AB196" t="str"/>
      <x:c r="AC196" t="str"/>
      <x:c r="AD196" t="str"/>
      <x:c r="AE196" t="str"/>
      <x:c r="AF196" t="str"/>
      <x:c r="AG196" t="str"/>
      <x:c r="AH196" t="str">
        <x:f>D196&amp;"|"&amp;UPPER(F196)&amp;"|"&amp;LEFT(B196,10)</x:f>
        <x:v>1091|COMMN|2026-07-01</x:v>
      </x:c>
    </x:row>
    <x:row r="197">
      <x:c r="A197" s="22" t="n">
        <x:v>978</x:v>
      </x:c>
      <x:c r="B197" t="str">
        <x:v>2026-07-01T00:00:00</x:v>
      </x:c>
      <x:c r="C197" t="str">
        <x:v>1091D</x:v>
      </x:c>
      <x:c r="D197" t="str">
        <x:v>1091</x:v>
      </x:c>
      <x:c r="E197" t="str">
        <x:v>IT Operations Support Admin I</x:v>
      </x:c>
      <x:c r="F197" t="str">
        <x:v>SFMTA</x:v>
      </x:c>
      <x:c r="G197" t="str">
        <x:v>36.8875</x:v>
      </x:c>
      <x:c r="H197" t="str">
        <x:v>37.8</x:v>
      </x:c>
      <x:c r="I197" t="str">
        <x:v>38.7375</x:v>
      </x:c>
      <x:c r="J197" t="str">
        <x:v>39.6375</x:v>
      </x:c>
      <x:c r="K197" t="str">
        <x:v>40.6625</x:v>
      </x:c>
      <x:c r="L197" t="str">
        <x:v>41.6625</x:v>
      </x:c>
      <x:c r="M197" t="str">
        <x:v>42.6875</x:v>
      </x:c>
      <x:c r="N197" t="str">
        <x:v>43.775</x:v>
      </x:c>
      <x:c r="O197" t="str">
        <x:v>44.825</x:v>
      </x:c>
      <x:c r="P197" t="str">
        <x:v>45.7</x:v>
      </x:c>
      <x:c r="Q197" t="str"/>
      <x:c r="R197" t="str"/>
      <x:c r="S197" t="str"/>
      <x:c r="T197" t="str"/>
      <x:c r="U197" t="str"/>
      <x:c r="V197" t="str"/>
      <x:c r="W197" t="str"/>
      <x:c r="X197" t="str"/>
      <x:c r="Y197" t="str"/>
      <x:c r="Z197" t="str"/>
      <x:c r="AA197" t="str"/>
      <x:c r="AB197" t="str"/>
      <x:c r="AC197" t="str"/>
      <x:c r="AD197" t="str"/>
      <x:c r="AE197" t="str"/>
      <x:c r="AF197" t="str"/>
      <x:c r="AG197" t="str"/>
      <x:c r="AH197" t="str">
        <x:f>D197&amp;"|"&amp;UPPER(F197)&amp;"|"&amp;LEFT(B197,10)</x:f>
        <x:v>1091|SFMTA|2026-07-01</x:v>
      </x:c>
    </x:row>
    <x:row r="198">
      <x:c r="A198" s="22" t="n">
        <x:v>979</x:v>
      </x:c>
      <x:c r="B198" t="str">
        <x:v>2020-07-01T00:00:00</x:v>
      </x:c>
      <x:c r="C198" t="str">
        <x:v>1092S</x:v>
      </x:c>
      <x:c r="D198" t="str">
        <x:v>1092</x:v>
      </x:c>
      <x:c r="E198" t="str">
        <x:v>IT Operations Support Administrator II</x:v>
      </x:c>
      <x:c r="F198" t="str">
        <x:v>COMMN</x:v>
      </x:c>
      <x:c r="G198" t="str">
        <x:v>33.3625</x:v>
      </x:c>
      <x:c r="H198" t="str">
        <x:v>34.1875</x:v>
      </x:c>
      <x:c r="I198" t="str">
        <x:v>35.025</x:v>
      </x:c>
      <x:c r="J198" t="str">
        <x:v>35.8875</x:v>
      </x:c>
      <x:c r="K198" t="str">
        <x:v>36.775</x:v>
      </x:c>
      <x:c r="L198" t="str">
        <x:v>37.6875</x:v>
      </x:c>
      <x:c r="M198" t="str">
        <x:v>38.6375</x:v>
      </x:c>
      <x:c r="N198" t="str">
        <x:v>39.5625</x:v>
      </x:c>
      <x:c r="O198" t="str">
        <x:v>40.5625</x:v>
      </x:c>
      <x:c r="P198" t="str">
        <x:v>41.35</x:v>
      </x:c>
      <x:c r="Q198" t="str"/>
      <x:c r="R198" t="str"/>
      <x:c r="S198" t="str"/>
      <x:c r="T198" t="str"/>
      <x:c r="U198" t="str"/>
      <x:c r="V198" t="str"/>
      <x:c r="W198" t="str"/>
      <x:c r="X198" t="str"/>
      <x:c r="Y198" t="str"/>
      <x:c r="Z198" t="str"/>
      <x:c r="AA198" t="str"/>
      <x:c r="AB198" t="str"/>
      <x:c r="AC198" t="str"/>
      <x:c r="AD198" t="str"/>
      <x:c r="AE198" t="str"/>
      <x:c r="AF198" t="str"/>
      <x:c r="AG198" t="str"/>
      <x:c r="AH198" t="str">
        <x:f>D198&amp;"|"&amp;UPPER(F198)&amp;"|"&amp;LEFT(B198,10)</x:f>
        <x:v>1092|COMMN|2020-07-01</x:v>
      </x:c>
    </x:row>
    <x:row r="199">
      <x:c r="A199" s="22" t="n">
        <x:v>985</x:v>
      </x:c>
      <x:c r="B199" t="str">
        <x:v>2024-01-06T00:00:00</x:v>
      </x:c>
      <x:c r="C199" t="str">
        <x:v>1092Y</x:v>
      </x:c>
      <x:c r="D199" t="str">
        <x:v>1092</x:v>
      </x:c>
      <x:c r="E199" t="str">
        <x:v>IT Operations Support Administrator II</x:v>
      </x:c>
      <x:c r="F199" t="str">
        <x:v>COMMN</x:v>
      </x:c>
      <x:c r="G199" t="str">
        <x:v>39.425</x:v>
      </x:c>
      <x:c r="H199" t="str">
        <x:v>40.4125</x:v>
      </x:c>
      <x:c r="I199" t="str">
        <x:v>41.4</x:v>
      </x:c>
      <x:c r="J199" t="str">
        <x:v>42.4125</x:v>
      </x:c>
      <x:c r="K199" t="str">
        <x:v>43.4875</x:v>
      </x:c>
      <x:c r="L199" t="str">
        <x:v>44.5375</x:v>
      </x:c>
      <x:c r="M199" t="str">
        <x:v>45.6625</x:v>
      </x:c>
      <x:c r="N199" t="str">
        <x:v>46.7625</x:v>
      </x:c>
      <x:c r="O199" t="str">
        <x:v>47.9125</x:v>
      </x:c>
      <x:c r="P199" t="str">
        <x:v>48.875</x:v>
      </x:c>
      <x:c r="Q199" t="str"/>
      <x:c r="R199" t="str"/>
      <x:c r="S199" t="str"/>
      <x:c r="T199" t="str"/>
      <x:c r="U199" t="str"/>
      <x:c r="V199" t="str"/>
      <x:c r="W199" t="str"/>
      <x:c r="X199" t="str"/>
      <x:c r="Y199" t="str"/>
      <x:c r="Z199" t="str"/>
      <x:c r="AA199" t="str"/>
      <x:c r="AB199" t="str"/>
      <x:c r="AC199" t="str"/>
      <x:c r="AD199" t="str"/>
      <x:c r="AE199" t="str"/>
      <x:c r="AF199" t="str"/>
      <x:c r="AG199" t="str"/>
      <x:c r="AH199" t="str">
        <x:f>D199&amp;"|"&amp;UPPER(F199)&amp;"|"&amp;LEFT(B199,10)</x:f>
        <x:v>1092|COMMN|2024-01-06</x:v>
      </x:c>
    </x:row>
    <x:row r="200">
      <x:c r="A200" s="22" t="n">
        <x:v>997</x:v>
      </x:c>
      <x:c r="B200" t="str">
        <x:v>2024-01-06T00:00:00</x:v>
      </x:c>
      <x:c r="C200" t="str">
        <x:v>1092Y</x:v>
      </x:c>
      <x:c r="D200" t="str">
        <x:v>1092</x:v>
      </x:c>
      <x:c r="E200" t="str">
        <x:v>IT Operations Support Administrator II</x:v>
      </x:c>
      <x:c r="F200" t="str">
        <x:v>SFMTA</x:v>
      </x:c>
      <x:c r="G200" t="str">
        <x:v>39.425</x:v>
      </x:c>
      <x:c r="H200" t="str">
        <x:v>40.4125</x:v>
      </x:c>
      <x:c r="I200" t="str">
        <x:v>41.4</x:v>
      </x:c>
      <x:c r="J200" t="str">
        <x:v>42.4125</x:v>
      </x:c>
      <x:c r="K200" t="str">
        <x:v>43.4875</x:v>
      </x:c>
      <x:c r="L200" t="str">
        <x:v>44.5375</x:v>
      </x:c>
      <x:c r="M200" t="str">
        <x:v>45.6625</x:v>
      </x:c>
      <x:c r="N200" t="str">
        <x:v>46.7625</x:v>
      </x:c>
      <x:c r="O200" t="str">
        <x:v>47.9125</x:v>
      </x:c>
      <x:c r="P200" t="str">
        <x:v>48.875</x:v>
      </x:c>
      <x:c r="Q200" t="str"/>
      <x:c r="R200" t="str"/>
      <x:c r="S200" t="str"/>
      <x:c r="T200" t="str"/>
      <x:c r="U200" t="str"/>
      <x:c r="V200" t="str"/>
      <x:c r="W200" t="str"/>
      <x:c r="X200" t="str"/>
      <x:c r="Y200" t="str"/>
      <x:c r="Z200" t="str"/>
      <x:c r="AA200" t="str"/>
      <x:c r="AB200" t="str"/>
      <x:c r="AC200" t="str"/>
      <x:c r="AD200" t="str"/>
      <x:c r="AE200" t="str"/>
      <x:c r="AF200" t="str"/>
      <x:c r="AG200" t="str"/>
      <x:c r="AH200" t="str">
        <x:f>D200&amp;"|"&amp;UPPER(F200)&amp;"|"&amp;LEFT(B200,10)</x:f>
        <x:v>1092|SFMTA|2024-01-06</x:v>
      </x:c>
    </x:row>
    <x:row r="201">
      <x:c r="A201" s="22" t="n">
        <x:v>986</x:v>
      </x:c>
      <x:c r="B201" t="str">
        <x:v>2024-07-01T00:00:00</x:v>
      </x:c>
      <x:c r="C201" t="str">
        <x:v>1092Z</x:v>
      </x:c>
      <x:c r="D201" t="str">
        <x:v>1092</x:v>
      </x:c>
      <x:c r="E201" t="str">
        <x:v>IT Operations Support Administrator II</x:v>
      </x:c>
      <x:c r="F201" t="str">
        <x:v>COMMN</x:v>
      </x:c>
      <x:c r="G201" t="str">
        <x:v>40.4125</x:v>
      </x:c>
      <x:c r="H201" t="str">
        <x:v>41.425</x:v>
      </x:c>
      <x:c r="I201" t="str">
        <x:v>42.4375</x:v>
      </x:c>
      <x:c r="J201" t="str">
        <x:v>43.475</x:v>
      </x:c>
      <x:c r="K201" t="str">
        <x:v>44.575</x:v>
      </x:c>
      <x:c r="L201" t="str">
        <x:v>45.65</x:v>
      </x:c>
      <x:c r="M201" t="str">
        <x:v>46.8</x:v>
      </x:c>
      <x:c r="N201" t="str">
        <x:v>47.9375</x:v>
      </x:c>
      <x:c r="O201" t="str">
        <x:v>49.1125</x:v>
      </x:c>
      <x:c r="P201" t="str">
        <x:v>50.1</x:v>
      </x:c>
      <x:c r="Q201" t="str"/>
      <x:c r="R201" t="str"/>
      <x:c r="S201" t="str"/>
      <x:c r="T201" t="str"/>
      <x:c r="U201" t="str"/>
      <x:c r="V201" t="str"/>
      <x:c r="W201" t="str"/>
      <x:c r="X201" t="str"/>
      <x:c r="Y201" t="str"/>
      <x:c r="Z201" t="str"/>
      <x:c r="AA201" t="str"/>
      <x:c r="AB201" t="str"/>
      <x:c r="AC201" t="str"/>
      <x:c r="AD201" t="str"/>
      <x:c r="AE201" t="str"/>
      <x:c r="AF201" t="str"/>
      <x:c r="AG201" t="str"/>
      <x:c r="AH201" t="str">
        <x:f>D201&amp;"|"&amp;UPPER(F201)&amp;"|"&amp;LEFT(B201,10)</x:f>
        <x:v>1092|COMMN|2024-07-01</x:v>
      </x:c>
    </x:row>
    <x:row r="202">
      <x:c r="A202" s="22" t="n">
        <x:v>998</x:v>
      </x:c>
      <x:c r="B202" t="str">
        <x:v>2024-07-01T00:00:00</x:v>
      </x:c>
      <x:c r="C202" t="str">
        <x:v>1092Z</x:v>
      </x:c>
      <x:c r="D202" t="str">
        <x:v>1092</x:v>
      </x:c>
      <x:c r="E202" t="str">
        <x:v>IT Operations Support Administrator II</x:v>
      </x:c>
      <x:c r="F202" t="str">
        <x:v>SFMTA</x:v>
      </x:c>
      <x:c r="G202" t="str">
        <x:v>40.4125</x:v>
      </x:c>
      <x:c r="H202" t="str">
        <x:v>41.425</x:v>
      </x:c>
      <x:c r="I202" t="str">
        <x:v>42.4375</x:v>
      </x:c>
      <x:c r="J202" t="str">
        <x:v>43.475</x:v>
      </x:c>
      <x:c r="K202" t="str">
        <x:v>44.575</x:v>
      </x:c>
      <x:c r="L202" t="str">
        <x:v>45.65</x:v>
      </x:c>
      <x:c r="M202" t="str">
        <x:v>46.8</x:v>
      </x:c>
      <x:c r="N202" t="str">
        <x:v>47.9375</x:v>
      </x:c>
      <x:c r="O202" t="str">
        <x:v>49.1125</x:v>
      </x:c>
      <x:c r="P202" t="str">
        <x:v>50.1</x:v>
      </x:c>
      <x:c r="Q202" t="str"/>
      <x:c r="R202" t="str"/>
      <x:c r="S202" t="str"/>
      <x:c r="T202" t="str"/>
      <x:c r="U202" t="str"/>
      <x:c r="V202" t="str"/>
      <x:c r="W202" t="str"/>
      <x:c r="X202" t="str"/>
      <x:c r="Y202" t="str"/>
      <x:c r="Z202" t="str"/>
      <x:c r="AA202" t="str"/>
      <x:c r="AB202" t="str"/>
      <x:c r="AC202" t="str"/>
      <x:c r="AD202" t="str"/>
      <x:c r="AE202" t="str"/>
      <x:c r="AF202" t="str"/>
      <x:c r="AG202" t="str"/>
      <x:c r="AH202" t="str">
        <x:f>D202&amp;"|"&amp;UPPER(F202)&amp;"|"&amp;LEFT(B202,10)</x:f>
        <x:v>1092|SFMTA|2024-07-01</x:v>
      </x:c>
    </x:row>
    <x:row r="203">
      <x:c r="A203" s="22" t="n">
        <x:v>987</x:v>
      </x:c>
      <x:c r="B203" t="str">
        <x:v>2025-01-04T00:00:00</x:v>
      </x:c>
      <x:c r="C203" t="str">
        <x:v>1092A</x:v>
      </x:c>
      <x:c r="D203" t="str">
        <x:v>1092</x:v>
      </x:c>
      <x:c r="E203" t="str">
        <x:v>IT Operations Support Administrator II</x:v>
      </x:c>
      <x:c r="F203" t="str">
        <x:v>COMMN</x:v>
      </x:c>
      <x:c r="G203" t="str">
        <x:v>41.0125</x:v>
      </x:c>
      <x:c r="H203" t="str">
        <x:v>42.05</x:v>
      </x:c>
      <x:c r="I203" t="str">
        <x:v>43.075</x:v>
      </x:c>
      <x:c r="J203" t="str">
        <x:v>44.125</x:v>
      </x:c>
      <x:c r="K203" t="str">
        <x:v>45.2375</x:v>
      </x:c>
      <x:c r="L203" t="str">
        <x:v>46.3375</x:v>
      </x:c>
      <x:c r="M203" t="str">
        <x:v>47.5</x:v>
      </x:c>
      <x:c r="N203" t="str">
        <x:v>48.6625</x:v>
      </x:c>
      <x:c r="O203" t="str">
        <x:v>49.85</x:v>
      </x:c>
      <x:c r="P203" t="str">
        <x:v>50.85</x:v>
      </x:c>
      <x:c r="Q203" t="str"/>
      <x:c r="R203" t="str"/>
      <x:c r="S203" t="str"/>
      <x:c r="T203" t="str"/>
      <x:c r="U203" t="str"/>
      <x:c r="V203" t="str"/>
      <x:c r="W203" t="str"/>
      <x:c r="X203" t="str"/>
      <x:c r="Y203" t="str"/>
      <x:c r="Z203" t="str"/>
      <x:c r="AA203" t="str"/>
      <x:c r="AB203" t="str"/>
      <x:c r="AC203" t="str"/>
      <x:c r="AD203" t="str"/>
      <x:c r="AE203" t="str"/>
      <x:c r="AF203" t="str"/>
      <x:c r="AG203" t="str"/>
      <x:c r="AH203" t="str">
        <x:f>D203&amp;"|"&amp;UPPER(F203)&amp;"|"&amp;LEFT(B203,10)</x:f>
        <x:v>1092|COMMN|2025-01-04</x:v>
      </x:c>
    </x:row>
    <x:row r="204">
      <x:c r="A204" s="22" t="n">
        <x:v>999</x:v>
      </x:c>
      <x:c r="B204" t="str">
        <x:v>2025-01-04T00:00:00</x:v>
      </x:c>
      <x:c r="C204" t="str">
        <x:v>1092A</x:v>
      </x:c>
      <x:c r="D204" t="str">
        <x:v>1092</x:v>
      </x:c>
      <x:c r="E204" t="str">
        <x:v>IT Operations Support Administrator II</x:v>
      </x:c>
      <x:c r="F204" t="str">
        <x:v>SFMTA</x:v>
      </x:c>
      <x:c r="G204" t="str">
        <x:v>41.0125</x:v>
      </x:c>
      <x:c r="H204" t="str">
        <x:v>42.05</x:v>
      </x:c>
      <x:c r="I204" t="str">
        <x:v>43.075</x:v>
      </x:c>
      <x:c r="J204" t="str">
        <x:v>44.125</x:v>
      </x:c>
      <x:c r="K204" t="str">
        <x:v>45.2375</x:v>
      </x:c>
      <x:c r="L204" t="str">
        <x:v>46.3375</x:v>
      </x:c>
      <x:c r="M204" t="str">
        <x:v>47.5</x:v>
      </x:c>
      <x:c r="N204" t="str">
        <x:v>48.6625</x:v>
      </x:c>
      <x:c r="O204" t="str">
        <x:v>49.85</x:v>
      </x:c>
      <x:c r="P204" t="str">
        <x:v>50.85</x:v>
      </x:c>
      <x:c r="Q204" t="str"/>
      <x:c r="R204" t="str"/>
      <x:c r="S204" t="str"/>
      <x:c r="T204" t="str"/>
      <x:c r="U204" t="str"/>
      <x:c r="V204" t="str"/>
      <x:c r="W204" t="str"/>
      <x:c r="X204" t="str"/>
      <x:c r="Y204" t="str"/>
      <x:c r="Z204" t="str"/>
      <x:c r="AA204" t="str"/>
      <x:c r="AB204" t="str"/>
      <x:c r="AC204" t="str"/>
      <x:c r="AD204" t="str"/>
      <x:c r="AE204" t="str"/>
      <x:c r="AF204" t="str"/>
      <x:c r="AG204" t="str"/>
      <x:c r="AH204" t="str">
        <x:f>D204&amp;"|"&amp;UPPER(F204)&amp;"|"&amp;LEFT(B204,10)</x:f>
        <x:v>1092|SFMTA|2025-01-04</x:v>
      </x:c>
    </x:row>
    <x:row r="205">
      <x:c r="A205" s="22" t="n">
        <x:v>988</x:v>
      </x:c>
      <x:c r="B205" t="str">
        <x:v>2025-07-01T00:00:00</x:v>
      </x:c>
      <x:c r="C205" t="str">
        <x:v>1092B</x:v>
      </x:c>
      <x:c r="D205" t="str">
        <x:v>1092</x:v>
      </x:c>
      <x:c r="E205" t="str">
        <x:v>IT Operations Support Admin II</x:v>
      </x:c>
      <x:c r="F205" t="str">
        <x:v>COMMN</x:v>
      </x:c>
      <x:c r="G205" t="str">
        <x:v>41.8375</x:v>
      </x:c>
      <x:c r="H205" t="str">
        <x:v>42.9</x:v>
      </x:c>
      <x:c r="I205" t="str">
        <x:v>43.9375</x:v>
      </x:c>
      <x:c r="J205" t="str">
        <x:v>45.0125</x:v>
      </x:c>
      <x:c r="K205" t="str">
        <x:v>46.15</x:v>
      </x:c>
      <x:c r="L205" t="str">
        <x:v>47.275</x:v>
      </x:c>
      <x:c r="M205" t="str">
        <x:v>48.45</x:v>
      </x:c>
      <x:c r="N205" t="str">
        <x:v>49.6375</x:v>
      </x:c>
      <x:c r="O205" t="str">
        <x:v>50.85</x:v>
      </x:c>
      <x:c r="P205" t="str">
        <x:v>51.875</x:v>
      </x:c>
      <x:c r="Q205" t="str"/>
      <x:c r="R205" t="str"/>
      <x:c r="S205" t="str"/>
      <x:c r="T205" t="str"/>
      <x:c r="U205" t="str"/>
      <x:c r="V205" t="str"/>
      <x:c r="W205" t="str"/>
      <x:c r="X205" t="str"/>
      <x:c r="Y205" t="str"/>
      <x:c r="Z205" t="str"/>
      <x:c r="AA205" t="str"/>
      <x:c r="AB205" t="str"/>
      <x:c r="AC205" t="str"/>
      <x:c r="AD205" t="str"/>
      <x:c r="AE205" t="str"/>
      <x:c r="AF205" t="str"/>
      <x:c r="AG205" t="str"/>
      <x:c r="AH205" t="str">
        <x:f>D205&amp;"|"&amp;UPPER(F205)&amp;"|"&amp;LEFT(B205,10)</x:f>
        <x:v>1092|COMMN|2025-07-01</x:v>
      </x:c>
    </x:row>
    <x:row r="206">
      <x:c r="A206" s="22" t="n">
        <x:v>1000</x:v>
      </x:c>
      <x:c r="B206" t="str">
        <x:v>2025-07-01T00:00:00</x:v>
      </x:c>
      <x:c r="C206" t="str">
        <x:v>1092B</x:v>
      </x:c>
      <x:c r="D206" t="str">
        <x:v>1092</x:v>
      </x:c>
      <x:c r="E206" t="str">
        <x:v>IT Operations Support Admin II</x:v>
      </x:c>
      <x:c r="F206" t="str">
        <x:v>SFMTA</x:v>
      </x:c>
      <x:c r="G206" t="str">
        <x:v>41.8375</x:v>
      </x:c>
      <x:c r="H206" t="str">
        <x:v>42.9</x:v>
      </x:c>
      <x:c r="I206" t="str">
        <x:v>43.9375</x:v>
      </x:c>
      <x:c r="J206" t="str">
        <x:v>45.0125</x:v>
      </x:c>
      <x:c r="K206" t="str">
        <x:v>46.15</x:v>
      </x:c>
      <x:c r="L206" t="str">
        <x:v>47.275</x:v>
      </x:c>
      <x:c r="M206" t="str">
        <x:v>48.45</x:v>
      </x:c>
      <x:c r="N206" t="str">
        <x:v>49.6375</x:v>
      </x:c>
      <x:c r="O206" t="str">
        <x:v>50.85</x:v>
      </x:c>
      <x:c r="P206" t="str">
        <x:v>51.875</x:v>
      </x:c>
      <x:c r="Q206" t="str"/>
      <x:c r="R206" t="str"/>
      <x:c r="S206" t="str"/>
      <x:c r="T206" t="str"/>
      <x:c r="U206" t="str"/>
      <x:c r="V206" t="str"/>
      <x:c r="W206" t="str"/>
      <x:c r="X206" t="str"/>
      <x:c r="Y206" t="str"/>
      <x:c r="Z206" t="str"/>
      <x:c r="AA206" t="str"/>
      <x:c r="AB206" t="str"/>
      <x:c r="AC206" t="str"/>
      <x:c r="AD206" t="str"/>
      <x:c r="AE206" t="str"/>
      <x:c r="AF206" t="str"/>
      <x:c r="AG206" t="str"/>
      <x:c r="AH206" t="str">
        <x:f>D206&amp;"|"&amp;UPPER(F206)&amp;"|"&amp;LEFT(B206,10)</x:f>
        <x:v>1092|SFMTA|2025-07-01</x:v>
      </x:c>
    </x:row>
    <x:row r="207">
      <x:c r="A207" s="22" t="n">
        <x:v>989</x:v>
      </x:c>
      <x:c r="B207" t="str">
        <x:v>2026-01-03T00:00:00</x:v>
      </x:c>
      <x:c r="C207" t="str">
        <x:v>1092C</x:v>
      </x:c>
      <x:c r="D207" t="str">
        <x:v>1092</x:v>
      </x:c>
      <x:c r="E207" t="str">
        <x:v>IT Operations Support Admin II</x:v>
      </x:c>
      <x:c r="F207" t="str">
        <x:v>COMMN</x:v>
      </x:c>
      <x:c r="G207" t="str">
        <x:v>42.4625</x:v>
      </x:c>
      <x:c r="H207" t="str">
        <x:v>43.5375</x:v>
      </x:c>
      <x:c r="I207" t="str">
        <x:v>44.6</x:v>
      </x:c>
      <x:c r="J207" t="str">
        <x:v>45.6875</x:v>
      </x:c>
      <x:c r="K207" t="str">
        <x:v>46.8375</x:v>
      </x:c>
      <x:c r="L207" t="str">
        <x:v>47.9875</x:v>
      </x:c>
      <x:c r="M207" t="str">
        <x:v>49.175</x:v>
      </x:c>
      <x:c r="N207" t="str">
        <x:v>50.3875</x:v>
      </x:c>
      <x:c r="O207" t="str">
        <x:v>51.6125</x:v>
      </x:c>
      <x:c r="P207" t="str">
        <x:v>52.65</x:v>
      </x:c>
      <x:c r="Q207" t="str"/>
      <x:c r="R207" t="str"/>
      <x:c r="S207" t="str"/>
      <x:c r="T207" t="str"/>
      <x:c r="U207" t="str"/>
      <x:c r="V207" t="str"/>
      <x:c r="W207" t="str"/>
      <x:c r="X207" t="str"/>
      <x:c r="Y207" t="str"/>
      <x:c r="Z207" t="str"/>
      <x:c r="AA207" t="str"/>
      <x:c r="AB207" t="str"/>
      <x:c r="AC207" t="str"/>
      <x:c r="AD207" t="str"/>
      <x:c r="AE207" t="str"/>
      <x:c r="AF207" t="str"/>
      <x:c r="AG207" t="str"/>
      <x:c r="AH207" t="str">
        <x:f>D207&amp;"|"&amp;UPPER(F207)&amp;"|"&amp;LEFT(B207,10)</x:f>
        <x:v>1092|COMMN|2026-01-03</x:v>
      </x:c>
    </x:row>
    <x:row r="208">
      <x:c r="A208" s="22" t="n">
        <x:v>1001</x:v>
      </x:c>
      <x:c r="B208" t="str">
        <x:v>2026-01-03T00:00:00</x:v>
      </x:c>
      <x:c r="C208" t="str">
        <x:v>1092C</x:v>
      </x:c>
      <x:c r="D208" t="str">
        <x:v>1092</x:v>
      </x:c>
      <x:c r="E208" t="str">
        <x:v>IT Operations Support Admin II</x:v>
      </x:c>
      <x:c r="F208" t="str">
        <x:v>SFMTA</x:v>
      </x:c>
      <x:c r="G208" t="str">
        <x:v>42.4625</x:v>
      </x:c>
      <x:c r="H208" t="str">
        <x:v>43.5375</x:v>
      </x:c>
      <x:c r="I208" t="str">
        <x:v>44.6</x:v>
      </x:c>
      <x:c r="J208" t="str">
        <x:v>45.6875</x:v>
      </x:c>
      <x:c r="K208" t="str">
        <x:v>46.8375</x:v>
      </x:c>
      <x:c r="L208" t="str">
        <x:v>47.9875</x:v>
      </x:c>
      <x:c r="M208" t="str">
        <x:v>49.175</x:v>
      </x:c>
      <x:c r="N208" t="str">
        <x:v>50.3875</x:v>
      </x:c>
      <x:c r="O208" t="str">
        <x:v>51.6125</x:v>
      </x:c>
      <x:c r="P208" t="str">
        <x:v>52.65</x:v>
      </x:c>
      <x:c r="Q208" t="str"/>
      <x:c r="R208" t="str"/>
      <x:c r="S208" t="str"/>
      <x:c r="T208" t="str"/>
      <x:c r="U208" t="str"/>
      <x:c r="V208" t="str"/>
      <x:c r="W208" t="str"/>
      <x:c r="X208" t="str"/>
      <x:c r="Y208" t="str"/>
      <x:c r="Z208" t="str"/>
      <x:c r="AA208" t="str"/>
      <x:c r="AB208" t="str"/>
      <x:c r="AC208" t="str"/>
      <x:c r="AD208" t="str"/>
      <x:c r="AE208" t="str"/>
      <x:c r="AF208" t="str"/>
      <x:c r="AG208" t="str"/>
      <x:c r="AH208" t="str">
        <x:f>D208&amp;"|"&amp;UPPER(F208)&amp;"|"&amp;LEFT(B208,10)</x:f>
        <x:v>1092|SFMTA|2026-01-03</x:v>
      </x:c>
    </x:row>
    <x:row r="209">
      <x:c r="A209" s="22" t="n">
        <x:v>990</x:v>
      </x:c>
      <x:c r="B209" t="str">
        <x:v>2026-07-01T00:00:00</x:v>
      </x:c>
      <x:c r="C209" t="str">
        <x:v>1092D</x:v>
      </x:c>
      <x:c r="D209" t="str">
        <x:v>1092</x:v>
      </x:c>
      <x:c r="E209" t="str">
        <x:v>IT Operations Support Admin II</x:v>
      </x:c>
      <x:c r="F209" t="str">
        <x:v>COMMN</x:v>
      </x:c>
      <x:c r="G209" t="str">
        <x:v>43.3125</x:v>
      </x:c>
      <x:c r="H209" t="str">
        <x:v>44.4125</x:v>
      </x:c>
      <x:c r="I209" t="str">
        <x:v>45.4875</x:v>
      </x:c>
      <x:c r="J209" t="str">
        <x:v>46.6</x:v>
      </x:c>
      <x:c r="K209" t="str">
        <x:v>47.775</x:v>
      </x:c>
      <x:c r="L209" t="str">
        <x:v>48.95</x:v>
      </x:c>
      <x:c r="M209" t="str">
        <x:v>50.1625</x:v>
      </x:c>
      <x:c r="N209" t="str">
        <x:v>51.4</x:v>
      </x:c>
      <x:c r="O209" t="str">
        <x:v>52.65</x:v>
      </x:c>
      <x:c r="P209" t="str">
        <x:v>53.7</x:v>
      </x:c>
      <x:c r="Q209" t="str"/>
      <x:c r="R209" t="str"/>
      <x:c r="S209" t="str"/>
      <x:c r="T209" t="str"/>
      <x:c r="U209" t="str"/>
      <x:c r="V209" t="str"/>
      <x:c r="W209" t="str"/>
      <x:c r="X209" t="str"/>
      <x:c r="Y209" t="str"/>
      <x:c r="Z209" t="str"/>
      <x:c r="AA209" t="str"/>
      <x:c r="AB209" t="str"/>
      <x:c r="AC209" t="str"/>
      <x:c r="AD209" t="str"/>
      <x:c r="AE209" t="str"/>
      <x:c r="AF209" t="str"/>
      <x:c r="AG209" t="str"/>
      <x:c r="AH209" t="str">
        <x:f>D209&amp;"|"&amp;UPPER(F209)&amp;"|"&amp;LEFT(B209,10)</x:f>
        <x:v>1092|COMMN|2026-07-01</x:v>
      </x:c>
    </x:row>
    <x:row r="210">
      <x:c r="A210" s="22" t="n">
        <x:v>1002</x:v>
      </x:c>
      <x:c r="B210" t="str">
        <x:v>2026-07-01T00:00:00</x:v>
      </x:c>
      <x:c r="C210" t="str">
        <x:v>1092D</x:v>
      </x:c>
      <x:c r="D210" t="str">
        <x:v>1092</x:v>
      </x:c>
      <x:c r="E210" t="str">
        <x:v>IT Operations Support Admin II</x:v>
      </x:c>
      <x:c r="F210" t="str">
        <x:v>SFMTA</x:v>
      </x:c>
      <x:c r="G210" t="str">
        <x:v>43.3125</x:v>
      </x:c>
      <x:c r="H210" t="str">
        <x:v>44.4125</x:v>
      </x:c>
      <x:c r="I210" t="str">
        <x:v>45.4875</x:v>
      </x:c>
      <x:c r="J210" t="str">
        <x:v>46.6</x:v>
      </x:c>
      <x:c r="K210" t="str">
        <x:v>47.775</x:v>
      </x:c>
      <x:c r="L210" t="str">
        <x:v>48.95</x:v>
      </x:c>
      <x:c r="M210" t="str">
        <x:v>50.1625</x:v>
      </x:c>
      <x:c r="N210" t="str">
        <x:v>51.4</x:v>
      </x:c>
      <x:c r="O210" t="str">
        <x:v>52.65</x:v>
      </x:c>
      <x:c r="P210" t="str">
        <x:v>53.7</x:v>
      </x:c>
      <x:c r="Q210" t="str"/>
      <x:c r="R210" t="str"/>
      <x:c r="S210" t="str"/>
      <x:c r="T210" t="str"/>
      <x:c r="U210" t="str"/>
      <x:c r="V210" t="str"/>
      <x:c r="W210" t="str"/>
      <x:c r="X210" t="str"/>
      <x:c r="Y210" t="str"/>
      <x:c r="Z210" t="str"/>
      <x:c r="AA210" t="str"/>
      <x:c r="AB210" t="str"/>
      <x:c r="AC210" t="str"/>
      <x:c r="AD210" t="str"/>
      <x:c r="AE210" t="str"/>
      <x:c r="AF210" t="str"/>
      <x:c r="AG210" t="str"/>
      <x:c r="AH210" t="str">
        <x:f>D210&amp;"|"&amp;UPPER(F210)&amp;"|"&amp;LEFT(B210,10)</x:f>
        <x:v>1092|SFMTA|2026-07-01</x:v>
      </x:c>
    </x:row>
    <x:row r="211">
      <x:c r="A211" s="22" t="n">
        <x:v>1009</x:v>
      </x:c>
      <x:c r="B211" t="str">
        <x:v>2024-01-06T00:00:00</x:v>
      </x:c>
      <x:c r="C211" t="str">
        <x:v>1093Y</x:v>
      </x:c>
      <x:c r="D211" t="str">
        <x:v>1093</x:v>
      </x:c>
      <x:c r="E211" t="str">
        <x:v>IT Operations Support Administrator III</x:v>
      </x:c>
      <x:c r="F211" t="str">
        <x:v>COMMN</x:v>
      </x:c>
      <x:c r="G211" t="str">
        <x:v>47.9125</x:v>
      </x:c>
      <x:c r="H211" t="str">
        <x:v>49.1125</x:v>
      </x:c>
      <x:c r="I211" t="str">
        <x:v>50.3375</x:v>
      </x:c>
      <x:c r="J211" t="str">
        <x:v>51.575</x:v>
      </x:c>
      <x:c r="K211" t="str">
        <x:v>52.825</x:v>
      </x:c>
      <x:c r="L211" t="str">
        <x:v>54.15</x:v>
      </x:c>
      <x:c r="M211" t="str">
        <x:v>55.4875</x:v>
      </x:c>
      <x:c r="N211" t="str">
        <x:v>56.8375</x:v>
      </x:c>
      <x:c r="O211" t="str">
        <x:v>58.275</x:v>
      </x:c>
      <x:c r="P211" t="str">
        <x:v>59.4125</x:v>
      </x:c>
      <x:c r="Q211" t="str"/>
      <x:c r="R211" t="str"/>
      <x:c r="S211" t="str"/>
      <x:c r="T211" t="str"/>
      <x:c r="U211" t="str"/>
      <x:c r="V211" t="str"/>
      <x:c r="W211" t="str"/>
      <x:c r="X211" t="str"/>
      <x:c r="Y211" t="str"/>
      <x:c r="Z211" t="str"/>
      <x:c r="AA211" t="str"/>
      <x:c r="AB211" t="str"/>
      <x:c r="AC211" t="str"/>
      <x:c r="AD211" t="str"/>
      <x:c r="AE211" t="str"/>
      <x:c r="AF211" t="str"/>
      <x:c r="AG211" t="str"/>
      <x:c r="AH211" t="str">
        <x:f>D211&amp;"|"&amp;UPPER(F211)&amp;"|"&amp;LEFT(B211,10)</x:f>
        <x:v>1093|COMMN|2024-01-06</x:v>
      </x:c>
    </x:row>
    <x:row r="212">
      <x:c r="A212" s="22" t="n">
        <x:v>1021</x:v>
      </x:c>
      <x:c r="B212" t="str">
        <x:v>2024-01-06T00:00:00</x:v>
      </x:c>
      <x:c r="C212" t="str">
        <x:v>1093Y</x:v>
      </x:c>
      <x:c r="D212" t="str">
        <x:v>1093</x:v>
      </x:c>
      <x:c r="E212" t="str">
        <x:v>IT Operations Support Administrator III</x:v>
      </x:c>
      <x:c r="F212" t="str">
        <x:v>SFMTA</x:v>
      </x:c>
      <x:c r="G212" t="str">
        <x:v>47.9125</x:v>
      </x:c>
      <x:c r="H212" t="str">
        <x:v>49.1125</x:v>
      </x:c>
      <x:c r="I212" t="str">
        <x:v>50.3375</x:v>
      </x:c>
      <x:c r="J212" t="str">
        <x:v>51.575</x:v>
      </x:c>
      <x:c r="K212" t="str">
        <x:v>52.825</x:v>
      </x:c>
      <x:c r="L212" t="str">
        <x:v>54.15</x:v>
      </x:c>
      <x:c r="M212" t="str">
        <x:v>55.4875</x:v>
      </x:c>
      <x:c r="N212" t="str">
        <x:v>56.8375</x:v>
      </x:c>
      <x:c r="O212" t="str">
        <x:v>58.275</x:v>
      </x:c>
      <x:c r="P212" t="str">
        <x:v>59.4125</x:v>
      </x:c>
      <x:c r="Q212" t="str"/>
      <x:c r="R212" t="str"/>
      <x:c r="S212" t="str"/>
      <x:c r="T212" t="str"/>
      <x:c r="U212" t="str"/>
      <x:c r="V212" t="str"/>
      <x:c r="W212" t="str"/>
      <x:c r="X212" t="str"/>
      <x:c r="Y212" t="str"/>
      <x:c r="Z212" t="str"/>
      <x:c r="AA212" t="str"/>
      <x:c r="AB212" t="str"/>
      <x:c r="AC212" t="str"/>
      <x:c r="AD212" t="str"/>
      <x:c r="AE212" t="str"/>
      <x:c r="AF212" t="str"/>
      <x:c r="AG212" t="str"/>
      <x:c r="AH212" t="str">
        <x:f>D212&amp;"|"&amp;UPPER(F212)&amp;"|"&amp;LEFT(B212,10)</x:f>
        <x:v>1093|SFMTA|2024-01-06</x:v>
      </x:c>
    </x:row>
    <x:row r="213">
      <x:c r="A213" s="22" t="n">
        <x:v>1010</x:v>
      </x:c>
      <x:c r="B213" t="str">
        <x:v>2024-07-01T00:00:00</x:v>
      </x:c>
      <x:c r="C213" t="str">
        <x:v>1093Z</x:v>
      </x:c>
      <x:c r="D213" t="str">
        <x:v>1093</x:v>
      </x:c>
      <x:c r="E213" t="str">
        <x:v>IT Operations Support Administrator III</x:v>
      </x:c>
      <x:c r="F213" t="str">
        <x:v>COMMN</x:v>
      </x:c>
      <x:c r="G213" t="str">
        <x:v>49.1125</x:v>
      </x:c>
      <x:c r="H213" t="str">
        <x:v>50.3375</x:v>
      </x:c>
      <x:c r="I213" t="str">
        <x:v>51.6</x:v>
      </x:c>
      <x:c r="J213" t="str">
        <x:v>52.8625</x:v>
      </x:c>
      <x:c r="K213" t="str">
        <x:v>54.15</x:v>
      </x:c>
      <x:c r="L213" t="str">
        <x:v>55.5</x:v>
      </x:c>
      <x:c r="M213" t="str">
        <x:v>56.875</x:v>
      </x:c>
      <x:c r="N213" t="str">
        <x:v>58.2625</x:v>
      </x:c>
      <x:c r="O213" t="str">
        <x:v>59.7375</x:v>
      </x:c>
      <x:c r="P213" t="str">
        <x:v>60.9</x:v>
      </x:c>
      <x:c r="Q213" t="str"/>
      <x:c r="R213" t="str"/>
      <x:c r="S213" t="str"/>
      <x:c r="T213" t="str"/>
      <x:c r="U213" t="str"/>
      <x:c r="V213" t="str"/>
      <x:c r="W213" t="str"/>
      <x:c r="X213" t="str"/>
      <x:c r="Y213" t="str"/>
      <x:c r="Z213" t="str"/>
      <x:c r="AA213" t="str"/>
      <x:c r="AB213" t="str"/>
      <x:c r="AC213" t="str"/>
      <x:c r="AD213" t="str"/>
      <x:c r="AE213" t="str"/>
      <x:c r="AF213" t="str"/>
      <x:c r="AG213" t="str"/>
      <x:c r="AH213" t="str">
        <x:f>D213&amp;"|"&amp;UPPER(F213)&amp;"|"&amp;LEFT(B213,10)</x:f>
        <x:v>1093|COMMN|2024-07-01</x:v>
      </x:c>
    </x:row>
    <x:row r="214">
      <x:c r="A214" s="22" t="n">
        <x:v>1022</x:v>
      </x:c>
      <x:c r="B214" t="str">
        <x:v>2024-07-01T00:00:00</x:v>
      </x:c>
      <x:c r="C214" t="str">
        <x:v>1093Z</x:v>
      </x:c>
      <x:c r="D214" t="str">
        <x:v>1093</x:v>
      </x:c>
      <x:c r="E214" t="str">
        <x:v>IT Operations Support Administrator III</x:v>
      </x:c>
      <x:c r="F214" t="str">
        <x:v>SFMTA</x:v>
      </x:c>
      <x:c r="G214" t="str">
        <x:v>49.1125</x:v>
      </x:c>
      <x:c r="H214" t="str">
        <x:v>50.3375</x:v>
      </x:c>
      <x:c r="I214" t="str">
        <x:v>51.6</x:v>
      </x:c>
      <x:c r="J214" t="str">
        <x:v>52.8625</x:v>
      </x:c>
      <x:c r="K214" t="str">
        <x:v>54.15</x:v>
      </x:c>
      <x:c r="L214" t="str">
        <x:v>55.5</x:v>
      </x:c>
      <x:c r="M214" t="str">
        <x:v>56.875</x:v>
      </x:c>
      <x:c r="N214" t="str">
        <x:v>58.2625</x:v>
      </x:c>
      <x:c r="O214" t="str">
        <x:v>59.7375</x:v>
      </x:c>
      <x:c r="P214" t="str">
        <x:v>60.9</x:v>
      </x:c>
      <x:c r="Q214" t="str"/>
      <x:c r="R214" t="str"/>
      <x:c r="S214" t="str"/>
      <x:c r="T214" t="str"/>
      <x:c r="U214" t="str"/>
      <x:c r="V214" t="str"/>
      <x:c r="W214" t="str"/>
      <x:c r="X214" t="str"/>
      <x:c r="Y214" t="str"/>
      <x:c r="Z214" t="str"/>
      <x:c r="AA214" t="str"/>
      <x:c r="AB214" t="str"/>
      <x:c r="AC214" t="str"/>
      <x:c r="AD214" t="str"/>
      <x:c r="AE214" t="str"/>
      <x:c r="AF214" t="str"/>
      <x:c r="AG214" t="str"/>
      <x:c r="AH214" t="str">
        <x:f>D214&amp;"|"&amp;UPPER(F214)&amp;"|"&amp;LEFT(B214,10)</x:f>
        <x:v>1093|SFMTA|2024-07-01</x:v>
      </x:c>
    </x:row>
    <x:row r="215">
      <x:c r="A215" s="22" t="n">
        <x:v>1011</x:v>
      </x:c>
      <x:c r="B215" t="str">
        <x:v>2025-01-04T00:00:00</x:v>
      </x:c>
      <x:c r="C215" t="str">
        <x:v>1093A</x:v>
      </x:c>
      <x:c r="D215" t="str">
        <x:v>1093</x:v>
      </x:c>
      <x:c r="E215" t="str">
        <x:v>IT Operations Support Administrator III</x:v>
      </x:c>
      <x:c r="F215" t="str">
        <x:v>COMMN</x:v>
      </x:c>
      <x:c r="G215" t="str">
        <x:v>49.85</x:v>
      </x:c>
      <x:c r="H215" t="str">
        <x:v>51.0875</x:v>
      </x:c>
      <x:c r="I215" t="str">
        <x:v>52.375</x:v>
      </x:c>
      <x:c r="J215" t="str">
        <x:v>53.65</x:v>
      </x:c>
      <x:c r="K215" t="str">
        <x:v>54.9625</x:v>
      </x:c>
      <x:c r="L215" t="str">
        <x:v>56.3375</x:v>
      </x:c>
      <x:c r="M215" t="str">
        <x:v>57.725</x:v>
      </x:c>
      <x:c r="N215" t="str">
        <x:v>59.1375</x:v>
      </x:c>
      <x:c r="O215" t="str">
        <x:v>60.6375</x:v>
      </x:c>
      <x:c r="P215" t="str">
        <x:v>61.8125</x:v>
      </x:c>
      <x:c r="Q215" t="str"/>
      <x:c r="R215" t="str"/>
      <x:c r="S215" t="str"/>
      <x:c r="T215" t="str"/>
      <x:c r="U215" t="str"/>
      <x:c r="V215" t="str"/>
      <x:c r="W215" t="str"/>
      <x:c r="X215" t="str"/>
      <x:c r="Y215" t="str"/>
      <x:c r="Z215" t="str"/>
      <x:c r="AA215" t="str"/>
      <x:c r="AB215" t="str"/>
      <x:c r="AC215" t="str"/>
      <x:c r="AD215" t="str"/>
      <x:c r="AE215" t="str"/>
      <x:c r="AF215" t="str"/>
      <x:c r="AG215" t="str"/>
      <x:c r="AH215" t="str">
        <x:f>D215&amp;"|"&amp;UPPER(F215)&amp;"|"&amp;LEFT(B215,10)</x:f>
        <x:v>1093|COMMN|2025-01-04</x:v>
      </x:c>
    </x:row>
    <x:row r="216">
      <x:c r="A216" s="22" t="n">
        <x:v>1023</x:v>
      </x:c>
      <x:c r="B216" t="str">
        <x:v>2025-01-04T00:00:00</x:v>
      </x:c>
      <x:c r="C216" t="str">
        <x:v>1093A</x:v>
      </x:c>
      <x:c r="D216" t="str">
        <x:v>1093</x:v>
      </x:c>
      <x:c r="E216" t="str">
        <x:v>IT Operations Support Administrator III</x:v>
      </x:c>
      <x:c r="F216" t="str">
        <x:v>SFMTA</x:v>
      </x:c>
      <x:c r="G216" t="str">
        <x:v>49.85</x:v>
      </x:c>
      <x:c r="H216" t="str">
        <x:v>51.0875</x:v>
      </x:c>
      <x:c r="I216" t="str">
        <x:v>52.375</x:v>
      </x:c>
      <x:c r="J216" t="str">
        <x:v>53.65</x:v>
      </x:c>
      <x:c r="K216" t="str">
        <x:v>54.9625</x:v>
      </x:c>
      <x:c r="L216" t="str">
        <x:v>56.3375</x:v>
      </x:c>
      <x:c r="M216" t="str">
        <x:v>57.725</x:v>
      </x:c>
      <x:c r="N216" t="str">
        <x:v>59.1375</x:v>
      </x:c>
      <x:c r="O216" t="str">
        <x:v>60.6375</x:v>
      </x:c>
      <x:c r="P216" t="str">
        <x:v>61.8125</x:v>
      </x:c>
      <x:c r="Q216" t="str"/>
      <x:c r="R216" t="str"/>
      <x:c r="S216" t="str"/>
      <x:c r="T216" t="str"/>
      <x:c r="U216" t="str"/>
      <x:c r="V216" t="str"/>
      <x:c r="W216" t="str"/>
      <x:c r="X216" t="str"/>
      <x:c r="Y216" t="str"/>
      <x:c r="Z216" t="str"/>
      <x:c r="AA216" t="str"/>
      <x:c r="AB216" t="str"/>
      <x:c r="AC216" t="str"/>
      <x:c r="AD216" t="str"/>
      <x:c r="AE216" t="str"/>
      <x:c r="AF216" t="str"/>
      <x:c r="AG216" t="str"/>
      <x:c r="AH216" t="str">
        <x:f>D216&amp;"|"&amp;UPPER(F216)&amp;"|"&amp;LEFT(B216,10)</x:f>
        <x:v>1093|SFMTA|2025-01-04</x:v>
      </x:c>
    </x:row>
    <x:row r="217">
      <x:c r="A217" s="22" t="n">
        <x:v>1012</x:v>
      </x:c>
      <x:c r="B217" t="str">
        <x:v>2025-07-01T00:00:00</x:v>
      </x:c>
      <x:c r="C217" t="str">
        <x:v>1093B</x:v>
      </x:c>
      <x:c r="D217" t="str">
        <x:v>1093</x:v>
      </x:c>
      <x:c r="E217" t="str">
        <x:v>IT Operations Support Admn III</x:v>
      </x:c>
      <x:c r="F217" t="str">
        <x:v>COMMN</x:v>
      </x:c>
      <x:c r="G217" t="str">
        <x:v>50.85</x:v>
      </x:c>
      <x:c r="H217" t="str">
        <x:v>52.1125</x:v>
      </x:c>
      <x:c r="I217" t="str">
        <x:v>53.425</x:v>
      </x:c>
      <x:c r="J217" t="str">
        <x:v>54.725</x:v>
      </x:c>
      <x:c r="K217" t="str">
        <x:v>56.0625</x:v>
      </x:c>
      <x:c r="L217" t="str">
        <x:v>57.475</x:v>
      </x:c>
      <x:c r="M217" t="str">
        <x:v>58.8875</x:v>
      </x:c>
      <x:c r="N217" t="str">
        <x:v>60.325</x:v>
      </x:c>
      <x:c r="O217" t="str">
        <x:v>61.8625</x:v>
      </x:c>
      <x:c r="P217" t="str">
        <x:v>63.05</x:v>
      </x:c>
      <x:c r="Q217" t="str"/>
      <x:c r="R217" t="str"/>
      <x:c r="S217" t="str"/>
      <x:c r="T217" t="str"/>
      <x:c r="U217" t="str"/>
      <x:c r="V217" t="str"/>
      <x:c r="W217" t="str"/>
      <x:c r="X217" t="str"/>
      <x:c r="Y217" t="str"/>
      <x:c r="Z217" t="str"/>
      <x:c r="AA217" t="str"/>
      <x:c r="AB217" t="str"/>
      <x:c r="AC217" t="str"/>
      <x:c r="AD217" t="str"/>
      <x:c r="AE217" t="str"/>
      <x:c r="AF217" t="str"/>
      <x:c r="AG217" t="str"/>
      <x:c r="AH217" t="str">
        <x:f>D217&amp;"|"&amp;UPPER(F217)&amp;"|"&amp;LEFT(B217,10)</x:f>
        <x:v>1093|COMMN|2025-07-01</x:v>
      </x:c>
    </x:row>
    <x:row r="218">
      <x:c r="A218" s="22" t="n">
        <x:v>1024</x:v>
      </x:c>
      <x:c r="B218" t="str">
        <x:v>2025-07-01T00:00:00</x:v>
      </x:c>
      <x:c r="C218" t="str">
        <x:v>1093B</x:v>
      </x:c>
      <x:c r="D218" t="str">
        <x:v>1093</x:v>
      </x:c>
      <x:c r="E218" t="str">
        <x:v>IT Operations Support Admn III</x:v>
      </x:c>
      <x:c r="F218" t="str">
        <x:v>SFMTA</x:v>
      </x:c>
      <x:c r="G218" t="str">
        <x:v>50.85</x:v>
      </x:c>
      <x:c r="H218" t="str">
        <x:v>52.1125</x:v>
      </x:c>
      <x:c r="I218" t="str">
        <x:v>53.425</x:v>
      </x:c>
      <x:c r="J218" t="str">
        <x:v>54.725</x:v>
      </x:c>
      <x:c r="K218" t="str">
        <x:v>56.0625</x:v>
      </x:c>
      <x:c r="L218" t="str">
        <x:v>57.475</x:v>
      </x:c>
      <x:c r="M218" t="str">
        <x:v>58.8875</x:v>
      </x:c>
      <x:c r="N218" t="str">
        <x:v>60.325</x:v>
      </x:c>
      <x:c r="O218" t="str">
        <x:v>61.8625</x:v>
      </x:c>
      <x:c r="P218" t="str">
        <x:v>63.05</x:v>
      </x:c>
      <x:c r="Q218" t="str"/>
      <x:c r="R218" t="str"/>
      <x:c r="S218" t="str"/>
      <x:c r="T218" t="str"/>
      <x:c r="U218" t="str"/>
      <x:c r="V218" t="str"/>
      <x:c r="W218" t="str"/>
      <x:c r="X218" t="str"/>
      <x:c r="Y218" t="str"/>
      <x:c r="Z218" t="str"/>
      <x:c r="AA218" t="str"/>
      <x:c r="AB218" t="str"/>
      <x:c r="AC218" t="str"/>
      <x:c r="AD218" t="str"/>
      <x:c r="AE218" t="str"/>
      <x:c r="AF218" t="str"/>
      <x:c r="AG218" t="str"/>
      <x:c r="AH218" t="str">
        <x:f>D218&amp;"|"&amp;UPPER(F218)&amp;"|"&amp;LEFT(B218,10)</x:f>
        <x:v>1093|SFMTA|2025-07-01</x:v>
      </x:c>
    </x:row>
    <x:row r="219">
      <x:c r="A219" s="22" t="n">
        <x:v>1013</x:v>
      </x:c>
      <x:c r="B219" t="str">
        <x:v>2026-01-03T00:00:00</x:v>
      </x:c>
      <x:c r="C219" t="str">
        <x:v>1093C</x:v>
      </x:c>
      <x:c r="D219" t="str">
        <x:v>1093</x:v>
      </x:c>
      <x:c r="E219" t="str">
        <x:v>IT Operations Support Admn III</x:v>
      </x:c>
      <x:c r="F219" t="str">
        <x:v>COMMN</x:v>
      </x:c>
      <x:c r="G219" t="str">
        <x:v>51.6125</x:v>
      </x:c>
      <x:c r="H219" t="str">
        <x:v>52.9</x:v>
      </x:c>
      <x:c r="I219" t="str">
        <x:v>54.225</x:v>
      </x:c>
      <x:c r="J219" t="str">
        <x:v>55.55</x:v>
      </x:c>
      <x:c r="K219" t="str">
        <x:v>56.9</x:v>
      </x:c>
      <x:c r="L219" t="str">
        <x:v>58.3375</x:v>
      </x:c>
      <x:c r="M219" t="str">
        <x:v>59.775</x:v>
      </x:c>
      <x:c r="N219" t="str">
        <x:v>61.225</x:v>
      </x:c>
      <x:c r="O219" t="str">
        <x:v>62.7875</x:v>
      </x:c>
      <x:c r="P219" t="str">
        <x:v>64</x:v>
      </x:c>
      <x:c r="Q219" t="str"/>
      <x:c r="R219" t="str"/>
      <x:c r="S219" t="str"/>
      <x:c r="T219" t="str"/>
      <x:c r="U219" t="str"/>
      <x:c r="V219" t="str"/>
      <x:c r="W219" t="str"/>
      <x:c r="X219" t="str"/>
      <x:c r="Y219" t="str"/>
      <x:c r="Z219" t="str"/>
      <x:c r="AA219" t="str"/>
      <x:c r="AB219" t="str"/>
      <x:c r="AC219" t="str"/>
      <x:c r="AD219" t="str"/>
      <x:c r="AE219" t="str"/>
      <x:c r="AF219" t="str"/>
      <x:c r="AG219" t="str"/>
      <x:c r="AH219" t="str">
        <x:f>D219&amp;"|"&amp;UPPER(F219)&amp;"|"&amp;LEFT(B219,10)</x:f>
        <x:v>1093|COMMN|2026-01-03</x:v>
      </x:c>
    </x:row>
    <x:row r="220">
      <x:c r="A220" s="22" t="n">
        <x:v>1025</x:v>
      </x:c>
      <x:c r="B220" t="str">
        <x:v>2026-01-03T00:00:00</x:v>
      </x:c>
      <x:c r="C220" t="str">
        <x:v>1093C</x:v>
      </x:c>
      <x:c r="D220" t="str">
        <x:v>1093</x:v>
      </x:c>
      <x:c r="E220" t="str">
        <x:v>IT Operations Support Admn III</x:v>
      </x:c>
      <x:c r="F220" t="str">
        <x:v>SFMTA</x:v>
      </x:c>
      <x:c r="G220" t="str">
        <x:v>51.6125</x:v>
      </x:c>
      <x:c r="H220" t="str">
        <x:v>52.9</x:v>
      </x:c>
      <x:c r="I220" t="str">
        <x:v>54.225</x:v>
      </x:c>
      <x:c r="J220" t="str">
        <x:v>55.55</x:v>
      </x:c>
      <x:c r="K220" t="str">
        <x:v>56.9</x:v>
      </x:c>
      <x:c r="L220" t="str">
        <x:v>58.3375</x:v>
      </x:c>
      <x:c r="M220" t="str">
        <x:v>59.775</x:v>
      </x:c>
      <x:c r="N220" t="str">
        <x:v>61.225</x:v>
      </x:c>
      <x:c r="O220" t="str">
        <x:v>62.7875</x:v>
      </x:c>
      <x:c r="P220" t="str">
        <x:v>64</x:v>
      </x:c>
      <x:c r="Q220" t="str"/>
      <x:c r="R220" t="str"/>
      <x:c r="S220" t="str"/>
      <x:c r="T220" t="str"/>
      <x:c r="U220" t="str"/>
      <x:c r="V220" t="str"/>
      <x:c r="W220" t="str"/>
      <x:c r="X220" t="str"/>
      <x:c r="Y220" t="str"/>
      <x:c r="Z220" t="str"/>
      <x:c r="AA220" t="str"/>
      <x:c r="AB220" t="str"/>
      <x:c r="AC220" t="str"/>
      <x:c r="AD220" t="str"/>
      <x:c r="AE220" t="str"/>
      <x:c r="AF220" t="str"/>
      <x:c r="AG220" t="str"/>
      <x:c r="AH220" t="str">
        <x:f>D220&amp;"|"&amp;UPPER(F220)&amp;"|"&amp;LEFT(B220,10)</x:f>
        <x:v>1093|SFMTA|2026-01-03</x:v>
      </x:c>
    </x:row>
    <x:row r="221">
      <x:c r="A221" s="22" t="n">
        <x:v>1014</x:v>
      </x:c>
      <x:c r="B221" t="str">
        <x:v>2026-07-01T00:00:00</x:v>
      </x:c>
      <x:c r="C221" t="str">
        <x:v>1093D</x:v>
      </x:c>
      <x:c r="D221" t="str">
        <x:v>1093</x:v>
      </x:c>
      <x:c r="E221" t="str">
        <x:v>IT Operations Support Admn III</x:v>
      </x:c>
      <x:c r="F221" t="str">
        <x:v>COMMN</x:v>
      </x:c>
      <x:c r="G221" t="str">
        <x:v>52.65</x:v>
      </x:c>
      <x:c r="H221" t="str">
        <x:v>53.9625</x:v>
      </x:c>
      <x:c r="I221" t="str">
        <x:v>55.3125</x:v>
      </x:c>
      <x:c r="J221" t="str">
        <x:v>56.6625</x:v>
      </x:c>
      <x:c r="K221" t="str">
        <x:v>58.0375</x:v>
      </x:c>
      <x:c r="L221" t="str">
        <x:v>59.5</x:v>
      </x:c>
      <x:c r="M221" t="str">
        <x:v>60.975</x:v>
      </x:c>
      <x:c r="N221" t="str">
        <x:v>62.45</x:v>
      </x:c>
      <x:c r="O221" t="str">
        <x:v>64.0375</x:v>
      </x:c>
      <x:c r="P221" t="str">
        <x:v>65.275</x:v>
      </x:c>
      <x:c r="Q221" t="str"/>
      <x:c r="R221" t="str"/>
      <x:c r="S221" t="str"/>
      <x:c r="T221" t="str"/>
      <x:c r="U221" t="str"/>
      <x:c r="V221" t="str"/>
      <x:c r="W221" t="str"/>
      <x:c r="X221" t="str"/>
      <x:c r="Y221" t="str"/>
      <x:c r="Z221" t="str"/>
      <x:c r="AA221" t="str"/>
      <x:c r="AB221" t="str"/>
      <x:c r="AC221" t="str"/>
      <x:c r="AD221" t="str"/>
      <x:c r="AE221" t="str"/>
      <x:c r="AF221" t="str"/>
      <x:c r="AG221" t="str"/>
      <x:c r="AH221" t="str">
        <x:f>D221&amp;"|"&amp;UPPER(F221)&amp;"|"&amp;LEFT(B221,10)</x:f>
        <x:v>1093|COMMN|2026-07-01</x:v>
      </x:c>
    </x:row>
    <x:row r="222">
      <x:c r="A222" s="22" t="n">
        <x:v>1026</x:v>
      </x:c>
      <x:c r="B222" t="str">
        <x:v>2026-07-01T00:00:00</x:v>
      </x:c>
      <x:c r="C222" t="str">
        <x:v>1093D</x:v>
      </x:c>
      <x:c r="D222" t="str">
        <x:v>1093</x:v>
      </x:c>
      <x:c r="E222" t="str">
        <x:v>IT Operations Support Admn III</x:v>
      </x:c>
      <x:c r="F222" t="str">
        <x:v>SFMTA</x:v>
      </x:c>
      <x:c r="G222" t="str">
        <x:v>52.65</x:v>
      </x:c>
      <x:c r="H222" t="str">
        <x:v>53.9625</x:v>
      </x:c>
      <x:c r="I222" t="str">
        <x:v>55.3125</x:v>
      </x:c>
      <x:c r="J222" t="str">
        <x:v>56.6625</x:v>
      </x:c>
      <x:c r="K222" t="str">
        <x:v>58.0375</x:v>
      </x:c>
      <x:c r="L222" t="str">
        <x:v>59.5</x:v>
      </x:c>
      <x:c r="M222" t="str">
        <x:v>60.975</x:v>
      </x:c>
      <x:c r="N222" t="str">
        <x:v>62.45</x:v>
      </x:c>
      <x:c r="O222" t="str">
        <x:v>64.0375</x:v>
      </x:c>
      <x:c r="P222" t="str">
        <x:v>65.275</x:v>
      </x:c>
      <x:c r="Q222" t="str"/>
      <x:c r="R222" t="str"/>
      <x:c r="S222" t="str"/>
      <x:c r="T222" t="str"/>
      <x:c r="U222" t="str"/>
      <x:c r="V222" t="str"/>
      <x:c r="W222" t="str"/>
      <x:c r="X222" t="str"/>
      <x:c r="Y222" t="str"/>
      <x:c r="Z222" t="str"/>
      <x:c r="AA222" t="str"/>
      <x:c r="AB222" t="str"/>
      <x:c r="AC222" t="str"/>
      <x:c r="AD222" t="str"/>
      <x:c r="AE222" t="str"/>
      <x:c r="AF222" t="str"/>
      <x:c r="AG222" t="str"/>
      <x:c r="AH222" t="str">
        <x:f>D222&amp;"|"&amp;UPPER(F222)&amp;"|"&amp;LEFT(B222,10)</x:f>
        <x:v>1093|SFMTA|2026-07-01</x:v>
      </x:c>
    </x:row>
    <x:row r="223">
      <x:c r="A223" s="22" t="n">
        <x:v>1033</x:v>
      </x:c>
      <x:c r="B223" t="str">
        <x:v>2024-01-06T00:00:00</x:v>
      </x:c>
      <x:c r="C223" t="str">
        <x:v>1094Y</x:v>
      </x:c>
      <x:c r="D223" t="str">
        <x:v>1094</x:v>
      </x:c>
      <x:c r="E223" t="str">
        <x:v>IT Operations Support Administrator IV</x:v>
      </x:c>
      <x:c r="F223" t="str">
        <x:v>COMMN</x:v>
      </x:c>
      <x:c r="G223" t="str">
        <x:v>58.275</x:v>
      </x:c>
      <x:c r="H223" t="str">
        <x:v>59.7</x:v>
      </x:c>
      <x:c r="I223" t="str">
        <x:v>61.1875</x:v>
      </x:c>
      <x:c r="J223" t="str">
        <x:v>62.6875</x:v>
      </x:c>
      <x:c r="K223" t="str">
        <x:v>64.2375</x:v>
      </x:c>
      <x:c r="L223" t="str">
        <x:v>65.825</x:v>
      </x:c>
      <x:c r="M223" t="str">
        <x:v>67.4625</x:v>
      </x:c>
      <x:c r="N223" t="str">
        <x:v>69.1</x:v>
      </x:c>
      <x:c r="O223" t="str">
        <x:v>70.825</x:v>
      </x:c>
      <x:c r="P223" t="str">
        <x:v>72.2125</x:v>
      </x:c>
      <x:c r="Q223" t="str"/>
      <x:c r="R223" t="str"/>
      <x:c r="S223" t="str"/>
      <x:c r="T223" t="str"/>
      <x:c r="U223" t="str"/>
      <x:c r="V223" t="str"/>
      <x:c r="W223" t="str"/>
      <x:c r="X223" t="str"/>
      <x:c r="Y223" t="str"/>
      <x:c r="Z223" t="str"/>
      <x:c r="AA223" t="str"/>
      <x:c r="AB223" t="str"/>
      <x:c r="AC223" t="str"/>
      <x:c r="AD223" t="str"/>
      <x:c r="AE223" t="str"/>
      <x:c r="AF223" t="str"/>
      <x:c r="AG223" t="str"/>
      <x:c r="AH223" t="str">
        <x:f>D223&amp;"|"&amp;UPPER(F223)&amp;"|"&amp;LEFT(B223,10)</x:f>
        <x:v>1094|COMMN|2024-01-06</x:v>
      </x:c>
    </x:row>
    <x:row r="224">
      <x:c r="A224" s="22" t="n">
        <x:v>1045</x:v>
      </x:c>
      <x:c r="B224" t="str">
        <x:v>2024-01-06T00:00:00</x:v>
      </x:c>
      <x:c r="C224" t="str">
        <x:v>1094Y</x:v>
      </x:c>
      <x:c r="D224" t="str">
        <x:v>1094</x:v>
      </x:c>
      <x:c r="E224" t="str">
        <x:v>IT Operations Support Administrator IV</x:v>
      </x:c>
      <x:c r="F224" t="str">
        <x:v>SFMTA</x:v>
      </x:c>
      <x:c r="G224" t="str">
        <x:v>58.275</x:v>
      </x:c>
      <x:c r="H224" t="str">
        <x:v>59.7</x:v>
      </x:c>
      <x:c r="I224" t="str">
        <x:v>61.1875</x:v>
      </x:c>
      <x:c r="J224" t="str">
        <x:v>62.6875</x:v>
      </x:c>
      <x:c r="K224" t="str">
        <x:v>64.2375</x:v>
      </x:c>
      <x:c r="L224" t="str">
        <x:v>65.825</x:v>
      </x:c>
      <x:c r="M224" t="str">
        <x:v>67.4625</x:v>
      </x:c>
      <x:c r="N224" t="str">
        <x:v>69.1</x:v>
      </x:c>
      <x:c r="O224" t="str">
        <x:v>70.825</x:v>
      </x:c>
      <x:c r="P224" t="str">
        <x:v>72.2125</x:v>
      </x:c>
      <x:c r="Q224" t="str"/>
      <x:c r="R224" t="str"/>
      <x:c r="S224" t="str"/>
      <x:c r="T224" t="str"/>
      <x:c r="U224" t="str"/>
      <x:c r="V224" t="str"/>
      <x:c r="W224" t="str"/>
      <x:c r="X224" t="str"/>
      <x:c r="Y224" t="str"/>
      <x:c r="Z224" t="str"/>
      <x:c r="AA224" t="str"/>
      <x:c r="AB224" t="str"/>
      <x:c r="AC224" t="str"/>
      <x:c r="AD224" t="str"/>
      <x:c r="AE224" t="str"/>
      <x:c r="AF224" t="str"/>
      <x:c r="AG224" t="str"/>
      <x:c r="AH224" t="str">
        <x:f>D224&amp;"|"&amp;UPPER(F224)&amp;"|"&amp;LEFT(B224,10)</x:f>
        <x:v>1094|SFMTA|2024-01-06</x:v>
      </x:c>
    </x:row>
    <x:row r="225">
      <x:c r="A225" s="22" t="n">
        <x:v>1034</x:v>
      </x:c>
      <x:c r="B225" t="str">
        <x:v>2024-07-01T00:00:00</x:v>
      </x:c>
      <x:c r="C225" t="str">
        <x:v>1094Z</x:v>
      </x:c>
      <x:c r="D225" t="str">
        <x:v>1094</x:v>
      </x:c>
      <x:c r="E225" t="str">
        <x:v>IT Operations Support Administrator IV</x:v>
      </x:c>
      <x:c r="F225" t="str">
        <x:v>COMMN</x:v>
      </x:c>
      <x:c r="G225" t="str">
        <x:v>59.7375</x:v>
      </x:c>
      <x:c r="H225" t="str">
        <x:v>61.1875</x:v>
      </x:c>
      <x:c r="I225" t="str">
        <x:v>62.7125</x:v>
      </x:c>
      <x:c r="J225" t="str">
        <x:v>64.25</x:v>
      </x:c>
      <x:c r="K225" t="str">
        <x:v>65.8375</x:v>
      </x:c>
      <x:c r="L225" t="str">
        <x:v>67.475</x:v>
      </x:c>
      <x:c r="M225" t="str">
        <x:v>69.15</x:v>
      </x:c>
      <x:c r="N225" t="str">
        <x:v>70.825</x:v>
      </x:c>
      <x:c r="O225" t="str">
        <x:v>72.6</x:v>
      </x:c>
      <x:c r="P225" t="str">
        <x:v>74.0125</x:v>
      </x:c>
      <x:c r="Q225" t="str"/>
      <x:c r="R225" t="str"/>
      <x:c r="S225" t="str"/>
      <x:c r="T225" t="str"/>
      <x:c r="U225" t="str"/>
      <x:c r="V225" t="str"/>
      <x:c r="W225" t="str"/>
      <x:c r="X225" t="str"/>
      <x:c r="Y225" t="str"/>
      <x:c r="Z225" t="str"/>
      <x:c r="AA225" t="str"/>
      <x:c r="AB225" t="str"/>
      <x:c r="AC225" t="str"/>
      <x:c r="AD225" t="str"/>
      <x:c r="AE225" t="str"/>
      <x:c r="AF225" t="str"/>
      <x:c r="AG225" t="str"/>
      <x:c r="AH225" t="str">
        <x:f>D225&amp;"|"&amp;UPPER(F225)&amp;"|"&amp;LEFT(B225,10)</x:f>
        <x:v>1094|COMMN|2024-07-01</x:v>
      </x:c>
    </x:row>
    <x:row r="226">
      <x:c r="A226" s="22" t="n">
        <x:v>1046</x:v>
      </x:c>
      <x:c r="B226" t="str">
        <x:v>2024-07-01T00:00:00</x:v>
      </x:c>
      <x:c r="C226" t="str">
        <x:v>1094Z</x:v>
      </x:c>
      <x:c r="D226" t="str">
        <x:v>1094</x:v>
      </x:c>
      <x:c r="E226" t="str">
        <x:v>IT Operations Support Administrator IV</x:v>
      </x:c>
      <x:c r="F226" t="str">
        <x:v>SFMTA</x:v>
      </x:c>
      <x:c r="G226" t="str">
        <x:v>59.7375</x:v>
      </x:c>
      <x:c r="H226" t="str">
        <x:v>61.1875</x:v>
      </x:c>
      <x:c r="I226" t="str">
        <x:v>62.7125</x:v>
      </x:c>
      <x:c r="J226" t="str">
        <x:v>64.25</x:v>
      </x:c>
      <x:c r="K226" t="str">
        <x:v>65.8375</x:v>
      </x:c>
      <x:c r="L226" t="str">
        <x:v>67.475</x:v>
      </x:c>
      <x:c r="M226" t="str">
        <x:v>69.15</x:v>
      </x:c>
      <x:c r="N226" t="str">
        <x:v>70.825</x:v>
      </x:c>
      <x:c r="O226" t="str">
        <x:v>72.6</x:v>
      </x:c>
      <x:c r="P226" t="str">
        <x:v>74.0125</x:v>
      </x:c>
      <x:c r="Q226" t="str"/>
      <x:c r="R226" t="str"/>
      <x:c r="S226" t="str"/>
      <x:c r="T226" t="str"/>
      <x:c r="U226" t="str"/>
      <x:c r="V226" t="str"/>
      <x:c r="W226" t="str"/>
      <x:c r="X226" t="str"/>
      <x:c r="Y226" t="str"/>
      <x:c r="Z226" t="str"/>
      <x:c r="AA226" t="str"/>
      <x:c r="AB226" t="str"/>
      <x:c r="AC226" t="str"/>
      <x:c r="AD226" t="str"/>
      <x:c r="AE226" t="str"/>
      <x:c r="AF226" t="str"/>
      <x:c r="AG226" t="str"/>
      <x:c r="AH226" t="str">
        <x:f>D226&amp;"|"&amp;UPPER(F226)&amp;"|"&amp;LEFT(B226,10)</x:f>
        <x:v>1094|SFMTA|2024-07-01</x:v>
      </x:c>
    </x:row>
    <x:row r="227">
      <x:c r="A227" s="22" t="n">
        <x:v>1035</x:v>
      </x:c>
      <x:c r="B227" t="str">
        <x:v>2025-01-04T00:00:00</x:v>
      </x:c>
      <x:c r="C227" t="str">
        <x:v>1094A</x:v>
      </x:c>
      <x:c r="D227" t="str">
        <x:v>1094</x:v>
      </x:c>
      <x:c r="E227" t="str">
        <x:v>IT Operations Support Administrator IV</x:v>
      </x:c>
      <x:c r="F227" t="str">
        <x:v>COMMN</x:v>
      </x:c>
      <x:c r="G227" t="str">
        <x:v>60.6375</x:v>
      </x:c>
      <x:c r="H227" t="str">
        <x:v>62.1</x:v>
      </x:c>
      <x:c r="I227" t="str">
        <x:v>63.65</x:v>
      </x:c>
      <x:c r="J227" t="str">
        <x:v>65.2125</x:v>
      </x:c>
      <x:c r="K227" t="str">
        <x:v>66.825</x:v>
      </x:c>
      <x:c r="L227" t="str">
        <x:v>68.4875</x:v>
      </x:c>
      <x:c r="M227" t="str">
        <x:v>70.1875</x:v>
      </x:c>
      <x:c r="N227" t="str">
        <x:v>71.8875</x:v>
      </x:c>
      <x:c r="O227" t="str">
        <x:v>73.6875</x:v>
      </x:c>
      <x:c r="P227" t="str">
        <x:v>75.125</x:v>
      </x:c>
      <x:c r="Q227" t="str"/>
      <x:c r="R227" t="str"/>
      <x:c r="S227" t="str"/>
      <x:c r="T227" t="str"/>
      <x:c r="U227" t="str"/>
      <x:c r="V227" t="str"/>
      <x:c r="W227" t="str"/>
      <x:c r="X227" t="str"/>
      <x:c r="Y227" t="str"/>
      <x:c r="Z227" t="str"/>
      <x:c r="AA227" t="str"/>
      <x:c r="AB227" t="str"/>
      <x:c r="AC227" t="str"/>
      <x:c r="AD227" t="str"/>
      <x:c r="AE227" t="str"/>
      <x:c r="AF227" t="str"/>
      <x:c r="AG227" t="str"/>
      <x:c r="AH227" t="str">
        <x:f>D227&amp;"|"&amp;UPPER(F227)&amp;"|"&amp;LEFT(B227,10)</x:f>
        <x:v>1094|COMMN|2025-01-04</x:v>
      </x:c>
    </x:row>
    <x:row r="228">
      <x:c r="A228" s="22" t="n">
        <x:v>1047</x:v>
      </x:c>
      <x:c r="B228" t="str">
        <x:v>2025-01-04T00:00:00</x:v>
      </x:c>
      <x:c r="C228" t="str">
        <x:v>1094A</x:v>
      </x:c>
      <x:c r="D228" t="str">
        <x:v>1094</x:v>
      </x:c>
      <x:c r="E228" t="str">
        <x:v>IT Operations Support Administrator IV</x:v>
      </x:c>
      <x:c r="F228" t="str">
        <x:v>SFMTA</x:v>
      </x:c>
      <x:c r="G228" t="str">
        <x:v>60.6375</x:v>
      </x:c>
      <x:c r="H228" t="str">
        <x:v>62.1</x:v>
      </x:c>
      <x:c r="I228" t="str">
        <x:v>63.65</x:v>
      </x:c>
      <x:c r="J228" t="str">
        <x:v>65.2125</x:v>
      </x:c>
      <x:c r="K228" t="str">
        <x:v>66.825</x:v>
      </x:c>
      <x:c r="L228" t="str">
        <x:v>68.4875</x:v>
      </x:c>
      <x:c r="M228" t="str">
        <x:v>70.1875</x:v>
      </x:c>
      <x:c r="N228" t="str">
        <x:v>71.8875</x:v>
      </x:c>
      <x:c r="O228" t="str">
        <x:v>73.6875</x:v>
      </x:c>
      <x:c r="P228" t="str">
        <x:v>75.125</x:v>
      </x:c>
      <x:c r="Q228" t="str"/>
      <x:c r="R228" t="str"/>
      <x:c r="S228" t="str"/>
      <x:c r="T228" t="str"/>
      <x:c r="U228" t="str"/>
      <x:c r="V228" t="str"/>
      <x:c r="W228" t="str"/>
      <x:c r="X228" t="str"/>
      <x:c r="Y228" t="str"/>
      <x:c r="Z228" t="str"/>
      <x:c r="AA228" t="str"/>
      <x:c r="AB228" t="str"/>
      <x:c r="AC228" t="str"/>
      <x:c r="AD228" t="str"/>
      <x:c r="AE228" t="str"/>
      <x:c r="AF228" t="str"/>
      <x:c r="AG228" t="str"/>
      <x:c r="AH228" t="str">
        <x:f>D228&amp;"|"&amp;UPPER(F228)&amp;"|"&amp;LEFT(B228,10)</x:f>
        <x:v>1094|SFMTA|2025-01-04</x:v>
      </x:c>
    </x:row>
    <x:row r="229">
      <x:c r="A229" s="22" t="n">
        <x:v>1036</x:v>
      </x:c>
      <x:c r="B229" t="str">
        <x:v>2025-07-01T00:00:00</x:v>
      </x:c>
      <x:c r="C229" t="str">
        <x:v>1094B</x:v>
      </x:c>
      <x:c r="D229" t="str">
        <x:v>1094</x:v>
      </x:c>
      <x:c r="E229" t="str">
        <x:v>IT Operations Support Admin IV</x:v>
      </x:c>
      <x:c r="F229" t="str">
        <x:v>COMMN</x:v>
      </x:c>
      <x:c r="G229" t="str">
        <x:v>61.8625</x:v>
      </x:c>
      <x:c r="H229" t="str">
        <x:v>63.35</x:v>
      </x:c>
      <x:c r="I229" t="str">
        <x:v>64.925</x:v>
      </x:c>
      <x:c r="J229" t="str">
        <x:v>66.525</x:v>
      </x:c>
      <x:c r="K229" t="str">
        <x:v>68.1625</x:v>
      </x:c>
      <x:c r="L229" t="str">
        <x:v>69.8625</x:v>
      </x:c>
      <x:c r="M229" t="str">
        <x:v>71.6</x:v>
      </x:c>
      <x:c r="N229" t="str">
        <x:v>73.3375</x:v>
      </x:c>
      <x:c r="O229" t="str">
        <x:v>75.1625</x:v>
      </x:c>
      <x:c r="P229" t="str">
        <x:v>76.6375</x:v>
      </x:c>
      <x:c r="Q229" t="str"/>
      <x:c r="R229" t="str"/>
      <x:c r="S229" t="str"/>
      <x:c r="T229" t="str"/>
      <x:c r="U229" t="str"/>
      <x:c r="V229" t="str"/>
      <x:c r="W229" t="str"/>
      <x:c r="X229" t="str"/>
      <x:c r="Y229" t="str"/>
      <x:c r="Z229" t="str"/>
      <x:c r="AA229" t="str"/>
      <x:c r="AB229" t="str"/>
      <x:c r="AC229" t="str"/>
      <x:c r="AD229" t="str"/>
      <x:c r="AE229" t="str"/>
      <x:c r="AF229" t="str"/>
      <x:c r="AG229" t="str"/>
      <x:c r="AH229" t="str">
        <x:f>D229&amp;"|"&amp;UPPER(F229)&amp;"|"&amp;LEFT(B229,10)</x:f>
        <x:v>1094|COMMN|2025-07-01</x:v>
      </x:c>
    </x:row>
    <x:row r="230">
      <x:c r="A230" s="22" t="n">
        <x:v>1048</x:v>
      </x:c>
      <x:c r="B230" t="str">
        <x:v>2025-07-01T00:00:00</x:v>
      </x:c>
      <x:c r="C230" t="str">
        <x:v>1094B</x:v>
      </x:c>
      <x:c r="D230" t="str">
        <x:v>1094</x:v>
      </x:c>
      <x:c r="E230" t="str">
        <x:v>IT Operations Support Admin IV</x:v>
      </x:c>
      <x:c r="F230" t="str">
        <x:v>SFMTA</x:v>
      </x:c>
      <x:c r="G230" t="str">
        <x:v>61.8625</x:v>
      </x:c>
      <x:c r="H230" t="str">
        <x:v>63.35</x:v>
      </x:c>
      <x:c r="I230" t="str">
        <x:v>64.925</x:v>
      </x:c>
      <x:c r="J230" t="str">
        <x:v>66.525</x:v>
      </x:c>
      <x:c r="K230" t="str">
        <x:v>68.1625</x:v>
      </x:c>
      <x:c r="L230" t="str">
        <x:v>69.8625</x:v>
      </x:c>
      <x:c r="M230" t="str">
        <x:v>71.6</x:v>
      </x:c>
      <x:c r="N230" t="str">
        <x:v>73.3375</x:v>
      </x:c>
      <x:c r="O230" t="str">
        <x:v>75.1625</x:v>
      </x:c>
      <x:c r="P230" t="str">
        <x:v>76.6375</x:v>
      </x:c>
      <x:c r="Q230" t="str"/>
      <x:c r="R230" t="str"/>
      <x:c r="S230" t="str"/>
      <x:c r="T230" t="str"/>
      <x:c r="U230" t="str"/>
      <x:c r="V230" t="str"/>
      <x:c r="W230" t="str"/>
      <x:c r="X230" t="str"/>
      <x:c r="Y230" t="str"/>
      <x:c r="Z230" t="str"/>
      <x:c r="AA230" t="str"/>
      <x:c r="AB230" t="str"/>
      <x:c r="AC230" t="str"/>
      <x:c r="AD230" t="str"/>
      <x:c r="AE230" t="str"/>
      <x:c r="AF230" t="str"/>
      <x:c r="AG230" t="str"/>
      <x:c r="AH230" t="str">
        <x:f>D230&amp;"|"&amp;UPPER(F230)&amp;"|"&amp;LEFT(B230,10)</x:f>
        <x:v>1094|SFMTA|2025-07-01</x:v>
      </x:c>
    </x:row>
    <x:row r="231">
      <x:c r="A231" s="22" t="n">
        <x:v>1037</x:v>
      </x:c>
      <x:c r="B231" t="str">
        <x:v>2026-01-03T00:00:00</x:v>
      </x:c>
      <x:c r="C231" t="str">
        <x:v>1094C</x:v>
      </x:c>
      <x:c r="D231" t="str">
        <x:v>1094</x:v>
      </x:c>
      <x:c r="E231" t="str">
        <x:v>IT Operations Support Admin IV</x:v>
      </x:c>
      <x:c r="F231" t="str">
        <x:v>COMMN</x:v>
      </x:c>
      <x:c r="G231" t="str">
        <x:v>62.7875</x:v>
      </x:c>
      <x:c r="H231" t="str">
        <x:v>64.3</x:v>
      </x:c>
      <x:c r="I231" t="str">
        <x:v>65.9</x:v>
      </x:c>
      <x:c r="J231" t="str">
        <x:v>67.525</x:v>
      </x:c>
      <x:c r="K231" t="str">
        <x:v>69.1875</x:v>
      </x:c>
      <x:c r="L231" t="str">
        <x:v>70.9125</x:v>
      </x:c>
      <x:c r="M231" t="str">
        <x:v>72.675</x:v>
      </x:c>
      <x:c r="N231" t="str">
        <x:v>74.4375</x:v>
      </x:c>
      <x:c r="O231" t="str">
        <x:v>76.2875</x:v>
      </x:c>
      <x:c r="P231" t="str">
        <x:v>77.7875</x:v>
      </x:c>
      <x:c r="Q231" t="str"/>
      <x:c r="R231" t="str"/>
      <x:c r="S231" t="str"/>
      <x:c r="T231" t="str"/>
      <x:c r="U231" t="str"/>
      <x:c r="V231" t="str"/>
      <x:c r="W231" t="str"/>
      <x:c r="X231" t="str"/>
      <x:c r="Y231" t="str"/>
      <x:c r="Z231" t="str"/>
      <x:c r="AA231" t="str"/>
      <x:c r="AB231" t="str"/>
      <x:c r="AC231" t="str"/>
      <x:c r="AD231" t="str"/>
      <x:c r="AE231" t="str"/>
      <x:c r="AF231" t="str"/>
      <x:c r="AG231" t="str"/>
      <x:c r="AH231" t="str">
        <x:f>D231&amp;"|"&amp;UPPER(F231)&amp;"|"&amp;LEFT(B231,10)</x:f>
        <x:v>1094|COMMN|2026-01-03</x:v>
      </x:c>
    </x:row>
    <x:row r="232">
      <x:c r="A232" s="22" t="n">
        <x:v>1049</x:v>
      </x:c>
      <x:c r="B232" t="str">
        <x:v>2026-01-03T00:00:00</x:v>
      </x:c>
      <x:c r="C232" t="str">
        <x:v>1094C</x:v>
      </x:c>
      <x:c r="D232" t="str">
        <x:v>1094</x:v>
      </x:c>
      <x:c r="E232" t="str">
        <x:v>IT Operations Support Admin IV</x:v>
      </x:c>
      <x:c r="F232" t="str">
        <x:v>SFMTA</x:v>
      </x:c>
      <x:c r="G232" t="str">
        <x:v>62.7875</x:v>
      </x:c>
      <x:c r="H232" t="str">
        <x:v>64.3</x:v>
      </x:c>
      <x:c r="I232" t="str">
        <x:v>65.9</x:v>
      </x:c>
      <x:c r="J232" t="str">
        <x:v>67.525</x:v>
      </x:c>
      <x:c r="K232" t="str">
        <x:v>69.1875</x:v>
      </x:c>
      <x:c r="L232" t="str">
        <x:v>70.9125</x:v>
      </x:c>
      <x:c r="M232" t="str">
        <x:v>72.675</x:v>
      </x:c>
      <x:c r="N232" t="str">
        <x:v>74.4375</x:v>
      </x:c>
      <x:c r="O232" t="str">
        <x:v>76.2875</x:v>
      </x:c>
      <x:c r="P232" t="str">
        <x:v>77.7875</x:v>
      </x:c>
      <x:c r="Q232" t="str"/>
      <x:c r="R232" t="str"/>
      <x:c r="S232" t="str"/>
      <x:c r="T232" t="str"/>
      <x:c r="U232" t="str"/>
      <x:c r="V232" t="str"/>
      <x:c r="W232" t="str"/>
      <x:c r="X232" t="str"/>
      <x:c r="Y232" t="str"/>
      <x:c r="Z232" t="str"/>
      <x:c r="AA232" t="str"/>
      <x:c r="AB232" t="str"/>
      <x:c r="AC232" t="str"/>
      <x:c r="AD232" t="str"/>
      <x:c r="AE232" t="str"/>
      <x:c r="AF232" t="str"/>
      <x:c r="AG232" t="str"/>
      <x:c r="AH232" t="str">
        <x:f>D232&amp;"|"&amp;UPPER(F232)&amp;"|"&amp;LEFT(B232,10)</x:f>
        <x:v>1094|SFMTA|2026-01-03</x:v>
      </x:c>
    </x:row>
    <x:row r="233">
      <x:c r="A233" s="22" t="n">
        <x:v>1038</x:v>
      </x:c>
      <x:c r="B233" t="str">
        <x:v>2026-07-01T00:00:00</x:v>
      </x:c>
      <x:c r="C233" t="str">
        <x:v>1094D</x:v>
      </x:c>
      <x:c r="D233" t="str">
        <x:v>1094</x:v>
      </x:c>
      <x:c r="E233" t="str">
        <x:v>IT Operations Support Admin IV</x:v>
      </x:c>
      <x:c r="F233" t="str">
        <x:v>COMMN</x:v>
      </x:c>
      <x:c r="G233" t="str">
        <x:v>64.0375</x:v>
      </x:c>
      <x:c r="H233" t="str">
        <x:v>65.5875</x:v>
      </x:c>
      <x:c r="I233" t="str">
        <x:v>67.2125</x:v>
      </x:c>
      <x:c r="J233" t="str">
        <x:v>68.875</x:v>
      </x:c>
      <x:c r="K233" t="str">
        <x:v>70.575</x:v>
      </x:c>
      <x:c r="L233" t="str">
        <x:v>72.325</x:v>
      </x:c>
      <x:c r="M233" t="str">
        <x:v>74.125</x:v>
      </x:c>
      <x:c r="N233" t="str">
        <x:v>75.925</x:v>
      </x:c>
      <x:c r="O233" t="str">
        <x:v>77.8125</x:v>
      </x:c>
      <x:c r="P233" t="str">
        <x:v>79.3375</x:v>
      </x:c>
      <x:c r="Q233" t="str"/>
      <x:c r="R233" t="str"/>
      <x:c r="S233" t="str"/>
      <x:c r="T233" t="str"/>
      <x:c r="U233" t="str"/>
      <x:c r="V233" t="str"/>
      <x:c r="W233" t="str"/>
      <x:c r="X233" t="str"/>
      <x:c r="Y233" t="str"/>
      <x:c r="Z233" t="str"/>
      <x:c r="AA233" t="str"/>
      <x:c r="AB233" t="str"/>
      <x:c r="AC233" t="str"/>
      <x:c r="AD233" t="str"/>
      <x:c r="AE233" t="str"/>
      <x:c r="AF233" t="str"/>
      <x:c r="AG233" t="str"/>
      <x:c r="AH233" t="str">
        <x:f>D233&amp;"|"&amp;UPPER(F233)&amp;"|"&amp;LEFT(B233,10)</x:f>
        <x:v>1094|COMMN|2026-07-01</x:v>
      </x:c>
    </x:row>
    <x:row r="234">
      <x:c r="A234" s="22" t="n">
        <x:v>1050</x:v>
      </x:c>
      <x:c r="B234" t="str">
        <x:v>2026-07-01T00:00:00</x:v>
      </x:c>
      <x:c r="C234" t="str">
        <x:v>1094D</x:v>
      </x:c>
      <x:c r="D234" t="str">
        <x:v>1094</x:v>
      </x:c>
      <x:c r="E234" t="str">
        <x:v>IT Operations Support Admin IV</x:v>
      </x:c>
      <x:c r="F234" t="str">
        <x:v>SFMTA</x:v>
      </x:c>
      <x:c r="G234" t="str">
        <x:v>64.0375</x:v>
      </x:c>
      <x:c r="H234" t="str">
        <x:v>65.5875</x:v>
      </x:c>
      <x:c r="I234" t="str">
        <x:v>67.2125</x:v>
      </x:c>
      <x:c r="J234" t="str">
        <x:v>68.875</x:v>
      </x:c>
      <x:c r="K234" t="str">
        <x:v>70.575</x:v>
      </x:c>
      <x:c r="L234" t="str">
        <x:v>72.325</x:v>
      </x:c>
      <x:c r="M234" t="str">
        <x:v>74.125</x:v>
      </x:c>
      <x:c r="N234" t="str">
        <x:v>75.925</x:v>
      </x:c>
      <x:c r="O234" t="str">
        <x:v>77.8125</x:v>
      </x:c>
      <x:c r="P234" t="str">
        <x:v>79.3375</x:v>
      </x:c>
      <x:c r="Q234" t="str"/>
      <x:c r="R234" t="str"/>
      <x:c r="S234" t="str"/>
      <x:c r="T234" t="str"/>
      <x:c r="U234" t="str"/>
      <x:c r="V234" t="str"/>
      <x:c r="W234" t="str"/>
      <x:c r="X234" t="str"/>
      <x:c r="Y234" t="str"/>
      <x:c r="Z234" t="str"/>
      <x:c r="AA234" t="str"/>
      <x:c r="AB234" t="str"/>
      <x:c r="AC234" t="str"/>
      <x:c r="AD234" t="str"/>
      <x:c r="AE234" t="str"/>
      <x:c r="AF234" t="str"/>
      <x:c r="AG234" t="str"/>
      <x:c r="AH234" t="str">
        <x:f>D234&amp;"|"&amp;UPPER(F234)&amp;"|"&amp;LEFT(B234,10)</x:f>
        <x:v>1094|SFMTA|2026-07-01</x:v>
      </x:c>
    </x:row>
    <x:row r="235">
      <x:c r="A235" s="22" t="n">
        <x:v>1057</x:v>
      </x:c>
      <x:c r="B235" t="str">
        <x:v>2024-01-06T00:00:00</x:v>
      </x:c>
      <x:c r="C235" t="str">
        <x:v>1095Y</x:v>
      </x:c>
      <x:c r="D235" t="str">
        <x:v>1095</x:v>
      </x:c>
      <x:c r="E235" t="str">
        <x:v>IT Operations Support Administrator V</x:v>
      </x:c>
      <x:c r="F235" t="str">
        <x:v>COMMN</x:v>
      </x:c>
      <x:c r="G235" t="str">
        <x:v>62.6875</x:v>
      </x:c>
      <x:c r="H235" t="str">
        <x:v>64.2375</x:v>
      </x:c>
      <x:c r="I235" t="str">
        <x:v>65.825</x:v>
      </x:c>
      <x:c r="J235" t="str">
        <x:v>67.4625</x:v>
      </x:c>
      <x:c r="K235" t="str">
        <x:v>69.1</x:v>
      </x:c>
      <x:c r="L235" t="str">
        <x:v>70.825</x:v>
      </x:c>
      <x:c r="M235" t="str">
        <x:v>72.5375</x:v>
      </x:c>
      <x:c r="N235" t="str">
        <x:v>74.375</x:v>
      </x:c>
      <x:c r="O235" t="str">
        <x:v>76.175</x:v>
      </x:c>
      <x:c r="P235" t="str">
        <x:v>77.7125</x:v>
      </x:c>
      <x:c r="Q235" t="str"/>
      <x:c r="R235" t="str"/>
      <x:c r="S235" t="str"/>
      <x:c r="T235" t="str"/>
      <x:c r="U235" t="str"/>
      <x:c r="V235" t="str"/>
      <x:c r="W235" t="str"/>
      <x:c r="X235" t="str"/>
      <x:c r="Y235" t="str"/>
      <x:c r="Z235" t="str"/>
      <x:c r="AA235" t="str"/>
      <x:c r="AB235" t="str"/>
      <x:c r="AC235" t="str"/>
      <x:c r="AD235" t="str"/>
      <x:c r="AE235" t="str"/>
      <x:c r="AF235" t="str"/>
      <x:c r="AG235" t="str"/>
      <x:c r="AH235" t="str">
        <x:f>D235&amp;"|"&amp;UPPER(F235)&amp;"|"&amp;LEFT(B235,10)</x:f>
        <x:v>1095|COMMN|2024-01-06</x:v>
      </x:c>
    </x:row>
    <x:row r="236">
      <x:c r="A236" s="22" t="n">
        <x:v>1069</x:v>
      </x:c>
      <x:c r="B236" t="str">
        <x:v>2024-01-06T00:00:00</x:v>
      </x:c>
      <x:c r="C236" t="str">
        <x:v>1095Y</x:v>
      </x:c>
      <x:c r="D236" t="str">
        <x:v>1095</x:v>
      </x:c>
      <x:c r="E236" t="str">
        <x:v>IT Operations Support Administrator V</x:v>
      </x:c>
      <x:c r="F236" t="str">
        <x:v>SFMTA</x:v>
      </x:c>
      <x:c r="G236" t="str">
        <x:v>62.6875</x:v>
      </x:c>
      <x:c r="H236" t="str">
        <x:v>64.2375</x:v>
      </x:c>
      <x:c r="I236" t="str">
        <x:v>65.825</x:v>
      </x:c>
      <x:c r="J236" t="str">
        <x:v>67.4625</x:v>
      </x:c>
      <x:c r="K236" t="str">
        <x:v>69.1</x:v>
      </x:c>
      <x:c r="L236" t="str">
        <x:v>70.825</x:v>
      </x:c>
      <x:c r="M236" t="str">
        <x:v>72.5375</x:v>
      </x:c>
      <x:c r="N236" t="str">
        <x:v>74.375</x:v>
      </x:c>
      <x:c r="O236" t="str">
        <x:v>76.175</x:v>
      </x:c>
      <x:c r="P236" t="str">
        <x:v>77.7125</x:v>
      </x:c>
      <x:c r="Q236" t="str"/>
      <x:c r="R236" t="str"/>
      <x:c r="S236" t="str"/>
      <x:c r="T236" t="str"/>
      <x:c r="U236" t="str"/>
      <x:c r="V236" t="str"/>
      <x:c r="W236" t="str"/>
      <x:c r="X236" t="str"/>
      <x:c r="Y236" t="str"/>
      <x:c r="Z236" t="str"/>
      <x:c r="AA236" t="str"/>
      <x:c r="AB236" t="str"/>
      <x:c r="AC236" t="str"/>
      <x:c r="AD236" t="str"/>
      <x:c r="AE236" t="str"/>
      <x:c r="AF236" t="str"/>
      <x:c r="AG236" t="str"/>
      <x:c r="AH236" t="str">
        <x:f>D236&amp;"|"&amp;UPPER(F236)&amp;"|"&amp;LEFT(B236,10)</x:f>
        <x:v>1095|SFMTA|2024-01-06</x:v>
      </x:c>
    </x:row>
    <x:row r="237">
      <x:c r="A237" s="22" t="n">
        <x:v>1058</x:v>
      </x:c>
      <x:c r="B237" t="str">
        <x:v>2024-07-01T00:00:00</x:v>
      </x:c>
      <x:c r="C237" t="str">
        <x:v>1095Z</x:v>
      </x:c>
      <x:c r="D237" t="str">
        <x:v>1095</x:v>
      </x:c>
      <x:c r="E237" t="str">
        <x:v>IT Operations Support Administrator V</x:v>
      </x:c>
      <x:c r="F237" t="str">
        <x:v>COMMN</x:v>
      </x:c>
      <x:c r="G237" t="str">
        <x:v>64.25</x:v>
      </x:c>
      <x:c r="H237" t="str">
        <x:v>65.8375</x:v>
      </x:c>
      <x:c r="I237" t="str">
        <x:v>67.475</x:v>
      </x:c>
      <x:c r="J237" t="str">
        <x:v>69.15</x:v>
      </x:c>
      <x:c r="K237" t="str">
        <x:v>70.825</x:v>
      </x:c>
      <x:c r="L237" t="str">
        <x:v>72.6</x:v>
      </x:c>
      <x:c r="M237" t="str">
        <x:v>74.35</x:v>
      </x:c>
      <x:c r="N237" t="str">
        <x:v>76.2375</x:v>
      </x:c>
      <x:c r="O237" t="str">
        <x:v>78.075</x:v>
      </x:c>
      <x:c r="P237" t="str">
        <x:v>79.65</x:v>
      </x:c>
      <x:c r="Q237" t="str"/>
      <x:c r="R237" t="str"/>
      <x:c r="S237" t="str"/>
      <x:c r="T237" t="str"/>
      <x:c r="U237" t="str"/>
      <x:c r="V237" t="str"/>
      <x:c r="W237" t="str"/>
      <x:c r="X237" t="str"/>
      <x:c r="Y237" t="str"/>
      <x:c r="Z237" t="str"/>
      <x:c r="AA237" t="str"/>
      <x:c r="AB237" t="str"/>
      <x:c r="AC237" t="str"/>
      <x:c r="AD237" t="str"/>
      <x:c r="AE237" t="str"/>
      <x:c r="AF237" t="str"/>
      <x:c r="AG237" t="str"/>
      <x:c r="AH237" t="str">
        <x:f>D237&amp;"|"&amp;UPPER(F237)&amp;"|"&amp;LEFT(B237,10)</x:f>
        <x:v>1095|COMMN|2024-07-01</x:v>
      </x:c>
    </x:row>
    <x:row r="238">
      <x:c r="A238" s="22" t="n">
        <x:v>1070</x:v>
      </x:c>
      <x:c r="B238" t="str">
        <x:v>2024-07-01T00:00:00</x:v>
      </x:c>
      <x:c r="C238" t="str">
        <x:v>1095Z</x:v>
      </x:c>
      <x:c r="D238" t="str">
        <x:v>1095</x:v>
      </x:c>
      <x:c r="E238" t="str">
        <x:v>IT Operations Support Administrator V</x:v>
      </x:c>
      <x:c r="F238" t="str">
        <x:v>SFMTA</x:v>
      </x:c>
      <x:c r="G238" t="str">
        <x:v>64.25</x:v>
      </x:c>
      <x:c r="H238" t="str">
        <x:v>65.8375</x:v>
      </x:c>
      <x:c r="I238" t="str">
        <x:v>67.475</x:v>
      </x:c>
      <x:c r="J238" t="str">
        <x:v>69.15</x:v>
      </x:c>
      <x:c r="K238" t="str">
        <x:v>70.825</x:v>
      </x:c>
      <x:c r="L238" t="str">
        <x:v>72.6</x:v>
      </x:c>
      <x:c r="M238" t="str">
        <x:v>74.35</x:v>
      </x:c>
      <x:c r="N238" t="str">
        <x:v>76.2375</x:v>
      </x:c>
      <x:c r="O238" t="str">
        <x:v>78.075</x:v>
      </x:c>
      <x:c r="P238" t="str">
        <x:v>79.65</x:v>
      </x:c>
      <x:c r="Q238" t="str"/>
      <x:c r="R238" t="str"/>
      <x:c r="S238" t="str"/>
      <x:c r="T238" t="str"/>
      <x:c r="U238" t="str"/>
      <x:c r="V238" t="str"/>
      <x:c r="W238" t="str"/>
      <x:c r="X238" t="str"/>
      <x:c r="Y238" t="str"/>
      <x:c r="Z238" t="str"/>
      <x:c r="AA238" t="str"/>
      <x:c r="AB238" t="str"/>
      <x:c r="AC238" t="str"/>
      <x:c r="AD238" t="str"/>
      <x:c r="AE238" t="str"/>
      <x:c r="AF238" t="str"/>
      <x:c r="AG238" t="str"/>
      <x:c r="AH238" t="str">
        <x:f>D238&amp;"|"&amp;UPPER(F238)&amp;"|"&amp;LEFT(B238,10)</x:f>
        <x:v>1095|SFMTA|2024-07-01</x:v>
      </x:c>
    </x:row>
    <x:row r="239">
      <x:c r="A239" s="22" t="n">
        <x:v>1059</x:v>
      </x:c>
      <x:c r="B239" t="str">
        <x:v>2025-01-04T00:00:00</x:v>
      </x:c>
      <x:c r="C239" t="str">
        <x:v>1095A</x:v>
      </x:c>
      <x:c r="D239" t="str">
        <x:v>1095</x:v>
      </x:c>
      <x:c r="E239" t="str">
        <x:v>IT Operations Support Administrator V</x:v>
      </x:c>
      <x:c r="F239" t="str">
        <x:v>COMMN</x:v>
      </x:c>
      <x:c r="G239" t="str">
        <x:v>65.2125</x:v>
      </x:c>
      <x:c r="H239" t="str">
        <x:v>66.825</x:v>
      </x:c>
      <x:c r="I239" t="str">
        <x:v>68.4875</x:v>
      </x:c>
      <x:c r="J239" t="str">
        <x:v>70.1875</x:v>
      </x:c>
      <x:c r="K239" t="str">
        <x:v>71.8875</x:v>
      </x:c>
      <x:c r="L239" t="str">
        <x:v>73.6875</x:v>
      </x:c>
      <x:c r="M239" t="str">
        <x:v>75.4625</x:v>
      </x:c>
      <x:c r="N239" t="str">
        <x:v>77.375</x:v>
      </x:c>
      <x:c r="O239" t="str">
        <x:v>79.25</x:v>
      </x:c>
      <x:c r="P239" t="str">
        <x:v>80.85</x:v>
      </x:c>
      <x:c r="Q239" t="str"/>
      <x:c r="R239" t="str"/>
      <x:c r="S239" t="str"/>
      <x:c r="T239" t="str"/>
      <x:c r="U239" t="str"/>
      <x:c r="V239" t="str"/>
      <x:c r="W239" t="str"/>
      <x:c r="X239" t="str"/>
      <x:c r="Y239" t="str"/>
      <x:c r="Z239" t="str"/>
      <x:c r="AA239" t="str"/>
      <x:c r="AB239" t="str"/>
      <x:c r="AC239" t="str"/>
      <x:c r="AD239" t="str"/>
      <x:c r="AE239" t="str"/>
      <x:c r="AF239" t="str"/>
      <x:c r="AG239" t="str"/>
      <x:c r="AH239" t="str">
        <x:f>D239&amp;"|"&amp;UPPER(F239)&amp;"|"&amp;LEFT(B239,10)</x:f>
        <x:v>1095|COMMN|2025-01-04</x:v>
      </x:c>
    </x:row>
    <x:row r="240">
      <x:c r="A240" s="22" t="n">
        <x:v>1071</x:v>
      </x:c>
      <x:c r="B240" t="str">
        <x:v>2025-01-04T00:00:00</x:v>
      </x:c>
      <x:c r="C240" t="str">
        <x:v>1095A</x:v>
      </x:c>
      <x:c r="D240" t="str">
        <x:v>1095</x:v>
      </x:c>
      <x:c r="E240" t="str">
        <x:v>IT Operations Support Administrator V</x:v>
      </x:c>
      <x:c r="F240" t="str">
        <x:v>SFMTA</x:v>
      </x:c>
      <x:c r="G240" t="str">
        <x:v>65.2125</x:v>
      </x:c>
      <x:c r="H240" t="str">
        <x:v>66.825</x:v>
      </x:c>
      <x:c r="I240" t="str">
        <x:v>68.4875</x:v>
      </x:c>
      <x:c r="J240" t="str">
        <x:v>70.1875</x:v>
      </x:c>
      <x:c r="K240" t="str">
        <x:v>71.8875</x:v>
      </x:c>
      <x:c r="L240" t="str">
        <x:v>73.6875</x:v>
      </x:c>
      <x:c r="M240" t="str">
        <x:v>75.4625</x:v>
      </x:c>
      <x:c r="N240" t="str">
        <x:v>77.375</x:v>
      </x:c>
      <x:c r="O240" t="str">
        <x:v>79.25</x:v>
      </x:c>
      <x:c r="P240" t="str">
        <x:v>80.85</x:v>
      </x:c>
      <x:c r="Q240" t="str"/>
      <x:c r="R240" t="str"/>
      <x:c r="S240" t="str"/>
      <x:c r="T240" t="str"/>
      <x:c r="U240" t="str"/>
      <x:c r="V240" t="str"/>
      <x:c r="W240" t="str"/>
      <x:c r="X240" t="str"/>
      <x:c r="Y240" t="str"/>
      <x:c r="Z240" t="str"/>
      <x:c r="AA240" t="str"/>
      <x:c r="AB240" t="str"/>
      <x:c r="AC240" t="str"/>
      <x:c r="AD240" t="str"/>
      <x:c r="AE240" t="str"/>
      <x:c r="AF240" t="str"/>
      <x:c r="AG240" t="str"/>
      <x:c r="AH240" t="str">
        <x:f>D240&amp;"|"&amp;UPPER(F240)&amp;"|"&amp;LEFT(B240,10)</x:f>
        <x:v>1095|SFMTA|2025-01-04</x:v>
      </x:c>
    </x:row>
    <x:row r="241">
      <x:c r="A241" s="22" t="n">
        <x:v>1060</x:v>
      </x:c>
      <x:c r="B241" t="str">
        <x:v>2025-07-01T00:00:00</x:v>
      </x:c>
      <x:c r="C241" t="str">
        <x:v>1095B</x:v>
      </x:c>
      <x:c r="D241" t="str">
        <x:v>1095</x:v>
      </x:c>
      <x:c r="E241" t="str">
        <x:v>IT Operations Support Admin V</x:v>
      </x:c>
      <x:c r="F241" t="str">
        <x:v>COMMN</x:v>
      </x:c>
      <x:c r="G241" t="str">
        <x:v>66.525</x:v>
      </x:c>
      <x:c r="H241" t="str">
        <x:v>68.1625</x:v>
      </x:c>
      <x:c r="I241" t="str">
        <x:v>69.8625</x:v>
      </x:c>
      <x:c r="J241" t="str">
        <x:v>71.6</x:v>
      </x:c>
      <x:c r="K241" t="str">
        <x:v>73.3375</x:v>
      </x:c>
      <x:c r="L241" t="str">
        <x:v>75.1625</x:v>
      </x:c>
      <x:c r="M241" t="str">
        <x:v>76.975</x:v>
      </x:c>
      <x:c r="N241" t="str">
        <x:v>78.925</x:v>
      </x:c>
      <x:c r="O241" t="str">
        <x:v>80.8375</x:v>
      </x:c>
      <x:c r="P241" t="str">
        <x:v>82.475</x:v>
      </x:c>
      <x:c r="Q241" t="str"/>
      <x:c r="R241" t="str"/>
      <x:c r="S241" t="str"/>
      <x:c r="T241" t="str"/>
      <x:c r="U241" t="str"/>
      <x:c r="V241" t="str"/>
      <x:c r="W241" t="str"/>
      <x:c r="X241" t="str"/>
      <x:c r="Y241" t="str"/>
      <x:c r="Z241" t="str"/>
      <x:c r="AA241" t="str"/>
      <x:c r="AB241" t="str"/>
      <x:c r="AC241" t="str"/>
      <x:c r="AD241" t="str"/>
      <x:c r="AE241" t="str"/>
      <x:c r="AF241" t="str"/>
      <x:c r="AG241" t="str"/>
      <x:c r="AH241" t="str">
        <x:f>D241&amp;"|"&amp;UPPER(F241)&amp;"|"&amp;LEFT(B241,10)</x:f>
        <x:v>1095|COMMN|2025-07-01</x:v>
      </x:c>
    </x:row>
    <x:row r="242">
      <x:c r="A242" s="22" t="n">
        <x:v>1072</x:v>
      </x:c>
      <x:c r="B242" t="str">
        <x:v>2025-07-01T00:00:00</x:v>
      </x:c>
      <x:c r="C242" t="str">
        <x:v>1095B</x:v>
      </x:c>
      <x:c r="D242" t="str">
        <x:v>1095</x:v>
      </x:c>
      <x:c r="E242" t="str">
        <x:v>IT Operations Support Admin V</x:v>
      </x:c>
      <x:c r="F242" t="str">
        <x:v>SFMTA</x:v>
      </x:c>
      <x:c r="G242" t="str">
        <x:v>66.525</x:v>
      </x:c>
      <x:c r="H242" t="str">
        <x:v>68.1625</x:v>
      </x:c>
      <x:c r="I242" t="str">
        <x:v>69.8625</x:v>
      </x:c>
      <x:c r="J242" t="str">
        <x:v>71.6</x:v>
      </x:c>
      <x:c r="K242" t="str">
        <x:v>73.3375</x:v>
      </x:c>
      <x:c r="L242" t="str">
        <x:v>75.1625</x:v>
      </x:c>
      <x:c r="M242" t="str">
        <x:v>76.975</x:v>
      </x:c>
      <x:c r="N242" t="str">
        <x:v>78.925</x:v>
      </x:c>
      <x:c r="O242" t="str">
        <x:v>80.8375</x:v>
      </x:c>
      <x:c r="P242" t="str">
        <x:v>82.475</x:v>
      </x:c>
      <x:c r="Q242" t="str"/>
      <x:c r="R242" t="str"/>
      <x:c r="S242" t="str"/>
      <x:c r="T242" t="str"/>
      <x:c r="U242" t="str"/>
      <x:c r="V242" t="str"/>
      <x:c r="W242" t="str"/>
      <x:c r="X242" t="str"/>
      <x:c r="Y242" t="str"/>
      <x:c r="Z242" t="str"/>
      <x:c r="AA242" t="str"/>
      <x:c r="AB242" t="str"/>
      <x:c r="AC242" t="str"/>
      <x:c r="AD242" t="str"/>
      <x:c r="AE242" t="str"/>
      <x:c r="AF242" t="str"/>
      <x:c r="AG242" t="str"/>
      <x:c r="AH242" t="str">
        <x:f>D242&amp;"|"&amp;UPPER(F242)&amp;"|"&amp;LEFT(B242,10)</x:f>
        <x:v>1095|SFMTA|2025-07-01</x:v>
      </x:c>
    </x:row>
    <x:row r="243">
      <x:c r="A243" s="22" t="n">
        <x:v>1061</x:v>
      </x:c>
      <x:c r="B243" t="str">
        <x:v>2026-01-03T00:00:00</x:v>
      </x:c>
      <x:c r="C243" t="str">
        <x:v>1095C</x:v>
      </x:c>
      <x:c r="D243" t="str">
        <x:v>1095</x:v>
      </x:c>
      <x:c r="E243" t="str">
        <x:v>IT Operations Support Admin V</x:v>
      </x:c>
      <x:c r="F243" t="str">
        <x:v>COMMN</x:v>
      </x:c>
      <x:c r="G243" t="str">
        <x:v>67.525</x:v>
      </x:c>
      <x:c r="H243" t="str">
        <x:v>69.1875</x:v>
      </x:c>
      <x:c r="I243" t="str">
        <x:v>70.9125</x:v>
      </x:c>
      <x:c r="J243" t="str">
        <x:v>72.675</x:v>
      </x:c>
      <x:c r="K243" t="str">
        <x:v>74.4375</x:v>
      </x:c>
      <x:c r="L243" t="str">
        <x:v>76.2875</x:v>
      </x:c>
      <x:c r="M243" t="str">
        <x:v>78.125</x:v>
      </x:c>
      <x:c r="N243" t="str">
        <x:v>80.1125</x:v>
      </x:c>
      <x:c r="O243" t="str">
        <x:v>82.05</x:v>
      </x:c>
      <x:c r="P243" t="str">
        <x:v>83.7125</x:v>
      </x:c>
      <x:c r="Q243" t="str"/>
      <x:c r="R243" t="str"/>
      <x:c r="S243" t="str"/>
      <x:c r="T243" t="str"/>
      <x:c r="U243" t="str"/>
      <x:c r="V243" t="str"/>
      <x:c r="W243" t="str"/>
      <x:c r="X243" t="str"/>
      <x:c r="Y243" t="str"/>
      <x:c r="Z243" t="str"/>
      <x:c r="AA243" t="str"/>
      <x:c r="AB243" t="str"/>
      <x:c r="AC243" t="str"/>
      <x:c r="AD243" t="str"/>
      <x:c r="AE243" t="str"/>
      <x:c r="AF243" t="str"/>
      <x:c r="AG243" t="str"/>
      <x:c r="AH243" t="str">
        <x:f>D243&amp;"|"&amp;UPPER(F243)&amp;"|"&amp;LEFT(B243,10)</x:f>
        <x:v>1095|COMMN|2026-01-03</x:v>
      </x:c>
    </x:row>
    <x:row r="244">
      <x:c r="A244" s="22" t="n">
        <x:v>1073</x:v>
      </x:c>
      <x:c r="B244" t="str">
        <x:v>2026-01-03T00:00:00</x:v>
      </x:c>
      <x:c r="C244" t="str">
        <x:v>1095C</x:v>
      </x:c>
      <x:c r="D244" t="str">
        <x:v>1095</x:v>
      </x:c>
      <x:c r="E244" t="str">
        <x:v>IT Operations Support Admin V</x:v>
      </x:c>
      <x:c r="F244" t="str">
        <x:v>SFMTA</x:v>
      </x:c>
      <x:c r="G244" t="str">
        <x:v>67.525</x:v>
      </x:c>
      <x:c r="H244" t="str">
        <x:v>69.1875</x:v>
      </x:c>
      <x:c r="I244" t="str">
        <x:v>70.9125</x:v>
      </x:c>
      <x:c r="J244" t="str">
        <x:v>72.675</x:v>
      </x:c>
      <x:c r="K244" t="str">
        <x:v>74.4375</x:v>
      </x:c>
      <x:c r="L244" t="str">
        <x:v>76.2875</x:v>
      </x:c>
      <x:c r="M244" t="str">
        <x:v>78.125</x:v>
      </x:c>
      <x:c r="N244" t="str">
        <x:v>80.1125</x:v>
      </x:c>
      <x:c r="O244" t="str">
        <x:v>82.05</x:v>
      </x:c>
      <x:c r="P244" t="str">
        <x:v>83.7125</x:v>
      </x:c>
      <x:c r="Q244" t="str"/>
      <x:c r="R244" t="str"/>
      <x:c r="S244" t="str"/>
      <x:c r="T244" t="str"/>
      <x:c r="U244" t="str"/>
      <x:c r="V244" t="str"/>
      <x:c r="W244" t="str"/>
      <x:c r="X244" t="str"/>
      <x:c r="Y244" t="str"/>
      <x:c r="Z244" t="str"/>
      <x:c r="AA244" t="str"/>
      <x:c r="AB244" t="str"/>
      <x:c r="AC244" t="str"/>
      <x:c r="AD244" t="str"/>
      <x:c r="AE244" t="str"/>
      <x:c r="AF244" t="str"/>
      <x:c r="AG244" t="str"/>
      <x:c r="AH244" t="str">
        <x:f>D244&amp;"|"&amp;UPPER(F244)&amp;"|"&amp;LEFT(B244,10)</x:f>
        <x:v>1095|SFMTA|2026-01-03</x:v>
      </x:c>
    </x:row>
    <x:row r="245">
      <x:c r="A245" s="22" t="n">
        <x:v>1062</x:v>
      </x:c>
      <x:c r="B245" t="str">
        <x:v>2026-07-01T00:00:00</x:v>
      </x:c>
      <x:c r="C245" t="str">
        <x:v>1095D</x:v>
      </x:c>
      <x:c r="D245" t="str">
        <x:v>1095</x:v>
      </x:c>
      <x:c r="E245" t="str">
        <x:v>IT Operations Support Admin V</x:v>
      </x:c>
      <x:c r="F245" t="str">
        <x:v>COMMN</x:v>
      </x:c>
      <x:c r="G245" t="str">
        <x:v>68.875</x:v>
      </x:c>
      <x:c r="H245" t="str">
        <x:v>70.575</x:v>
      </x:c>
      <x:c r="I245" t="str">
        <x:v>72.325</x:v>
      </x:c>
      <x:c r="J245" t="str">
        <x:v>74.125</x:v>
      </x:c>
      <x:c r="K245" t="str">
        <x:v>75.925</x:v>
      </x:c>
      <x:c r="L245" t="str">
        <x:v>77.8125</x:v>
      </x:c>
      <x:c r="M245" t="str">
        <x:v>79.6875</x:v>
      </x:c>
      <x:c r="N245" t="str">
        <x:v>81.7125</x:v>
      </x:c>
      <x:c r="O245" t="str">
        <x:v>83.6875</x:v>
      </x:c>
      <x:c r="P245" t="str">
        <x:v>85.3875</x:v>
      </x:c>
      <x:c r="Q245" t="str"/>
      <x:c r="R245" t="str"/>
      <x:c r="S245" t="str"/>
      <x:c r="T245" t="str"/>
      <x:c r="U245" t="str"/>
      <x:c r="V245" t="str"/>
      <x:c r="W245" t="str"/>
      <x:c r="X245" t="str"/>
      <x:c r="Y245" t="str"/>
      <x:c r="Z245" t="str"/>
      <x:c r="AA245" t="str"/>
      <x:c r="AB245" t="str"/>
      <x:c r="AC245" t="str"/>
      <x:c r="AD245" t="str"/>
      <x:c r="AE245" t="str"/>
      <x:c r="AF245" t="str"/>
      <x:c r="AG245" t="str"/>
      <x:c r="AH245" t="str">
        <x:f>D245&amp;"|"&amp;UPPER(F245)&amp;"|"&amp;LEFT(B245,10)</x:f>
        <x:v>1095|COMMN|2026-07-01</x:v>
      </x:c>
    </x:row>
    <x:row r="246">
      <x:c r="A246" s="22" t="n">
        <x:v>1074</x:v>
      </x:c>
      <x:c r="B246" t="str">
        <x:v>2026-07-01T00:00:00</x:v>
      </x:c>
      <x:c r="C246" t="str">
        <x:v>1095D</x:v>
      </x:c>
      <x:c r="D246" t="str">
        <x:v>1095</x:v>
      </x:c>
      <x:c r="E246" t="str">
        <x:v>IT Operations Support Admin V</x:v>
      </x:c>
      <x:c r="F246" t="str">
        <x:v>SFMTA</x:v>
      </x:c>
      <x:c r="G246" t="str">
        <x:v>68.875</x:v>
      </x:c>
      <x:c r="H246" t="str">
        <x:v>70.575</x:v>
      </x:c>
      <x:c r="I246" t="str">
        <x:v>72.325</x:v>
      </x:c>
      <x:c r="J246" t="str">
        <x:v>74.125</x:v>
      </x:c>
      <x:c r="K246" t="str">
        <x:v>75.925</x:v>
      </x:c>
      <x:c r="L246" t="str">
        <x:v>77.8125</x:v>
      </x:c>
      <x:c r="M246" t="str">
        <x:v>79.6875</x:v>
      </x:c>
      <x:c r="N246" t="str">
        <x:v>81.7125</x:v>
      </x:c>
      <x:c r="O246" t="str">
        <x:v>83.6875</x:v>
      </x:c>
      <x:c r="P246" t="str">
        <x:v>85.3875</x:v>
      </x:c>
      <x:c r="Q246" t="str"/>
      <x:c r="R246" t="str"/>
      <x:c r="S246" t="str"/>
      <x:c r="T246" t="str"/>
      <x:c r="U246" t="str"/>
      <x:c r="V246" t="str"/>
      <x:c r="W246" t="str"/>
      <x:c r="X246" t="str"/>
      <x:c r="Y246" t="str"/>
      <x:c r="Z246" t="str"/>
      <x:c r="AA246" t="str"/>
      <x:c r="AB246" t="str"/>
      <x:c r="AC246" t="str"/>
      <x:c r="AD246" t="str"/>
      <x:c r="AE246" t="str"/>
      <x:c r="AF246" t="str"/>
      <x:c r="AG246" t="str"/>
      <x:c r="AH246" t="str">
        <x:f>D246&amp;"|"&amp;UPPER(F246)&amp;"|"&amp;LEFT(B246,10)</x:f>
        <x:v>1095|SFMTA|2026-07-01</x:v>
      </x:c>
    </x:row>
    <x:row r="247">
      <x:c r="A247" s="22" t="n">
        <x:v>1081</x:v>
      </x:c>
      <x:c r="B247" t="str">
        <x:v>2024-01-06T00:00:00</x:v>
      </x:c>
      <x:c r="C247" t="str">
        <x:v>1110Y</x:v>
      </x:c>
      <x:c r="D247" t="str">
        <x:v>1110</x:v>
      </x:c>
      <x:c r="E247" t="str">
        <x:v>Executive Assistant To The Executive Director, Retirement System</x:v>
      </x:c>
      <x:c r="F247" t="str">
        <x:v>COMMN</x:v>
      </x:c>
      <x:c r="G247" t="str">
        <x:v>61.575</x:v>
      </x:c>
      <x:c r="H247" t="str">
        <x:v>64.65</x:v>
      </x:c>
      <x:c r="I247" t="str">
        <x:v>67.9375</x:v>
      </x:c>
      <x:c r="J247" t="str">
        <x:v>71.3</x:v>
      </x:c>
      <x:c r="K247" t="str">
        <x:v>74.8625</x:v>
      </x:c>
      <x:c r="L247" t="str">
        <x:v>76.7375</x:v>
      </x:c>
      <x:c r="M247" t="str">
        <x:v>78.6125</x:v>
      </x:c>
      <x:c r="N247" t="str">
        <x:v>80.5875</x:v>
      </x:c>
      <x:c r="O247" t="str">
        <x:v>82.5375</x:v>
      </x:c>
      <x:c r="P247" t="str"/>
      <x:c r="Q247" t="str"/>
      <x:c r="R247" t="str"/>
      <x:c r="S247" t="str"/>
      <x:c r="T247" t="str"/>
      <x:c r="U247" t="str"/>
      <x:c r="V247" t="str"/>
      <x:c r="W247" t="str"/>
      <x:c r="X247" t="str"/>
      <x:c r="Y247" t="str"/>
      <x:c r="Z247" t="str"/>
      <x:c r="AA247" t="str"/>
      <x:c r="AB247" t="str"/>
      <x:c r="AC247" t="str"/>
      <x:c r="AD247" t="str"/>
      <x:c r="AE247" t="str"/>
      <x:c r="AF247" t="str"/>
      <x:c r="AG247" t="str">
        <x:v>Please note, the last four steps in this salary range must be approved by the Department of Human Resources, Classification and Compensation Division.</x:v>
      </x:c>
      <x:c r="AH247" t="str">
        <x:f>D247&amp;"|"&amp;UPPER(F247)&amp;"|"&amp;LEFT(B247,10)</x:f>
        <x:v>1110|COMMN|2024-01-06</x:v>
      </x:c>
    </x:row>
    <x:row r="248">
      <x:c r="A248" s="22" t="n">
        <x:v>1093</x:v>
      </x:c>
      <x:c r="B248" t="str">
        <x:v>2024-01-06T00:00:00</x:v>
      </x:c>
      <x:c r="C248" t="str">
        <x:v>1110Y</x:v>
      </x:c>
      <x:c r="D248" t="str">
        <x:v>1110</x:v>
      </x:c>
      <x:c r="E248" t="str">
        <x:v>Executive Assistant To The Executive Director, Retirement System</x:v>
      </x:c>
      <x:c r="F248" t="str">
        <x:v>SFMTA</x:v>
      </x:c>
      <x:c r="G248" t="str">
        <x:v>61.575</x:v>
      </x:c>
      <x:c r="H248" t="str">
        <x:v>64.65</x:v>
      </x:c>
      <x:c r="I248" t="str">
        <x:v>67.9375</x:v>
      </x:c>
      <x:c r="J248" t="str">
        <x:v>71.3</x:v>
      </x:c>
      <x:c r="K248" t="str">
        <x:v>74.8625</x:v>
      </x:c>
      <x:c r="L248" t="str">
        <x:v>76.7375</x:v>
      </x:c>
      <x:c r="M248" t="str">
        <x:v>78.6125</x:v>
      </x:c>
      <x:c r="N248" t="str">
        <x:v>80.5875</x:v>
      </x:c>
      <x:c r="O248" t="str">
        <x:v>82.5375</x:v>
      </x:c>
      <x:c r="P248" t="str"/>
      <x:c r="Q248" t="str"/>
      <x:c r="R248" t="str"/>
      <x:c r="S248" t="str"/>
      <x:c r="T248" t="str"/>
      <x:c r="U248" t="str"/>
      <x:c r="V248" t="str"/>
      <x:c r="W248" t="str"/>
      <x:c r="X248" t="str"/>
      <x:c r="Y248" t="str"/>
      <x:c r="Z248" t="str"/>
      <x:c r="AA248" t="str"/>
      <x:c r="AB248" t="str"/>
      <x:c r="AC248" t="str"/>
      <x:c r="AD248" t="str"/>
      <x:c r="AE248" t="str"/>
      <x:c r="AF248" t="str"/>
      <x:c r="AG248" t="str">
        <x:v>Please note, the last four steps in this salary range must be approved by the Department of Human Resources, Classification and Compensation Division.</x:v>
      </x:c>
      <x:c r="AH248" t="str">
        <x:f>D248&amp;"|"&amp;UPPER(F248)&amp;"|"&amp;LEFT(B248,10)</x:f>
        <x:v>1110|SFMTA|2024-01-06</x:v>
      </x:c>
    </x:row>
    <x:row r="249">
      <x:c r="A249" s="22" t="n">
        <x:v>1082</x:v>
      </x:c>
      <x:c r="B249" t="str">
        <x:v>2024-07-01T00:00:00</x:v>
      </x:c>
      <x:c r="C249" t="str">
        <x:v>1110Z</x:v>
      </x:c>
      <x:c r="D249" t="str">
        <x:v>1110</x:v>
      </x:c>
      <x:c r="E249" t="str">
        <x:v>Executive Assistant To The Executive Director, Retirement System</x:v>
      </x:c>
      <x:c r="F249" t="str">
        <x:v>COMMN</x:v>
      </x:c>
      <x:c r="G249" t="str">
        <x:v>62.5</x:v>
      </x:c>
      <x:c r="H249" t="str">
        <x:v>65.625</x:v>
      </x:c>
      <x:c r="I249" t="str">
        <x:v>68.9625</x:v>
      </x:c>
      <x:c r="J249" t="str">
        <x:v>72.375</x:v>
      </x:c>
      <x:c r="K249" t="str">
        <x:v>75.9875</x:v>
      </x:c>
      <x:c r="L249" t="str">
        <x:v>77.8875</x:v>
      </x:c>
      <x:c r="M249" t="str">
        <x:v>79.7875</x:v>
      </x:c>
      <x:c r="N249" t="str">
        <x:v>81.8</x:v>
      </x:c>
      <x:c r="O249" t="str">
        <x:v>83.775</x:v>
      </x:c>
      <x:c r="P249" t="str"/>
      <x:c r="Q249" t="str"/>
      <x:c r="R249" t="str"/>
      <x:c r="S249" t="str"/>
      <x:c r="T249" t="str"/>
      <x:c r="U249" t="str"/>
      <x:c r="V249" t="str"/>
      <x:c r="W249" t="str"/>
      <x:c r="X249" t="str"/>
      <x:c r="Y249" t="str"/>
      <x:c r="Z249" t="str"/>
      <x:c r="AA249" t="str"/>
      <x:c r="AB249" t="str"/>
      <x:c r="AC249" t="str"/>
      <x:c r="AD249" t="str"/>
      <x:c r="AE249" t="str"/>
      <x:c r="AF249" t="str"/>
      <x:c r="AG249" t="str">
        <x:v>Please note, the last four steps in this salary range must be approved by the Department of Human Resources, Classification and Compensation Division.</x:v>
      </x:c>
      <x:c r="AH249" t="str">
        <x:f>D249&amp;"|"&amp;UPPER(F249)&amp;"|"&amp;LEFT(B249,10)</x:f>
        <x:v>1110|COMMN|2024-07-01</x:v>
      </x:c>
    </x:row>
    <x:row r="250">
      <x:c r="A250" s="22" t="n">
        <x:v>1094</x:v>
      </x:c>
      <x:c r="B250" t="str">
        <x:v>2024-07-01T00:00:00</x:v>
      </x:c>
      <x:c r="C250" t="str">
        <x:v>1110Z</x:v>
      </x:c>
      <x:c r="D250" t="str">
        <x:v>1110</x:v>
      </x:c>
      <x:c r="E250" t="str">
        <x:v>Executive Assistant To The Executive Director, Retirement System</x:v>
      </x:c>
      <x:c r="F250" t="str">
        <x:v>SFMTA</x:v>
      </x:c>
      <x:c r="G250" t="str">
        <x:v>62.5</x:v>
      </x:c>
      <x:c r="H250" t="str">
        <x:v>65.625</x:v>
      </x:c>
      <x:c r="I250" t="str">
        <x:v>68.9625</x:v>
      </x:c>
      <x:c r="J250" t="str">
        <x:v>72.375</x:v>
      </x:c>
      <x:c r="K250" t="str">
        <x:v>75.9875</x:v>
      </x:c>
      <x:c r="L250" t="str">
        <x:v>77.8875</x:v>
      </x:c>
      <x:c r="M250" t="str">
        <x:v>79.7875</x:v>
      </x:c>
      <x:c r="N250" t="str">
        <x:v>81.8</x:v>
      </x:c>
      <x:c r="O250" t="str">
        <x:v>83.775</x:v>
      </x:c>
      <x:c r="P250" t="str"/>
      <x:c r="Q250" t="str"/>
      <x:c r="R250" t="str"/>
      <x:c r="S250" t="str"/>
      <x:c r="T250" t="str"/>
      <x:c r="U250" t="str"/>
      <x:c r="V250" t="str"/>
      <x:c r="W250" t="str"/>
      <x:c r="X250" t="str"/>
      <x:c r="Y250" t="str"/>
      <x:c r="Z250" t="str"/>
      <x:c r="AA250" t="str"/>
      <x:c r="AB250" t="str"/>
      <x:c r="AC250" t="str"/>
      <x:c r="AD250" t="str"/>
      <x:c r="AE250" t="str"/>
      <x:c r="AF250" t="str"/>
      <x:c r="AG250" t="str">
        <x:v>Please note, the last four steps in this salary range must be approved by the Department of Human Resources, Classification and Compensation Division.</x:v>
      </x:c>
      <x:c r="AH250" t="str">
        <x:f>D250&amp;"|"&amp;UPPER(F250)&amp;"|"&amp;LEFT(B250,10)</x:f>
        <x:v>1110|SFMTA|2024-07-01</x:v>
      </x:c>
    </x:row>
    <x:row r="251">
      <x:c r="A251" s="22" t="n">
        <x:v>1083</x:v>
      </x:c>
      <x:c r="B251" t="str">
        <x:v>2025-01-04T00:00:00</x:v>
      </x:c>
      <x:c r="C251" t="str">
        <x:v>1110A</x:v>
      </x:c>
      <x:c r="D251" t="str">
        <x:v>1110</x:v>
      </x:c>
      <x:c r="E251" t="str">
        <x:v>Executive Assistant To The Executive Director, Retirement System</x:v>
      </x:c>
      <x:c r="F251" t="str">
        <x:v>COMMN</x:v>
      </x:c>
      <x:c r="G251" t="str">
        <x:v>63.4375</x:v>
      </x:c>
      <x:c r="H251" t="str">
        <x:v>66.6125</x:v>
      </x:c>
      <x:c r="I251" t="str">
        <x:v>70</x:v>
      </x:c>
      <x:c r="J251" t="str">
        <x:v>73.4625</x:v>
      </x:c>
      <x:c r="K251" t="str">
        <x:v>77.125</x:v>
      </x:c>
      <x:c r="L251" t="str">
        <x:v>79.05</x:v>
      </x:c>
      <x:c r="M251" t="str">
        <x:v>80.9875</x:v>
      </x:c>
      <x:c r="N251" t="str">
        <x:v>83.025</x:v>
      </x:c>
      <x:c r="O251" t="str">
        <x:v>85.0375</x:v>
      </x:c>
      <x:c r="P251" t="str"/>
      <x:c r="Q251" t="str"/>
      <x:c r="R251" t="str"/>
      <x:c r="S251" t="str"/>
      <x:c r="T251" t="str"/>
      <x:c r="U251" t="str"/>
      <x:c r="V251" t="str"/>
      <x:c r="W251" t="str"/>
      <x:c r="X251" t="str"/>
      <x:c r="Y251" t="str"/>
      <x:c r="Z251" t="str"/>
      <x:c r="AA251" t="str"/>
      <x:c r="AB251" t="str"/>
      <x:c r="AC251" t="str"/>
      <x:c r="AD251" t="str"/>
      <x:c r="AE251" t="str"/>
      <x:c r="AF251" t="str"/>
      <x:c r="AG251" t="str">
        <x:v>Please note, the last four steps in this salary range must be approved by the Department of Human Resources, Classification and Compensation Division.</x:v>
      </x:c>
      <x:c r="AH251" t="str">
        <x:f>D251&amp;"|"&amp;UPPER(F251)&amp;"|"&amp;LEFT(B251,10)</x:f>
        <x:v>1110|COMMN|2025-01-04</x:v>
      </x:c>
    </x:row>
    <x:row r="252">
      <x:c r="A252" s="22" t="n">
        <x:v>1095</x:v>
      </x:c>
      <x:c r="B252" t="str">
        <x:v>2025-01-04T00:00:00</x:v>
      </x:c>
      <x:c r="C252" t="str">
        <x:v>1110A</x:v>
      </x:c>
      <x:c r="D252" t="str">
        <x:v>1110</x:v>
      </x:c>
      <x:c r="E252" t="str">
        <x:v>Executive Assistant To The Executive Director, Retirement System</x:v>
      </x:c>
      <x:c r="F252" t="str">
        <x:v>SFMTA</x:v>
      </x:c>
      <x:c r="G252" t="str">
        <x:v>63.4375</x:v>
      </x:c>
      <x:c r="H252" t="str">
        <x:v>66.6125</x:v>
      </x:c>
      <x:c r="I252" t="str">
        <x:v>70</x:v>
      </x:c>
      <x:c r="J252" t="str">
        <x:v>73.4625</x:v>
      </x:c>
      <x:c r="K252" t="str">
        <x:v>77.125</x:v>
      </x:c>
      <x:c r="L252" t="str">
        <x:v>79.05</x:v>
      </x:c>
      <x:c r="M252" t="str">
        <x:v>80.9875</x:v>
      </x:c>
      <x:c r="N252" t="str">
        <x:v>83.025</x:v>
      </x:c>
      <x:c r="O252" t="str">
        <x:v>85.0375</x:v>
      </x:c>
      <x:c r="P252" t="str"/>
      <x:c r="Q252" t="str"/>
      <x:c r="R252" t="str"/>
      <x:c r="S252" t="str"/>
      <x:c r="T252" t="str"/>
      <x:c r="U252" t="str"/>
      <x:c r="V252" t="str"/>
      <x:c r="W252" t="str"/>
      <x:c r="X252" t="str"/>
      <x:c r="Y252" t="str"/>
      <x:c r="Z252" t="str"/>
      <x:c r="AA252" t="str"/>
      <x:c r="AB252" t="str"/>
      <x:c r="AC252" t="str"/>
      <x:c r="AD252" t="str"/>
      <x:c r="AE252" t="str"/>
      <x:c r="AF252" t="str"/>
      <x:c r="AG252" t="str">
        <x:v>Please note, the last four steps in this salary range must be approved by the Department of Human Resources, Classification and Compensation Division.</x:v>
      </x:c>
      <x:c r="AH252" t="str">
        <x:f>D252&amp;"|"&amp;UPPER(F252)&amp;"|"&amp;LEFT(B252,10)</x:f>
        <x:v>1110|SFMTA|2025-01-04</x:v>
      </x:c>
    </x:row>
    <x:row r="253">
      <x:c r="A253" s="22" t="n">
        <x:v>1084</x:v>
      </x:c>
      <x:c r="B253" t="str">
        <x:v>2025-07-01T00:00:00</x:v>
      </x:c>
      <x:c r="C253" t="str">
        <x:v>1110B</x:v>
      </x:c>
      <x:c r="D253" t="str">
        <x:v>1110</x:v>
      </x:c>
      <x:c r="E253" t="str">
        <x:v>Ex Asst to Ex Dir, Retirement</x:v>
      </x:c>
      <x:c r="F253" t="str">
        <x:v>COMMN</x:v>
      </x:c>
      <x:c r="G253" t="str">
        <x:v>64.7125</x:v>
      </x:c>
      <x:c r="H253" t="str">
        <x:v>67.95</x:v>
      </x:c>
      <x:c r="I253" t="str">
        <x:v>71.4125</x:v>
      </x:c>
      <x:c r="J253" t="str">
        <x:v>74.9375</x:v>
      </x:c>
      <x:c r="K253" t="str">
        <x:v>78.675</x:v>
      </x:c>
      <x:c r="L253" t="str">
        <x:v>80.6375</x:v>
      </x:c>
      <x:c r="M253" t="str">
        <x:v>82.6125</x:v>
      </x:c>
      <x:c r="N253" t="str">
        <x:v>84.7</x:v>
      </x:c>
      <x:c r="O253" t="str">
        <x:v>86.75</x:v>
      </x:c>
      <x:c r="P253" t="str"/>
      <x:c r="Q253" t="str"/>
      <x:c r="R253" t="str"/>
      <x:c r="S253" t="str"/>
      <x:c r="T253" t="str"/>
      <x:c r="U253" t="str"/>
      <x:c r="V253" t="str"/>
      <x:c r="W253" t="str"/>
      <x:c r="X253" t="str"/>
      <x:c r="Y253" t="str"/>
      <x:c r="Z253" t="str"/>
      <x:c r="AA253" t="str"/>
      <x:c r="AB253" t="str"/>
      <x:c r="AC253" t="str"/>
      <x:c r="AD253" t="str"/>
      <x:c r="AE253" t="str"/>
      <x:c r="AF253" t="str"/>
      <x:c r="AG253" t="str">
        <x:v>Please note, the last four steps in this salary range must be approved by the Department of Human Resources, Classification and Compensation Division.</x:v>
      </x:c>
      <x:c r="AH253" t="str">
        <x:f>D253&amp;"|"&amp;UPPER(F253)&amp;"|"&amp;LEFT(B253,10)</x:f>
        <x:v>1110|COMMN|2025-07-01</x:v>
      </x:c>
    </x:row>
    <x:row r="254">
      <x:c r="A254" s="22" t="n">
        <x:v>1096</x:v>
      </x:c>
      <x:c r="B254" t="str">
        <x:v>2025-07-01T00:00:00</x:v>
      </x:c>
      <x:c r="C254" t="str">
        <x:v>1110B</x:v>
      </x:c>
      <x:c r="D254" t="str">
        <x:v>1110</x:v>
      </x:c>
      <x:c r="E254" t="str">
        <x:v>Ex Asst to Ex Dir, Retirement</x:v>
      </x:c>
      <x:c r="F254" t="str">
        <x:v>SFMTA</x:v>
      </x:c>
      <x:c r="G254" t="str">
        <x:v>64.7125</x:v>
      </x:c>
      <x:c r="H254" t="str">
        <x:v>67.95</x:v>
      </x:c>
      <x:c r="I254" t="str">
        <x:v>71.4125</x:v>
      </x:c>
      <x:c r="J254" t="str">
        <x:v>74.9375</x:v>
      </x:c>
      <x:c r="K254" t="str">
        <x:v>78.675</x:v>
      </x:c>
      <x:c r="L254" t="str">
        <x:v>80.6375</x:v>
      </x:c>
      <x:c r="M254" t="str">
        <x:v>82.6125</x:v>
      </x:c>
      <x:c r="N254" t="str">
        <x:v>84.7</x:v>
      </x:c>
      <x:c r="O254" t="str">
        <x:v>86.75</x:v>
      </x:c>
      <x:c r="P254" t="str"/>
      <x:c r="Q254" t="str"/>
      <x:c r="R254" t="str"/>
      <x:c r="S254" t="str"/>
      <x:c r="T254" t="str"/>
      <x:c r="U254" t="str"/>
      <x:c r="V254" t="str"/>
      <x:c r="W254" t="str"/>
      <x:c r="X254" t="str"/>
      <x:c r="Y254" t="str"/>
      <x:c r="Z254" t="str"/>
      <x:c r="AA254" t="str"/>
      <x:c r="AB254" t="str"/>
      <x:c r="AC254" t="str"/>
      <x:c r="AD254" t="str"/>
      <x:c r="AE254" t="str"/>
      <x:c r="AF254" t="str"/>
      <x:c r="AG254" t="str">
        <x:v>Please note, the last four steps in this salary range must be approved by the Department of Human Resources, Classification and Compensation Division.</x:v>
      </x:c>
      <x:c r="AH254" t="str">
        <x:f>D254&amp;"|"&amp;UPPER(F254)&amp;"|"&amp;LEFT(B254,10)</x:f>
        <x:v>1110|SFMTA|2025-07-01</x:v>
      </x:c>
    </x:row>
    <x:row r="255">
      <x:c r="A255" s="22" t="n">
        <x:v>1085</x:v>
      </x:c>
      <x:c r="B255" t="str">
        <x:v>2026-01-03T00:00:00</x:v>
      </x:c>
      <x:c r="C255" t="str">
        <x:v>1110C</x:v>
      </x:c>
      <x:c r="D255" t="str">
        <x:v>1110</x:v>
      </x:c>
      <x:c r="E255" t="str">
        <x:v>Ex Asst to Ex Dir, Retirement</x:v>
      </x:c>
      <x:c r="F255" t="str">
        <x:v>COMMN</x:v>
      </x:c>
      <x:c r="G255" t="str">
        <x:v>65.6875</x:v>
      </x:c>
      <x:c r="H255" t="str">
        <x:v>68.975</x:v>
      </x:c>
      <x:c r="I255" t="str">
        <x:v>72.4875</x:v>
      </x:c>
      <x:c r="J255" t="str">
        <x:v>76.0625</x:v>
      </x:c>
      <x:c r="K255" t="str">
        <x:v>79.85</x:v>
      </x:c>
      <x:c r="L255" t="str">
        <x:v>81.85</x:v>
      </x:c>
      <x:c r="M255" t="str">
        <x:v>83.85</x:v>
      </x:c>
      <x:c r="N255" t="str">
        <x:v>85.975</x:v>
      </x:c>
      <x:c r="O255" t="str">
        <x:v>88.05</x:v>
      </x:c>
      <x:c r="P255" t="str"/>
      <x:c r="Q255" t="str"/>
      <x:c r="R255" t="str"/>
      <x:c r="S255" t="str"/>
      <x:c r="T255" t="str"/>
      <x:c r="U255" t="str"/>
      <x:c r="V255" t="str"/>
      <x:c r="W255" t="str"/>
      <x:c r="X255" t="str"/>
      <x:c r="Y255" t="str"/>
      <x:c r="Z255" t="str"/>
      <x:c r="AA255" t="str"/>
      <x:c r="AB255" t="str"/>
      <x:c r="AC255" t="str"/>
      <x:c r="AD255" t="str"/>
      <x:c r="AE255" t="str"/>
      <x:c r="AF255" t="str"/>
      <x:c r="AG255" t="str">
        <x:v>Please note, the last four steps in this salary range must be approved by the Department of Human Resources, Classification and Compensation Division.</x:v>
      </x:c>
      <x:c r="AH255" t="str">
        <x:f>D255&amp;"|"&amp;UPPER(F255)&amp;"|"&amp;LEFT(B255,10)</x:f>
        <x:v>1110|COMMN|2026-01-03</x:v>
      </x:c>
    </x:row>
    <x:row r="256">
      <x:c r="A256" s="22" t="n">
        <x:v>1097</x:v>
      </x:c>
      <x:c r="B256" t="str">
        <x:v>2026-01-03T00:00:00</x:v>
      </x:c>
      <x:c r="C256" t="str">
        <x:v>1110C</x:v>
      </x:c>
      <x:c r="D256" t="str">
        <x:v>1110</x:v>
      </x:c>
      <x:c r="E256" t="str">
        <x:v>Ex Asst to Ex Dir, Retirement</x:v>
      </x:c>
      <x:c r="F256" t="str">
        <x:v>SFMTA</x:v>
      </x:c>
      <x:c r="G256" t="str">
        <x:v>65.6875</x:v>
      </x:c>
      <x:c r="H256" t="str">
        <x:v>68.975</x:v>
      </x:c>
      <x:c r="I256" t="str">
        <x:v>72.4875</x:v>
      </x:c>
      <x:c r="J256" t="str">
        <x:v>76.0625</x:v>
      </x:c>
      <x:c r="K256" t="str">
        <x:v>79.85</x:v>
      </x:c>
      <x:c r="L256" t="str">
        <x:v>81.85</x:v>
      </x:c>
      <x:c r="M256" t="str">
        <x:v>83.85</x:v>
      </x:c>
      <x:c r="N256" t="str">
        <x:v>85.975</x:v>
      </x:c>
      <x:c r="O256" t="str">
        <x:v>88.05</x:v>
      </x:c>
      <x:c r="P256" t="str"/>
      <x:c r="Q256" t="str"/>
      <x:c r="R256" t="str"/>
      <x:c r="S256" t="str"/>
      <x:c r="T256" t="str"/>
      <x:c r="U256" t="str"/>
      <x:c r="V256" t="str"/>
      <x:c r="W256" t="str"/>
      <x:c r="X256" t="str"/>
      <x:c r="Y256" t="str"/>
      <x:c r="Z256" t="str"/>
      <x:c r="AA256" t="str"/>
      <x:c r="AB256" t="str"/>
      <x:c r="AC256" t="str"/>
      <x:c r="AD256" t="str"/>
      <x:c r="AE256" t="str"/>
      <x:c r="AF256" t="str"/>
      <x:c r="AG256" t="str">
        <x:v>Please note, the last four steps in this salary range must be approved by the Department of Human Resources, Classification and Compensation Division.</x:v>
      </x:c>
      <x:c r="AH256" t="str">
        <x:f>D256&amp;"|"&amp;UPPER(F256)&amp;"|"&amp;LEFT(B256,10)</x:f>
        <x:v>1110|SFMTA|2026-01-03</x:v>
      </x:c>
    </x:row>
    <x:row r="257">
      <x:c r="A257" s="22" t="n">
        <x:v>1086</x:v>
      </x:c>
      <x:c r="B257" t="str">
        <x:v>2026-07-01T00:00:00</x:v>
      </x:c>
      <x:c r="C257" t="str">
        <x:v>1110D</x:v>
      </x:c>
      <x:c r="D257" t="str">
        <x:v>1110</x:v>
      </x:c>
      <x:c r="E257" t="str">
        <x:v>Ex Asst to Ex Dir, Retirement</x:v>
      </x:c>
      <x:c r="F257" t="str">
        <x:v>COMMN</x:v>
      </x:c>
      <x:c r="G257" t="str">
        <x:v>67</x:v>
      </x:c>
      <x:c r="H257" t="str">
        <x:v>70.35</x:v>
      </x:c>
      <x:c r="I257" t="str">
        <x:v>73.9375</x:v>
      </x:c>
      <x:c r="J257" t="str">
        <x:v>77.5875</x:v>
      </x:c>
      <x:c r="K257" t="str">
        <x:v>81.45</x:v>
      </x:c>
      <x:c r="L257" t="str">
        <x:v>83.4875</x:v>
      </x:c>
      <x:c r="M257" t="str">
        <x:v>85.525</x:v>
      </x:c>
      <x:c r="N257" t="str">
        <x:v>87.7</x:v>
      </x:c>
      <x:c r="O257" t="str">
        <x:v>89.8125</x:v>
      </x:c>
      <x:c r="P257" t="str"/>
      <x:c r="Q257" t="str"/>
      <x:c r="R257" t="str"/>
      <x:c r="S257" t="str"/>
      <x:c r="T257" t="str"/>
      <x:c r="U257" t="str"/>
      <x:c r="V257" t="str"/>
      <x:c r="W257" t="str"/>
      <x:c r="X257" t="str"/>
      <x:c r="Y257" t="str"/>
      <x:c r="Z257" t="str"/>
      <x:c r="AA257" t="str"/>
      <x:c r="AB257" t="str"/>
      <x:c r="AC257" t="str"/>
      <x:c r="AD257" t="str"/>
      <x:c r="AE257" t="str"/>
      <x:c r="AF257" t="str"/>
      <x:c r="AG257" t="str">
        <x:v>Please note, the last four steps in this salary range must be approved by the Department of Human Resources, Classification and Compensation Division.</x:v>
      </x:c>
      <x:c r="AH257" t="str">
        <x:f>D257&amp;"|"&amp;UPPER(F257)&amp;"|"&amp;LEFT(B257,10)</x:f>
        <x:v>1110|COMMN|2026-07-01</x:v>
      </x:c>
    </x:row>
    <x:row r="258">
      <x:c r="A258" s="22" t="n">
        <x:v>1098</x:v>
      </x:c>
      <x:c r="B258" t="str">
        <x:v>2026-07-01T00:00:00</x:v>
      </x:c>
      <x:c r="C258" t="str">
        <x:v>1110D</x:v>
      </x:c>
      <x:c r="D258" t="str">
        <x:v>1110</x:v>
      </x:c>
      <x:c r="E258" t="str">
        <x:v>Ex Asst to Ex Dir, Retirement</x:v>
      </x:c>
      <x:c r="F258" t="str">
        <x:v>SFMTA</x:v>
      </x:c>
      <x:c r="G258" t="str">
        <x:v>67</x:v>
      </x:c>
      <x:c r="H258" t="str">
        <x:v>70.35</x:v>
      </x:c>
      <x:c r="I258" t="str">
        <x:v>73.9375</x:v>
      </x:c>
      <x:c r="J258" t="str">
        <x:v>77.5875</x:v>
      </x:c>
      <x:c r="K258" t="str">
        <x:v>81.45</x:v>
      </x:c>
      <x:c r="L258" t="str">
        <x:v>83.4875</x:v>
      </x:c>
      <x:c r="M258" t="str">
        <x:v>85.525</x:v>
      </x:c>
      <x:c r="N258" t="str">
        <x:v>87.7</x:v>
      </x:c>
      <x:c r="O258" t="str">
        <x:v>89.8125</x:v>
      </x:c>
      <x:c r="P258" t="str"/>
      <x:c r="Q258" t="str"/>
      <x:c r="R258" t="str"/>
      <x:c r="S258" t="str"/>
      <x:c r="T258" t="str"/>
      <x:c r="U258" t="str"/>
      <x:c r="V258" t="str"/>
      <x:c r="W258" t="str"/>
      <x:c r="X258" t="str"/>
      <x:c r="Y258" t="str"/>
      <x:c r="Z258" t="str"/>
      <x:c r="AA258" t="str"/>
      <x:c r="AB258" t="str"/>
      <x:c r="AC258" t="str"/>
      <x:c r="AD258" t="str"/>
      <x:c r="AE258" t="str"/>
      <x:c r="AF258" t="str"/>
      <x:c r="AG258" t="str">
        <x:v>Please note, the last four steps in this salary range must be approved by the Department of Human Resources, Classification and Compensation Division.</x:v>
      </x:c>
      <x:c r="AH258" t="str">
        <x:f>D258&amp;"|"&amp;UPPER(F258)&amp;"|"&amp;LEFT(B258,10)</x:f>
        <x:v>1110|SFMTA|2026-07-01</x:v>
      </x:c>
    </x:row>
    <x:row r="259">
      <x:c r="A259" s="22" t="n">
        <x:v>1132</x:v>
      </x:c>
      <x:c r="B259" t="str">
        <x:v>2024-01-06T00:00:00</x:v>
      </x:c>
      <x:c r="C259" t="str">
        <x:v>1117Y</x:v>
      </x:c>
      <x:c r="D259" t="str">
        <x:v>1117</x:v>
      </x:c>
      <x:c r="E259" t="str">
        <x:v>Deputy Director for Investments, Retirement System</x:v>
      </x:c>
      <x:c r="F259" t="str">
        <x:v>COMMN</x:v>
      </x:c>
      <x:c r="G259" t="str">
        <x:v>176.2625</x:v>
      </x:c>
      <x:c r="H259" t="str">
        <x:v>185.1125</x:v>
      </x:c>
      <x:c r="I259" t="str">
        <x:v>194.35</x:v>
      </x:c>
      <x:c r="J259" t="str">
        <x:v>204.0625</x:v>
      </x:c>
      <x:c r="K259" t="str">
        <x:v>214.275</x:v>
      </x:c>
      <x:c r="L259" t="str"/>
      <x:c r="M259" t="str"/>
      <x:c r="N259" t="str"/>
      <x:c r="O259" t="str"/>
      <x:c r="P259" t="str"/>
      <x:c r="Q259" t="str"/>
      <x:c r="R259" t="str"/>
      <x:c r="S259" t="str"/>
      <x:c r="T259" t="str"/>
      <x:c r="U259" t="str"/>
      <x:c r="V259" t="str"/>
      <x:c r="W259" t="str"/>
      <x:c r="X259" t="str"/>
      <x:c r="Y259" t="str"/>
      <x:c r="Z259" t="str"/>
      <x:c r="AA259" t="str"/>
      <x:c r="AB259" t="str"/>
      <x:c r="AC259" t="str"/>
      <x:c r="AD259" t="str"/>
      <x:c r="AE259" t="str"/>
      <x:c r="AF259" t="str"/>
      <x:c r="AG259" t="str"/>
      <x:c r="AH259" t="str">
        <x:f>D259&amp;"|"&amp;UPPER(F259)&amp;"|"&amp;LEFT(B259,10)</x:f>
        <x:v>1117|COMMN|2024-01-06</x:v>
      </x:c>
    </x:row>
    <x:row r="260">
      <x:c r="A260" s="22" t="n">
        <x:v>1133</x:v>
      </x:c>
      <x:c r="B260" t="str">
        <x:v>2024-07-01T00:00:00</x:v>
      </x:c>
      <x:c r="C260" t="str">
        <x:v>1117Z</x:v>
      </x:c>
      <x:c r="D260" t="str">
        <x:v>1117</x:v>
      </x:c>
      <x:c r="E260" t="str">
        <x:v>Chief Operating Officer, Retirement System</x:v>
      </x:c>
      <x:c r="F260" t="str">
        <x:v>COMMN</x:v>
      </x:c>
      <x:c r="G260" t="str">
        <x:v>178.9125</x:v>
      </x:c>
      <x:c r="H260" t="str">
        <x:v>187.8875</x:v>
      </x:c>
      <x:c r="I260" t="str">
        <x:v>197.2625</x:v>
      </x:c>
      <x:c r="J260" t="str">
        <x:v>207.125</x:v>
      </x:c>
      <x:c r="K260" t="str">
        <x:v>217.4875</x:v>
      </x:c>
      <x:c r="L260" t="str"/>
      <x:c r="M260" t="str"/>
      <x:c r="N260" t="str"/>
      <x:c r="O260" t="str"/>
      <x:c r="P260" t="str"/>
      <x:c r="Q260" t="str"/>
      <x:c r="R260" t="str"/>
      <x:c r="S260" t="str"/>
      <x:c r="T260" t="str"/>
      <x:c r="U260" t="str"/>
      <x:c r="V260" t="str"/>
      <x:c r="W260" t="str"/>
      <x:c r="X260" t="str"/>
      <x:c r="Y260" t="str"/>
      <x:c r="Z260" t="str"/>
      <x:c r="AA260" t="str"/>
      <x:c r="AB260" t="str"/>
      <x:c r="AC260" t="str"/>
      <x:c r="AD260" t="str"/>
      <x:c r="AE260" t="str"/>
      <x:c r="AF260" t="str"/>
      <x:c r="AG260" t="str"/>
      <x:c r="AH260" t="str">
        <x:f>D260&amp;"|"&amp;UPPER(F260)&amp;"|"&amp;LEFT(B260,10)</x:f>
        <x:v>1117|COMMN|2024-07-01</x:v>
      </x:c>
    </x:row>
    <x:row r="261">
      <x:c r="A261" s="22" t="n">
        <x:v>1134</x:v>
      </x:c>
      <x:c r="B261" t="str">
        <x:v>2025-01-04T00:00:00</x:v>
      </x:c>
      <x:c r="C261" t="str">
        <x:v>1117A</x:v>
      </x:c>
      <x:c r="D261" t="str">
        <x:v>1117</x:v>
      </x:c>
      <x:c r="E261" t="str">
        <x:v>Chief Operating Officer, Retirement System</x:v>
      </x:c>
      <x:c r="F261" t="str">
        <x:v>COMMN</x:v>
      </x:c>
      <x:c r="G261" t="str">
        <x:v>181.6</x:v>
      </x:c>
      <x:c r="H261" t="str">
        <x:v>190.7</x:v>
      </x:c>
      <x:c r="I261" t="str">
        <x:v>200.225</x:v>
      </x:c>
      <x:c r="J261" t="str">
        <x:v>210.2375</x:v>
      </x:c>
      <x:c r="K261" t="str">
        <x:v>220.75</x:v>
      </x:c>
      <x:c r="L261" t="str"/>
      <x:c r="M261" t="str"/>
      <x:c r="N261" t="str"/>
      <x:c r="O261" t="str"/>
      <x:c r="P261" t="str"/>
      <x:c r="Q261" t="str"/>
      <x:c r="R261" t="str"/>
      <x:c r="S261" t="str"/>
      <x:c r="T261" t="str"/>
      <x:c r="U261" t="str"/>
      <x:c r="V261" t="str"/>
      <x:c r="W261" t="str"/>
      <x:c r="X261" t="str"/>
      <x:c r="Y261" t="str"/>
      <x:c r="Z261" t="str"/>
      <x:c r="AA261" t="str"/>
      <x:c r="AB261" t="str"/>
      <x:c r="AC261" t="str"/>
      <x:c r="AD261" t="str"/>
      <x:c r="AE261" t="str"/>
      <x:c r="AF261" t="str"/>
      <x:c r="AG261" t="str"/>
      <x:c r="AH261" t="str">
        <x:f>D261&amp;"|"&amp;UPPER(F261)&amp;"|"&amp;LEFT(B261,10)</x:f>
        <x:v>1117|COMMN|2025-01-04</x:v>
      </x:c>
    </x:row>
    <x:row r="262">
      <x:c r="A262" s="22" t="n">
        <x:v>1135</x:v>
      </x:c>
      <x:c r="B262" t="str">
        <x:v>2025-07-01T00:00:00</x:v>
      </x:c>
      <x:c r="C262" t="str">
        <x:v>1117B</x:v>
      </x:c>
      <x:c r="D262" t="str">
        <x:v>1117</x:v>
      </x:c>
      <x:c r="E262" t="str">
        <x:v>COO - Retirement System</x:v>
      </x:c>
      <x:c r="F262" t="str">
        <x:v>COMMN</x:v>
      </x:c>
      <x:c r="G262" t="str">
        <x:v>185.25</x:v>
      </x:c>
      <x:c r="H262" t="str">
        <x:v>194.5375</x:v>
      </x:c>
      <x:c r="I262" t="str">
        <x:v>204.25</x:v>
      </x:c>
      <x:c r="J262" t="str">
        <x:v>214.4625</x:v>
      </x:c>
      <x:c r="K262" t="str">
        <x:v>225.1875</x:v>
      </x:c>
      <x:c r="L262" t="str"/>
      <x:c r="M262" t="str"/>
      <x:c r="N262" t="str"/>
      <x:c r="O262" t="str"/>
      <x:c r="P262" t="str"/>
      <x:c r="Q262" t="str"/>
      <x:c r="R262" t="str"/>
      <x:c r="S262" t="str"/>
      <x:c r="T262" t="str"/>
      <x:c r="U262" t="str"/>
      <x:c r="V262" t="str"/>
      <x:c r="W262" t="str"/>
      <x:c r="X262" t="str"/>
      <x:c r="Y262" t="str"/>
      <x:c r="Z262" t="str"/>
      <x:c r="AA262" t="str"/>
      <x:c r="AB262" t="str"/>
      <x:c r="AC262" t="str"/>
      <x:c r="AD262" t="str"/>
      <x:c r="AE262" t="str"/>
      <x:c r="AF262" t="str"/>
      <x:c r="AG262" t="str"/>
      <x:c r="AH262" t="str">
        <x:f>D262&amp;"|"&amp;UPPER(F262)&amp;"|"&amp;LEFT(B262,10)</x:f>
        <x:v>1117|COMMN|2025-07-01</x:v>
      </x:c>
    </x:row>
    <x:row r="263">
      <x:c r="A263" s="22" t="n">
        <x:v>1136</x:v>
      </x:c>
      <x:c r="B263" t="str">
        <x:v>2026-01-03T00:00:00</x:v>
      </x:c>
      <x:c r="C263" t="str">
        <x:v>1117C</x:v>
      </x:c>
      <x:c r="D263" t="str">
        <x:v>1117</x:v>
      </x:c>
      <x:c r="E263" t="str">
        <x:v>COO - Retirement System</x:v>
      </x:c>
      <x:c r="F263" t="str">
        <x:v>COMMN</x:v>
      </x:c>
      <x:c r="G263" t="str">
        <x:v>188.025</x:v>
      </x:c>
      <x:c r="H263" t="str">
        <x:v>197.45</x:v>
      </x:c>
      <x:c r="I263" t="str">
        <x:v>207.3125</x:v>
      </x:c>
      <x:c r="J263" t="str">
        <x:v>217.675</x:v>
      </x:c>
      <x:c r="K263" t="str">
        <x:v>228.5625</x:v>
      </x:c>
      <x:c r="L263" t="str"/>
      <x:c r="M263" t="str"/>
      <x:c r="N263" t="str"/>
      <x:c r="O263" t="str"/>
      <x:c r="P263" t="str"/>
      <x:c r="Q263" t="str"/>
      <x:c r="R263" t="str"/>
      <x:c r="S263" t="str"/>
      <x:c r="T263" t="str"/>
      <x:c r="U263" t="str"/>
      <x:c r="V263" t="str"/>
      <x:c r="W263" t="str"/>
      <x:c r="X263" t="str"/>
      <x:c r="Y263" t="str"/>
      <x:c r="Z263" t="str"/>
      <x:c r="AA263" t="str"/>
      <x:c r="AB263" t="str"/>
      <x:c r="AC263" t="str"/>
      <x:c r="AD263" t="str"/>
      <x:c r="AE263" t="str"/>
      <x:c r="AF263" t="str"/>
      <x:c r="AG263" t="str"/>
      <x:c r="AH263" t="str">
        <x:f>D263&amp;"|"&amp;UPPER(F263)&amp;"|"&amp;LEFT(B263,10)</x:f>
        <x:v>1117|COMMN|2026-01-03</x:v>
      </x:c>
    </x:row>
    <x:row r="264">
      <x:c r="A264" s="22" t="n">
        <x:v>1137</x:v>
      </x:c>
      <x:c r="B264" t="str">
        <x:v>2026-07-01T00:00:00</x:v>
      </x:c>
      <x:c r="C264" t="str">
        <x:v>1117D</x:v>
      </x:c>
      <x:c r="D264" t="str">
        <x:v>1117</x:v>
      </x:c>
      <x:c r="E264" t="str">
        <x:v>COO - Retirement System</x:v>
      </x:c>
      <x:c r="F264" t="str">
        <x:v>COMMN</x:v>
      </x:c>
      <x:c r="G264" t="str">
        <x:v>191.7875</x:v>
      </x:c>
      <x:c r="H264" t="str">
        <x:v>201.4</x:v>
      </x:c>
      <x:c r="I264" t="str">
        <x:v>211.4625</x:v>
      </x:c>
      <x:c r="J264" t="str">
        <x:v>222.025</x:v>
      </x:c>
      <x:c r="K264" t="str">
        <x:v>233.1375</x:v>
      </x:c>
      <x:c r="L264" t="str"/>
      <x:c r="M264" t="str"/>
      <x:c r="N264" t="str"/>
      <x:c r="O264" t="str"/>
      <x:c r="P264" t="str"/>
      <x:c r="Q264" t="str"/>
      <x:c r="R264" t="str"/>
      <x:c r="S264" t="str"/>
      <x:c r="T264" t="str"/>
      <x:c r="U264" t="str"/>
      <x:c r="V264" t="str"/>
      <x:c r="W264" t="str"/>
      <x:c r="X264" t="str"/>
      <x:c r="Y264" t="str"/>
      <x:c r="Z264" t="str"/>
      <x:c r="AA264" t="str"/>
      <x:c r="AB264" t="str"/>
      <x:c r="AC264" t="str"/>
      <x:c r="AD264" t="str"/>
      <x:c r="AE264" t="str"/>
      <x:c r="AF264" t="str"/>
      <x:c r="AG264" t="str"/>
      <x:c r="AH264" t="str">
        <x:f>D264&amp;"|"&amp;UPPER(F264)&amp;"|"&amp;LEFT(B264,10)</x:f>
        <x:v>1117|COMMN|2026-07-01</x:v>
      </x:c>
    </x:row>
    <x:row r="265">
      <x:c r="A265" s="22" t="n">
        <x:v>1351</x:v>
      </x:c>
      <x:c r="B265" t="str">
        <x:v>2020-07-01T00:00:00</x:v>
      </x:c>
      <x:c r="C265" t="str">
        <x:v>1222S</x:v>
      </x:c>
      <x:c r="D265" t="str">
        <x:v>1222</x:v>
      </x:c>
      <x:c r="E265" t="str">
        <x:v>Senior Payroll And Personnel Clerk</x:v>
      </x:c>
      <x:c r="F265" t="str">
        <x:v>COMMN</x:v>
      </x:c>
      <x:c r="G265" t="str">
        <x:v>35.1125</x:v>
      </x:c>
      <x:c r="H265" t="str">
        <x:v>36.8625</x:v>
      </x:c>
      <x:c r="I265" t="str">
        <x:v>38.7125</x:v>
      </x:c>
      <x:c r="J265" t="str">
        <x:v>40.6375</x:v>
      </x:c>
      <x:c r="K265" t="str">
        <x:v>42.675</x:v>
      </x:c>
      <x:c r="L265" t="str"/>
      <x:c r="M265" t="str"/>
      <x:c r="N265" t="str"/>
      <x:c r="O265" t="str"/>
      <x:c r="P265" t="str"/>
      <x:c r="Q265" t="str"/>
      <x:c r="R265" t="str"/>
      <x:c r="S265" t="str"/>
      <x:c r="T265" t="str"/>
      <x:c r="U265" t="str"/>
      <x:c r="V265" t="str"/>
      <x:c r="W265" t="str"/>
      <x:c r="X265" t="str"/>
      <x:c r="Y265" t="str"/>
      <x:c r="Z265" t="str"/>
      <x:c r="AA265" t="str"/>
      <x:c r="AB265" t="str"/>
      <x:c r="AC265" t="str"/>
      <x:c r="AD265" t="str"/>
      <x:c r="AE265" t="str"/>
      <x:c r="AF265" t="str"/>
      <x:c r="AG265" t="str"/>
      <x:c r="AH265" t="str">
        <x:f>D265&amp;"|"&amp;UPPER(F265)&amp;"|"&amp;LEFT(B265,10)</x:f>
        <x:v>1222|COMMN|2020-07-01</x:v>
      </x:c>
    </x:row>
    <x:row r="266">
      <x:c r="A266" s="22" t="n">
        <x:v>1357</x:v>
      </x:c>
      <x:c r="B266" t="str">
        <x:v>2024-01-06T00:00:00</x:v>
      </x:c>
      <x:c r="C266" t="str">
        <x:v>1222Y</x:v>
      </x:c>
      <x:c r="D266" t="str">
        <x:v>1222</x:v>
      </x:c>
      <x:c r="E266" t="str">
        <x:v>Senior Payroll And Personnel Clerk</x:v>
      </x:c>
      <x:c r="F266" t="str">
        <x:v>COMMN</x:v>
      </x:c>
      <x:c r="G266" t="str">
        <x:v>41.5</x:v>
      </x:c>
      <x:c r="H266" t="str">
        <x:v>43.575</x:v>
      </x:c>
      <x:c r="I266" t="str">
        <x:v>45.7625</x:v>
      </x:c>
      <x:c r="J266" t="str">
        <x:v>48.05</x:v>
      </x:c>
      <x:c r="K266" t="str">
        <x:v>50.4375</x:v>
      </x:c>
      <x:c r="L266" t="str"/>
      <x:c r="M266" t="str"/>
      <x:c r="N266" t="str"/>
      <x:c r="O266" t="str"/>
      <x:c r="P266" t="str"/>
      <x:c r="Q266" t="str"/>
      <x:c r="R266" t="str"/>
      <x:c r="S266" t="str"/>
      <x:c r="T266" t="str"/>
      <x:c r="U266" t="str"/>
      <x:c r="V266" t="str"/>
      <x:c r="W266" t="str"/>
      <x:c r="X266" t="str"/>
      <x:c r="Y266" t="str"/>
      <x:c r="Z266" t="str"/>
      <x:c r="AA266" t="str"/>
      <x:c r="AB266" t="str"/>
      <x:c r="AC266" t="str"/>
      <x:c r="AD266" t="str"/>
      <x:c r="AE266" t="str"/>
      <x:c r="AF266" t="str"/>
      <x:c r="AG266" t="str"/>
      <x:c r="AH266" t="str">
        <x:f>D266&amp;"|"&amp;UPPER(F266)&amp;"|"&amp;LEFT(B266,10)</x:f>
        <x:v>1222|COMMN|2024-01-06</x:v>
      </x:c>
    </x:row>
    <x:row r="267">
      <x:c r="A267" s="22" t="n">
        <x:v>1369</x:v>
      </x:c>
      <x:c r="B267" t="str">
        <x:v>2024-01-06T00:00:00</x:v>
      </x:c>
      <x:c r="C267" t="str">
        <x:v>1222Y</x:v>
      </x:c>
      <x:c r="D267" t="str">
        <x:v>1222</x:v>
      </x:c>
      <x:c r="E267" t="str">
        <x:v>Senior Payroll And Personnel Clerk</x:v>
      </x:c>
      <x:c r="F267" t="str">
        <x:v>SFMTA</x:v>
      </x:c>
      <x:c r="G267" t="str">
        <x:v>41.5</x:v>
      </x:c>
      <x:c r="H267" t="str">
        <x:v>43.575</x:v>
      </x:c>
      <x:c r="I267" t="str">
        <x:v>45.7625</x:v>
      </x:c>
      <x:c r="J267" t="str">
        <x:v>48.05</x:v>
      </x:c>
      <x:c r="K267" t="str">
        <x:v>50.4375</x:v>
      </x:c>
      <x:c r="L267" t="str"/>
      <x:c r="M267" t="str"/>
      <x:c r="N267" t="str"/>
      <x:c r="O267" t="str"/>
      <x:c r="P267" t="str"/>
      <x:c r="Q267" t="str"/>
      <x:c r="R267" t="str"/>
      <x:c r="S267" t="str"/>
      <x:c r="T267" t="str"/>
      <x:c r="U267" t="str"/>
      <x:c r="V267" t="str"/>
      <x:c r="W267" t="str"/>
      <x:c r="X267" t="str"/>
      <x:c r="Y267" t="str"/>
      <x:c r="Z267" t="str"/>
      <x:c r="AA267" t="str"/>
      <x:c r="AB267" t="str"/>
      <x:c r="AC267" t="str"/>
      <x:c r="AD267" t="str"/>
      <x:c r="AE267" t="str"/>
      <x:c r="AF267" t="str"/>
      <x:c r="AG267" t="str"/>
      <x:c r="AH267" t="str">
        <x:f>D267&amp;"|"&amp;UPPER(F267)&amp;"|"&amp;LEFT(B267,10)</x:f>
        <x:v>1222|SFMTA|2024-01-06</x:v>
      </x:c>
    </x:row>
    <x:row r="268">
      <x:c r="A268" s="22" t="n">
        <x:v>1358</x:v>
      </x:c>
      <x:c r="B268" t="str">
        <x:v>2024-07-01T00:00:00</x:v>
      </x:c>
      <x:c r="C268" t="str">
        <x:v>1222Z</x:v>
      </x:c>
      <x:c r="D268" t="str">
        <x:v>1222</x:v>
      </x:c>
      <x:c r="E268" t="str">
        <x:v>Senior Payroll And Personnel Clerk</x:v>
      </x:c>
      <x:c r="F268" t="str">
        <x:v>COMMN</x:v>
      </x:c>
      <x:c r="G268" t="str">
        <x:v>42.125</x:v>
      </x:c>
      <x:c r="H268" t="str">
        <x:v>44.225</x:v>
      </x:c>
      <x:c r="I268" t="str">
        <x:v>46.45</x:v>
      </x:c>
      <x:c r="J268" t="str">
        <x:v>48.775</x:v>
      </x:c>
      <x:c r="K268" t="str">
        <x:v>51.2</x:v>
      </x:c>
      <x:c r="L268" t="str"/>
      <x:c r="M268" t="str"/>
      <x:c r="N268" t="str"/>
      <x:c r="O268" t="str"/>
      <x:c r="P268" t="str"/>
      <x:c r="Q268" t="str"/>
      <x:c r="R268" t="str"/>
      <x:c r="S268" t="str"/>
      <x:c r="T268" t="str"/>
      <x:c r="U268" t="str"/>
      <x:c r="V268" t="str"/>
      <x:c r="W268" t="str"/>
      <x:c r="X268" t="str"/>
      <x:c r="Y268" t="str"/>
      <x:c r="Z268" t="str"/>
      <x:c r="AA268" t="str"/>
      <x:c r="AB268" t="str"/>
      <x:c r="AC268" t="str"/>
      <x:c r="AD268" t="str"/>
      <x:c r="AE268" t="str"/>
      <x:c r="AF268" t="str"/>
      <x:c r="AG268" t="str"/>
      <x:c r="AH268" t="str">
        <x:f>D268&amp;"|"&amp;UPPER(F268)&amp;"|"&amp;LEFT(B268,10)</x:f>
        <x:v>1222|COMMN|2024-07-01</x:v>
      </x:c>
    </x:row>
    <x:row r="269">
      <x:c r="A269" s="22" t="n">
        <x:v>1370</x:v>
      </x:c>
      <x:c r="B269" t="str">
        <x:v>2024-07-01T00:00:00</x:v>
      </x:c>
      <x:c r="C269" t="str">
        <x:v>1222Z</x:v>
      </x:c>
      <x:c r="D269" t="str">
        <x:v>1222</x:v>
      </x:c>
      <x:c r="E269" t="str">
        <x:v>Senior Payroll And Personnel Clerk</x:v>
      </x:c>
      <x:c r="F269" t="str">
        <x:v>SFMTA</x:v>
      </x:c>
      <x:c r="G269" t="str">
        <x:v>42.125</x:v>
      </x:c>
      <x:c r="H269" t="str">
        <x:v>44.225</x:v>
      </x:c>
      <x:c r="I269" t="str">
        <x:v>46.45</x:v>
      </x:c>
      <x:c r="J269" t="str">
        <x:v>48.775</x:v>
      </x:c>
      <x:c r="K269" t="str">
        <x:v>51.2</x:v>
      </x:c>
      <x:c r="L269" t="str"/>
      <x:c r="M269" t="str"/>
      <x:c r="N269" t="str"/>
      <x:c r="O269" t="str"/>
      <x:c r="P269" t="str"/>
      <x:c r="Q269" t="str"/>
      <x:c r="R269" t="str"/>
      <x:c r="S269" t="str"/>
      <x:c r="T269" t="str"/>
      <x:c r="U269" t="str"/>
      <x:c r="V269" t="str"/>
      <x:c r="W269" t="str"/>
      <x:c r="X269" t="str"/>
      <x:c r="Y269" t="str"/>
      <x:c r="Z269" t="str"/>
      <x:c r="AA269" t="str"/>
      <x:c r="AB269" t="str"/>
      <x:c r="AC269" t="str"/>
      <x:c r="AD269" t="str"/>
      <x:c r="AE269" t="str"/>
      <x:c r="AF269" t="str"/>
      <x:c r="AG269" t="str"/>
      <x:c r="AH269" t="str">
        <x:f>D269&amp;"|"&amp;UPPER(F269)&amp;"|"&amp;LEFT(B269,10)</x:f>
        <x:v>1222|SFMTA|2024-07-01</x:v>
      </x:c>
    </x:row>
    <x:row r="270">
      <x:c r="A270" s="22" t="n">
        <x:v>1359</x:v>
      </x:c>
      <x:c r="B270" t="str">
        <x:v>2025-01-04T00:00:00</x:v>
      </x:c>
      <x:c r="C270" t="str">
        <x:v>1222A</x:v>
      </x:c>
      <x:c r="D270" t="str">
        <x:v>1222</x:v>
      </x:c>
      <x:c r="E270" t="str">
        <x:v>Senior Payroll And Personnel Clerk</x:v>
      </x:c>
      <x:c r="F270" t="str">
        <x:v>COMMN</x:v>
      </x:c>
      <x:c r="G270" t="str">
        <x:v>42.7625</x:v>
      </x:c>
      <x:c r="H270" t="str">
        <x:v>44.8875</x:v>
      </x:c>
      <x:c r="I270" t="str">
        <x:v>47.15</x:v>
      </x:c>
      <x:c r="J270" t="str">
        <x:v>49.5125</x:v>
      </x:c>
      <x:c r="K270" t="str">
        <x:v>51.9625</x:v>
      </x:c>
      <x:c r="L270" t="str"/>
      <x:c r="M270" t="str"/>
      <x:c r="N270" t="str"/>
      <x:c r="O270" t="str"/>
      <x:c r="P270" t="str"/>
      <x:c r="Q270" t="str"/>
      <x:c r="R270" t="str"/>
      <x:c r="S270" t="str"/>
      <x:c r="T270" t="str"/>
      <x:c r="U270" t="str"/>
      <x:c r="V270" t="str"/>
      <x:c r="W270" t="str"/>
      <x:c r="X270" t="str"/>
      <x:c r="Y270" t="str"/>
      <x:c r="Z270" t="str"/>
      <x:c r="AA270" t="str"/>
      <x:c r="AB270" t="str"/>
      <x:c r="AC270" t="str"/>
      <x:c r="AD270" t="str"/>
      <x:c r="AE270" t="str"/>
      <x:c r="AF270" t="str"/>
      <x:c r="AG270" t="str"/>
      <x:c r="AH270" t="str">
        <x:f>D270&amp;"|"&amp;UPPER(F270)&amp;"|"&amp;LEFT(B270,10)</x:f>
        <x:v>1222|COMMN|2025-01-04</x:v>
      </x:c>
    </x:row>
    <x:row r="271">
      <x:c r="A271" s="22" t="n">
        <x:v>1371</x:v>
      </x:c>
      <x:c r="B271" t="str">
        <x:v>2025-01-04T00:00:00</x:v>
      </x:c>
      <x:c r="C271" t="str">
        <x:v>1222A</x:v>
      </x:c>
      <x:c r="D271" t="str">
        <x:v>1222</x:v>
      </x:c>
      <x:c r="E271" t="str">
        <x:v>Senior Payroll And Personnel Clerk</x:v>
      </x:c>
      <x:c r="F271" t="str">
        <x:v>SFMTA</x:v>
      </x:c>
      <x:c r="G271" t="str">
        <x:v>42.7625</x:v>
      </x:c>
      <x:c r="H271" t="str">
        <x:v>44.8875</x:v>
      </x:c>
      <x:c r="I271" t="str">
        <x:v>47.15</x:v>
      </x:c>
      <x:c r="J271" t="str">
        <x:v>49.5125</x:v>
      </x:c>
      <x:c r="K271" t="str">
        <x:v>51.9625</x:v>
      </x:c>
      <x:c r="L271" t="str"/>
      <x:c r="M271" t="str"/>
      <x:c r="N271" t="str"/>
      <x:c r="O271" t="str"/>
      <x:c r="P271" t="str"/>
      <x:c r="Q271" t="str"/>
      <x:c r="R271" t="str"/>
      <x:c r="S271" t="str"/>
      <x:c r="T271" t="str"/>
      <x:c r="U271" t="str"/>
      <x:c r="V271" t="str"/>
      <x:c r="W271" t="str"/>
      <x:c r="X271" t="str"/>
      <x:c r="Y271" t="str"/>
      <x:c r="Z271" t="str"/>
      <x:c r="AA271" t="str"/>
      <x:c r="AB271" t="str"/>
      <x:c r="AC271" t="str"/>
      <x:c r="AD271" t="str"/>
      <x:c r="AE271" t="str"/>
      <x:c r="AF271" t="str"/>
      <x:c r="AG271" t="str"/>
      <x:c r="AH271" t="str">
        <x:f>D271&amp;"|"&amp;UPPER(F271)&amp;"|"&amp;LEFT(B271,10)</x:f>
        <x:v>1222|SFMTA|2025-01-04</x:v>
      </x:c>
    </x:row>
    <x:row r="272">
      <x:c r="A272" s="22" t="n">
        <x:v>1360</x:v>
      </x:c>
      <x:c r="B272" t="str">
        <x:v>2025-07-01T00:00:00</x:v>
      </x:c>
      <x:c r="C272" t="str">
        <x:v>1222B</x:v>
      </x:c>
      <x:c r="D272" t="str">
        <x:v>1222</x:v>
      </x:c>
      <x:c r="E272" t="str">
        <x:v>Sr Payroll &amp; Personnel Clerk</x:v>
      </x:c>
      <x:c r="F272" t="str">
        <x:v>COMMN</x:v>
      </x:c>
      <x:c r="G272" t="str">
        <x:v>43.625</x:v>
      </x:c>
      <x:c r="H272" t="str">
        <x:v>45.7875</x:v>
      </x:c>
      <x:c r="I272" t="str">
        <x:v>48.1</x:v>
      </x:c>
      <x:c r="J272" t="str">
        <x:v>50.5125</x:v>
      </x:c>
      <x:c r="K272" t="str">
        <x:v>53.0125</x:v>
      </x:c>
      <x:c r="L272" t="str"/>
      <x:c r="M272" t="str"/>
      <x:c r="N272" t="str"/>
      <x:c r="O272" t="str"/>
      <x:c r="P272" t="str"/>
      <x:c r="Q272" t="str"/>
      <x:c r="R272" t="str"/>
      <x:c r="S272" t="str"/>
      <x:c r="T272" t="str"/>
      <x:c r="U272" t="str"/>
      <x:c r="V272" t="str"/>
      <x:c r="W272" t="str"/>
      <x:c r="X272" t="str"/>
      <x:c r="Y272" t="str"/>
      <x:c r="Z272" t="str"/>
      <x:c r="AA272" t="str"/>
      <x:c r="AB272" t="str"/>
      <x:c r="AC272" t="str"/>
      <x:c r="AD272" t="str"/>
      <x:c r="AE272" t="str"/>
      <x:c r="AF272" t="str"/>
      <x:c r="AG272" t="str"/>
      <x:c r="AH272" t="str">
        <x:f>D272&amp;"|"&amp;UPPER(F272)&amp;"|"&amp;LEFT(B272,10)</x:f>
        <x:v>1222|COMMN|2025-07-01</x:v>
      </x:c>
    </x:row>
    <x:row r="273">
      <x:c r="A273" s="22" t="n">
        <x:v>1372</x:v>
      </x:c>
      <x:c r="B273" t="str">
        <x:v>2025-07-01T00:00:00</x:v>
      </x:c>
      <x:c r="C273" t="str">
        <x:v>1222B</x:v>
      </x:c>
      <x:c r="D273" t="str">
        <x:v>1222</x:v>
      </x:c>
      <x:c r="E273" t="str">
        <x:v>Sr Payroll &amp; Personnel Clerk</x:v>
      </x:c>
      <x:c r="F273" t="str">
        <x:v>SFMTA</x:v>
      </x:c>
      <x:c r="G273" t="str">
        <x:v>43.625</x:v>
      </x:c>
      <x:c r="H273" t="str">
        <x:v>45.7875</x:v>
      </x:c>
      <x:c r="I273" t="str">
        <x:v>48.1</x:v>
      </x:c>
      <x:c r="J273" t="str">
        <x:v>50.5125</x:v>
      </x:c>
      <x:c r="K273" t="str">
        <x:v>53.0125</x:v>
      </x:c>
      <x:c r="L273" t="str"/>
      <x:c r="M273" t="str"/>
      <x:c r="N273" t="str"/>
      <x:c r="O273" t="str"/>
      <x:c r="P273" t="str"/>
      <x:c r="Q273" t="str"/>
      <x:c r="R273" t="str"/>
      <x:c r="S273" t="str"/>
      <x:c r="T273" t="str"/>
      <x:c r="U273" t="str"/>
      <x:c r="V273" t="str"/>
      <x:c r="W273" t="str"/>
      <x:c r="X273" t="str"/>
      <x:c r="Y273" t="str"/>
      <x:c r="Z273" t="str"/>
      <x:c r="AA273" t="str"/>
      <x:c r="AB273" t="str"/>
      <x:c r="AC273" t="str"/>
      <x:c r="AD273" t="str"/>
      <x:c r="AE273" t="str"/>
      <x:c r="AF273" t="str"/>
      <x:c r="AG273" t="str"/>
      <x:c r="AH273" t="str">
        <x:f>D273&amp;"|"&amp;UPPER(F273)&amp;"|"&amp;LEFT(B273,10)</x:f>
        <x:v>1222|SFMTA|2025-07-01</x:v>
      </x:c>
    </x:row>
    <x:row r="274">
      <x:c r="A274" s="22" t="n">
        <x:v>1361</x:v>
      </x:c>
      <x:c r="B274" t="str">
        <x:v>2026-01-03T00:00:00</x:v>
      </x:c>
      <x:c r="C274" t="str">
        <x:v>1222C</x:v>
      </x:c>
      <x:c r="D274" t="str">
        <x:v>1222</x:v>
      </x:c>
      <x:c r="E274" t="str">
        <x:v>Sr Payroll &amp; Personnel Clerk</x:v>
      </x:c>
      <x:c r="F274" t="str">
        <x:v>COMMN</x:v>
      </x:c>
      <x:c r="G274" t="str">
        <x:v>44.275</x:v>
      </x:c>
      <x:c r="H274" t="str">
        <x:v>46.475</x:v>
      </x:c>
      <x:c r="I274" t="str">
        <x:v>48.825</x:v>
      </x:c>
      <x:c r="J274" t="str">
        <x:v>51.275</x:v>
      </x:c>
      <x:c r="K274" t="str">
        <x:v>53.8125</x:v>
      </x:c>
      <x:c r="L274" t="str"/>
      <x:c r="M274" t="str"/>
      <x:c r="N274" t="str"/>
      <x:c r="O274" t="str"/>
      <x:c r="P274" t="str"/>
      <x:c r="Q274" t="str"/>
      <x:c r="R274" t="str"/>
      <x:c r="S274" t="str"/>
      <x:c r="T274" t="str"/>
      <x:c r="U274" t="str"/>
      <x:c r="V274" t="str"/>
      <x:c r="W274" t="str"/>
      <x:c r="X274" t="str"/>
      <x:c r="Y274" t="str"/>
      <x:c r="Z274" t="str"/>
      <x:c r="AA274" t="str"/>
      <x:c r="AB274" t="str"/>
      <x:c r="AC274" t="str"/>
      <x:c r="AD274" t="str"/>
      <x:c r="AE274" t="str"/>
      <x:c r="AF274" t="str"/>
      <x:c r="AG274" t="str"/>
      <x:c r="AH274" t="str">
        <x:f>D274&amp;"|"&amp;UPPER(F274)&amp;"|"&amp;LEFT(B274,10)</x:f>
        <x:v>1222|COMMN|2026-01-03</x:v>
      </x:c>
    </x:row>
    <x:row r="275">
      <x:c r="A275" s="22" t="n">
        <x:v>1373</x:v>
      </x:c>
      <x:c r="B275" t="str">
        <x:v>2026-01-03T00:00:00</x:v>
      </x:c>
      <x:c r="C275" t="str">
        <x:v>1222C</x:v>
      </x:c>
      <x:c r="D275" t="str">
        <x:v>1222</x:v>
      </x:c>
      <x:c r="E275" t="str">
        <x:v>Sr Payroll &amp; Personnel Clerk</x:v>
      </x:c>
      <x:c r="F275" t="str">
        <x:v>SFMTA</x:v>
      </x:c>
      <x:c r="G275" t="str">
        <x:v>44.275</x:v>
      </x:c>
      <x:c r="H275" t="str">
        <x:v>46.475</x:v>
      </x:c>
      <x:c r="I275" t="str">
        <x:v>48.825</x:v>
      </x:c>
      <x:c r="J275" t="str">
        <x:v>51.275</x:v>
      </x:c>
      <x:c r="K275" t="str">
        <x:v>53.8125</x:v>
      </x:c>
      <x:c r="L275" t="str"/>
      <x:c r="M275" t="str"/>
      <x:c r="N275" t="str"/>
      <x:c r="O275" t="str"/>
      <x:c r="P275" t="str"/>
      <x:c r="Q275" t="str"/>
      <x:c r="R275" t="str"/>
      <x:c r="S275" t="str"/>
      <x:c r="T275" t="str"/>
      <x:c r="U275" t="str"/>
      <x:c r="V275" t="str"/>
      <x:c r="W275" t="str"/>
      <x:c r="X275" t="str"/>
      <x:c r="Y275" t="str"/>
      <x:c r="Z275" t="str"/>
      <x:c r="AA275" t="str"/>
      <x:c r="AB275" t="str"/>
      <x:c r="AC275" t="str"/>
      <x:c r="AD275" t="str"/>
      <x:c r="AE275" t="str"/>
      <x:c r="AF275" t="str"/>
      <x:c r="AG275" t="str"/>
      <x:c r="AH275" t="str">
        <x:f>D275&amp;"|"&amp;UPPER(F275)&amp;"|"&amp;LEFT(B275,10)</x:f>
        <x:v>1222|SFMTA|2026-01-03</x:v>
      </x:c>
    </x:row>
    <x:row r="276">
      <x:c r="A276" s="22" t="n">
        <x:v>1362</x:v>
      </x:c>
      <x:c r="B276" t="str">
        <x:v>2026-07-01T00:00:00</x:v>
      </x:c>
      <x:c r="C276" t="str">
        <x:v>1222D</x:v>
      </x:c>
      <x:c r="D276" t="str">
        <x:v>1222</x:v>
      </x:c>
      <x:c r="E276" t="str">
        <x:v>Sr Payroll &amp; Personnel Clerk</x:v>
      </x:c>
      <x:c r="F276" t="str">
        <x:v>COMMN</x:v>
      </x:c>
      <x:c r="G276" t="str">
        <x:v>45.1625</x:v>
      </x:c>
      <x:c r="H276" t="str">
        <x:v>47.4</x:v>
      </x:c>
      <x:c r="I276" t="str">
        <x:v>49.8</x:v>
      </x:c>
      <x:c r="J276" t="str">
        <x:v>52.3</x:v>
      </x:c>
      <x:c r="K276" t="str">
        <x:v>54.8875</x:v>
      </x:c>
      <x:c r="L276" t="str"/>
      <x:c r="M276" t="str"/>
      <x:c r="N276" t="str"/>
      <x:c r="O276" t="str"/>
      <x:c r="P276" t="str"/>
      <x:c r="Q276" t="str"/>
      <x:c r="R276" t="str"/>
      <x:c r="S276" t="str"/>
      <x:c r="T276" t="str"/>
      <x:c r="U276" t="str"/>
      <x:c r="V276" t="str"/>
      <x:c r="W276" t="str"/>
      <x:c r="X276" t="str"/>
      <x:c r="Y276" t="str"/>
      <x:c r="Z276" t="str"/>
      <x:c r="AA276" t="str"/>
      <x:c r="AB276" t="str"/>
      <x:c r="AC276" t="str"/>
      <x:c r="AD276" t="str"/>
      <x:c r="AE276" t="str"/>
      <x:c r="AF276" t="str"/>
      <x:c r="AG276" t="str"/>
      <x:c r="AH276" t="str">
        <x:f>D276&amp;"|"&amp;UPPER(F276)&amp;"|"&amp;LEFT(B276,10)</x:f>
        <x:v>1222|COMMN|2026-07-01</x:v>
      </x:c>
    </x:row>
    <x:row r="277">
      <x:c r="A277" s="22" t="n">
        <x:v>1374</x:v>
      </x:c>
      <x:c r="B277" t="str">
        <x:v>2026-07-01T00:00:00</x:v>
      </x:c>
      <x:c r="C277" t="str">
        <x:v>1222D</x:v>
      </x:c>
      <x:c r="D277" t="str">
        <x:v>1222</x:v>
      </x:c>
      <x:c r="E277" t="str">
        <x:v>Sr Payroll &amp; Personnel Clerk</x:v>
      </x:c>
      <x:c r="F277" t="str">
        <x:v>SFMTA</x:v>
      </x:c>
      <x:c r="G277" t="str">
        <x:v>45.1625</x:v>
      </x:c>
      <x:c r="H277" t="str">
        <x:v>47.4</x:v>
      </x:c>
      <x:c r="I277" t="str">
        <x:v>49.8</x:v>
      </x:c>
      <x:c r="J277" t="str">
        <x:v>52.3</x:v>
      </x:c>
      <x:c r="K277" t="str">
        <x:v>54.8875</x:v>
      </x:c>
      <x:c r="L277" t="str"/>
      <x:c r="M277" t="str"/>
      <x:c r="N277" t="str"/>
      <x:c r="O277" t="str"/>
      <x:c r="P277" t="str"/>
      <x:c r="Q277" t="str"/>
      <x:c r="R277" t="str"/>
      <x:c r="S277" t="str"/>
      <x:c r="T277" t="str"/>
      <x:c r="U277" t="str"/>
      <x:c r="V277" t="str"/>
      <x:c r="W277" t="str"/>
      <x:c r="X277" t="str"/>
      <x:c r="Y277" t="str"/>
      <x:c r="Z277" t="str"/>
      <x:c r="AA277" t="str"/>
      <x:c r="AB277" t="str"/>
      <x:c r="AC277" t="str"/>
      <x:c r="AD277" t="str"/>
      <x:c r="AE277" t="str"/>
      <x:c r="AF277" t="str"/>
      <x:c r="AG277" t="str"/>
      <x:c r="AH277" t="str">
        <x:f>D277&amp;"|"&amp;UPPER(F277)&amp;"|"&amp;LEFT(B277,10)</x:f>
        <x:v>1222|SFMTA|2026-07-01</x:v>
      </x:c>
    </x:row>
    <x:row r="278">
      <x:c r="A278" s="22" t="n">
        <x:v>1375</x:v>
      </x:c>
      <x:c r="B278" t="str">
        <x:v>2020-07-01T00:00:00</x:v>
      </x:c>
      <x:c r="C278" t="str">
        <x:v>1224S</x:v>
      </x:c>
      <x:c r="D278" t="str">
        <x:v>1224</x:v>
      </x:c>
      <x:c r="E278" t="str">
        <x:v>Principal Payroll And Personnel Clerk</x:v>
      </x:c>
      <x:c r="F278" t="str">
        <x:v>COMMN</x:v>
      </x:c>
      <x:c r="G278" t="str">
        <x:v>38.7125</x:v>
      </x:c>
      <x:c r="H278" t="str">
        <x:v>40.6375</x:v>
      </x:c>
      <x:c r="I278" t="str">
        <x:v>42.675</x:v>
      </x:c>
      <x:c r="J278" t="str">
        <x:v>44.7875</x:v>
      </x:c>
      <x:c r="K278" t="str">
        <x:v>47.0375</x:v>
      </x:c>
      <x:c r="L278" t="str"/>
      <x:c r="M278" t="str"/>
      <x:c r="N278" t="str"/>
      <x:c r="O278" t="str"/>
      <x:c r="P278" t="str"/>
      <x:c r="Q278" t="str"/>
      <x:c r="R278" t="str"/>
      <x:c r="S278" t="str"/>
      <x:c r="T278" t="str"/>
      <x:c r="U278" t="str"/>
      <x:c r="V278" t="str"/>
      <x:c r="W278" t="str"/>
      <x:c r="X278" t="str"/>
      <x:c r="Y278" t="str"/>
      <x:c r="Z278" t="str"/>
      <x:c r="AA278" t="str"/>
      <x:c r="AB278" t="str"/>
      <x:c r="AC278" t="str"/>
      <x:c r="AD278" t="str"/>
      <x:c r="AE278" t="str"/>
      <x:c r="AF278" t="str"/>
      <x:c r="AG278" t="str"/>
      <x:c r="AH278" t="str">
        <x:f>D278&amp;"|"&amp;UPPER(F278)&amp;"|"&amp;LEFT(B278,10)</x:f>
        <x:v>1224|COMMN|2020-07-01</x:v>
      </x:c>
    </x:row>
    <x:row r="279">
      <x:c r="A279" s="22" t="n">
        <x:v>1381</x:v>
      </x:c>
      <x:c r="B279" t="str">
        <x:v>2024-01-06T00:00:00</x:v>
      </x:c>
      <x:c r="C279" t="str">
        <x:v>1224Y</x:v>
      </x:c>
      <x:c r="D279" t="str">
        <x:v>1224</x:v>
      </x:c>
      <x:c r="E279" t="str">
        <x:v>Principal Payroll And Personnel Clerk</x:v>
      </x:c>
      <x:c r="F279" t="str">
        <x:v>COMMN</x:v>
      </x:c>
      <x:c r="G279" t="str">
        <x:v>45.7625</x:v>
      </x:c>
      <x:c r="H279" t="str">
        <x:v>48.05</x:v>
      </x:c>
      <x:c r="I279" t="str">
        <x:v>50.4375</x:v>
      </x:c>
      <x:c r="J279" t="str">
        <x:v>52.9375</x:v>
      </x:c>
      <x:c r="K279" t="str">
        <x:v>55.6</x:v>
      </x:c>
      <x:c r="L279" t="str"/>
      <x:c r="M279" t="str"/>
      <x:c r="N279" t="str"/>
      <x:c r="O279" t="str"/>
      <x:c r="P279" t="str"/>
      <x:c r="Q279" t="str"/>
      <x:c r="R279" t="str"/>
      <x:c r="S279" t="str"/>
      <x:c r="T279" t="str"/>
      <x:c r="U279" t="str"/>
      <x:c r="V279" t="str"/>
      <x:c r="W279" t="str"/>
      <x:c r="X279" t="str"/>
      <x:c r="Y279" t="str"/>
      <x:c r="Z279" t="str"/>
      <x:c r="AA279" t="str"/>
      <x:c r="AB279" t="str"/>
      <x:c r="AC279" t="str"/>
      <x:c r="AD279" t="str"/>
      <x:c r="AE279" t="str"/>
      <x:c r="AF279" t="str"/>
      <x:c r="AG279" t="str"/>
      <x:c r="AH279" t="str">
        <x:f>D279&amp;"|"&amp;UPPER(F279)&amp;"|"&amp;LEFT(B279,10)</x:f>
        <x:v>1224|COMMN|2024-01-06</x:v>
      </x:c>
    </x:row>
    <x:row r="280">
      <x:c r="A280" s="22" t="n">
        <x:v>1393</x:v>
      </x:c>
      <x:c r="B280" t="str">
        <x:v>2024-01-06T00:00:00</x:v>
      </x:c>
      <x:c r="C280" t="str">
        <x:v>1224Y</x:v>
      </x:c>
      <x:c r="D280" t="str">
        <x:v>1224</x:v>
      </x:c>
      <x:c r="E280" t="str">
        <x:v>Principal Payroll And Personnel Clerk</x:v>
      </x:c>
      <x:c r="F280" t="str">
        <x:v>SFMTA</x:v>
      </x:c>
      <x:c r="G280" t="str">
        <x:v>45.7625</x:v>
      </x:c>
      <x:c r="H280" t="str">
        <x:v>48.05</x:v>
      </x:c>
      <x:c r="I280" t="str">
        <x:v>50.4375</x:v>
      </x:c>
      <x:c r="J280" t="str">
        <x:v>52.9375</x:v>
      </x:c>
      <x:c r="K280" t="str">
        <x:v>55.6</x:v>
      </x:c>
      <x:c r="L280" t="str"/>
      <x:c r="M280" t="str"/>
      <x:c r="N280" t="str"/>
      <x:c r="O280" t="str"/>
      <x:c r="P280" t="str"/>
      <x:c r="Q280" t="str"/>
      <x:c r="R280" t="str"/>
      <x:c r="S280" t="str"/>
      <x:c r="T280" t="str"/>
      <x:c r="U280" t="str"/>
      <x:c r="V280" t="str"/>
      <x:c r="W280" t="str"/>
      <x:c r="X280" t="str"/>
      <x:c r="Y280" t="str"/>
      <x:c r="Z280" t="str"/>
      <x:c r="AA280" t="str"/>
      <x:c r="AB280" t="str"/>
      <x:c r="AC280" t="str"/>
      <x:c r="AD280" t="str"/>
      <x:c r="AE280" t="str"/>
      <x:c r="AF280" t="str"/>
      <x:c r="AG280" t="str"/>
      <x:c r="AH280" t="str">
        <x:f>D280&amp;"|"&amp;UPPER(F280)&amp;"|"&amp;LEFT(B280,10)</x:f>
        <x:v>1224|SFMTA|2024-01-06</x:v>
      </x:c>
    </x:row>
    <x:row r="281">
      <x:c r="A281" s="22" t="n">
        <x:v>1382</x:v>
      </x:c>
      <x:c r="B281" t="str">
        <x:v>2024-07-01T00:00:00</x:v>
      </x:c>
      <x:c r="C281" t="str">
        <x:v>1224Z</x:v>
      </x:c>
      <x:c r="D281" t="str">
        <x:v>1224</x:v>
      </x:c>
      <x:c r="E281" t="str">
        <x:v>Principal Payroll And Personnel Clerk</x:v>
      </x:c>
      <x:c r="F281" t="str">
        <x:v>COMMN</x:v>
      </x:c>
      <x:c r="G281" t="str">
        <x:v>46.45</x:v>
      </x:c>
      <x:c r="H281" t="str">
        <x:v>48.775</x:v>
      </x:c>
      <x:c r="I281" t="str">
        <x:v>51.2</x:v>
      </x:c>
      <x:c r="J281" t="str">
        <x:v>53.7375</x:v>
      </x:c>
      <x:c r="K281" t="str">
        <x:v>56.4375</x:v>
      </x:c>
      <x:c r="L281" t="str"/>
      <x:c r="M281" t="str"/>
      <x:c r="N281" t="str"/>
      <x:c r="O281" t="str"/>
      <x:c r="P281" t="str"/>
      <x:c r="Q281" t="str"/>
      <x:c r="R281" t="str"/>
      <x:c r="S281" t="str"/>
      <x:c r="T281" t="str"/>
      <x:c r="U281" t="str"/>
      <x:c r="V281" t="str"/>
      <x:c r="W281" t="str"/>
      <x:c r="X281" t="str"/>
      <x:c r="Y281" t="str"/>
      <x:c r="Z281" t="str"/>
      <x:c r="AA281" t="str"/>
      <x:c r="AB281" t="str"/>
      <x:c r="AC281" t="str"/>
      <x:c r="AD281" t="str"/>
      <x:c r="AE281" t="str"/>
      <x:c r="AF281" t="str"/>
      <x:c r="AG281" t="str"/>
      <x:c r="AH281" t="str">
        <x:f>D281&amp;"|"&amp;UPPER(F281)&amp;"|"&amp;LEFT(B281,10)</x:f>
        <x:v>1224|COMMN|2024-07-01</x:v>
      </x:c>
    </x:row>
    <x:row r="282">
      <x:c r="A282" s="22" t="n">
        <x:v>1394</x:v>
      </x:c>
      <x:c r="B282" t="str">
        <x:v>2024-07-01T00:00:00</x:v>
      </x:c>
      <x:c r="C282" t="str">
        <x:v>1224Z</x:v>
      </x:c>
      <x:c r="D282" t="str">
        <x:v>1224</x:v>
      </x:c>
      <x:c r="E282" t="str">
        <x:v>Principal Payroll And Personnel Clerk</x:v>
      </x:c>
      <x:c r="F282" t="str">
        <x:v>SFMTA</x:v>
      </x:c>
      <x:c r="G282" t="str">
        <x:v>46.45</x:v>
      </x:c>
      <x:c r="H282" t="str">
        <x:v>48.775</x:v>
      </x:c>
      <x:c r="I282" t="str">
        <x:v>51.2</x:v>
      </x:c>
      <x:c r="J282" t="str">
        <x:v>53.7375</x:v>
      </x:c>
      <x:c r="K282" t="str">
        <x:v>56.4375</x:v>
      </x:c>
      <x:c r="L282" t="str"/>
      <x:c r="M282" t="str"/>
      <x:c r="N282" t="str"/>
      <x:c r="O282" t="str"/>
      <x:c r="P282" t="str"/>
      <x:c r="Q282" t="str"/>
      <x:c r="R282" t="str"/>
      <x:c r="S282" t="str"/>
      <x:c r="T282" t="str"/>
      <x:c r="U282" t="str"/>
      <x:c r="V282" t="str"/>
      <x:c r="W282" t="str"/>
      <x:c r="X282" t="str"/>
      <x:c r="Y282" t="str"/>
      <x:c r="Z282" t="str"/>
      <x:c r="AA282" t="str"/>
      <x:c r="AB282" t="str"/>
      <x:c r="AC282" t="str"/>
      <x:c r="AD282" t="str"/>
      <x:c r="AE282" t="str"/>
      <x:c r="AF282" t="str"/>
      <x:c r="AG282" t="str"/>
      <x:c r="AH282" t="str">
        <x:f>D282&amp;"|"&amp;UPPER(F282)&amp;"|"&amp;LEFT(B282,10)</x:f>
        <x:v>1224|SFMTA|2024-07-01</x:v>
      </x:c>
    </x:row>
    <x:row r="283">
      <x:c r="A283" s="22" t="n">
        <x:v>1383</x:v>
      </x:c>
      <x:c r="B283" t="str">
        <x:v>2025-01-04T00:00:00</x:v>
      </x:c>
      <x:c r="C283" t="str">
        <x:v>1224A</x:v>
      </x:c>
      <x:c r="D283" t="str">
        <x:v>1224</x:v>
      </x:c>
      <x:c r="E283" t="str">
        <x:v>Principal Payroll And Personnel Clerk</x:v>
      </x:c>
      <x:c r="F283" t="str">
        <x:v>COMMN</x:v>
      </x:c>
      <x:c r="G283" t="str">
        <x:v>47.15</x:v>
      </x:c>
      <x:c r="H283" t="str">
        <x:v>49.5125</x:v>
      </x:c>
      <x:c r="I283" t="str">
        <x:v>51.9625</x:v>
      </x:c>
      <x:c r="J283" t="str">
        <x:v>54.5375</x:v>
      </x:c>
      <x:c r="K283" t="str">
        <x:v>57.2875</x:v>
      </x:c>
      <x:c r="L283" t="str"/>
      <x:c r="M283" t="str"/>
      <x:c r="N283" t="str"/>
      <x:c r="O283" t="str"/>
      <x:c r="P283" t="str"/>
      <x:c r="Q283" t="str"/>
      <x:c r="R283" t="str"/>
      <x:c r="S283" t="str"/>
      <x:c r="T283" t="str"/>
      <x:c r="U283" t="str"/>
      <x:c r="V283" t="str"/>
      <x:c r="W283" t="str"/>
      <x:c r="X283" t="str"/>
      <x:c r="Y283" t="str"/>
      <x:c r="Z283" t="str"/>
      <x:c r="AA283" t="str"/>
      <x:c r="AB283" t="str"/>
      <x:c r="AC283" t="str"/>
      <x:c r="AD283" t="str"/>
      <x:c r="AE283" t="str"/>
      <x:c r="AF283" t="str"/>
      <x:c r="AG283" t="str"/>
      <x:c r="AH283" t="str">
        <x:f>D283&amp;"|"&amp;UPPER(F283)&amp;"|"&amp;LEFT(B283,10)</x:f>
        <x:v>1224|COMMN|2025-01-04</x:v>
      </x:c>
    </x:row>
    <x:row r="284">
      <x:c r="A284" s="22" t="n">
        <x:v>1395</x:v>
      </x:c>
      <x:c r="B284" t="str">
        <x:v>2025-01-04T00:00:00</x:v>
      </x:c>
      <x:c r="C284" t="str">
        <x:v>1224A</x:v>
      </x:c>
      <x:c r="D284" t="str">
        <x:v>1224</x:v>
      </x:c>
      <x:c r="E284" t="str">
        <x:v>Principal Payroll And Personnel Clerk</x:v>
      </x:c>
      <x:c r="F284" t="str">
        <x:v>SFMTA</x:v>
      </x:c>
      <x:c r="G284" t="str">
        <x:v>47.15</x:v>
      </x:c>
      <x:c r="H284" t="str">
        <x:v>49.5125</x:v>
      </x:c>
      <x:c r="I284" t="str">
        <x:v>51.9625</x:v>
      </x:c>
      <x:c r="J284" t="str">
        <x:v>54.5375</x:v>
      </x:c>
      <x:c r="K284" t="str">
        <x:v>57.2875</x:v>
      </x:c>
      <x:c r="L284" t="str"/>
      <x:c r="M284" t="str"/>
      <x:c r="N284" t="str"/>
      <x:c r="O284" t="str"/>
      <x:c r="P284" t="str"/>
      <x:c r="Q284" t="str"/>
      <x:c r="R284" t="str"/>
      <x:c r="S284" t="str"/>
      <x:c r="T284" t="str"/>
      <x:c r="U284" t="str"/>
      <x:c r="V284" t="str"/>
      <x:c r="W284" t="str"/>
      <x:c r="X284" t="str"/>
      <x:c r="Y284" t="str"/>
      <x:c r="Z284" t="str"/>
      <x:c r="AA284" t="str"/>
      <x:c r="AB284" t="str"/>
      <x:c r="AC284" t="str"/>
      <x:c r="AD284" t="str"/>
      <x:c r="AE284" t="str"/>
      <x:c r="AF284" t="str"/>
      <x:c r="AG284" t="str"/>
      <x:c r="AH284" t="str">
        <x:f>D284&amp;"|"&amp;UPPER(F284)&amp;"|"&amp;LEFT(B284,10)</x:f>
        <x:v>1224|SFMTA|2025-01-04</x:v>
      </x:c>
    </x:row>
    <x:row r="285">
      <x:c r="A285" s="22" t="n">
        <x:v>1384</x:v>
      </x:c>
      <x:c r="B285" t="str">
        <x:v>2025-07-01T00:00:00</x:v>
      </x:c>
      <x:c r="C285" t="str">
        <x:v>1224B</x:v>
      </x:c>
      <x:c r="D285" t="str">
        <x:v>1224</x:v>
      </x:c>
      <x:c r="E285" t="str">
        <x:v>Pr Payroll &amp; Personnel Clerk</x:v>
      </x:c>
      <x:c r="F285" t="str">
        <x:v>COMMN</x:v>
      </x:c>
      <x:c r="G285" t="str">
        <x:v>48.1</x:v>
      </x:c>
      <x:c r="H285" t="str">
        <x:v>50.5125</x:v>
      </x:c>
      <x:c r="I285" t="str">
        <x:v>53.0125</x:v>
      </x:c>
      <x:c r="J285" t="str">
        <x:v>55.6375</x:v>
      </x:c>
      <x:c r="K285" t="str">
        <x:v>58.4375</x:v>
      </x:c>
      <x:c r="L285" t="str"/>
      <x:c r="M285" t="str"/>
      <x:c r="N285" t="str"/>
      <x:c r="O285" t="str"/>
      <x:c r="P285" t="str"/>
      <x:c r="Q285" t="str"/>
      <x:c r="R285" t="str"/>
      <x:c r="S285" t="str"/>
      <x:c r="T285" t="str"/>
      <x:c r="U285" t="str"/>
      <x:c r="V285" t="str"/>
      <x:c r="W285" t="str"/>
      <x:c r="X285" t="str"/>
      <x:c r="Y285" t="str"/>
      <x:c r="Z285" t="str"/>
      <x:c r="AA285" t="str"/>
      <x:c r="AB285" t="str"/>
      <x:c r="AC285" t="str"/>
      <x:c r="AD285" t="str"/>
      <x:c r="AE285" t="str"/>
      <x:c r="AF285" t="str"/>
      <x:c r="AG285" t="str"/>
      <x:c r="AH285" t="str">
        <x:f>D285&amp;"|"&amp;UPPER(F285)&amp;"|"&amp;LEFT(B285,10)</x:f>
        <x:v>1224|COMMN|2025-07-01</x:v>
      </x:c>
    </x:row>
    <x:row r="286">
      <x:c r="A286" s="22" t="n">
        <x:v>1396</x:v>
      </x:c>
      <x:c r="B286" t="str">
        <x:v>2025-07-01T00:00:00</x:v>
      </x:c>
      <x:c r="C286" t="str">
        <x:v>1224B</x:v>
      </x:c>
      <x:c r="D286" t="str">
        <x:v>1224</x:v>
      </x:c>
      <x:c r="E286" t="str">
        <x:v>Pr Payroll &amp; Personnel Clerk</x:v>
      </x:c>
      <x:c r="F286" t="str">
        <x:v>SFMTA</x:v>
      </x:c>
      <x:c r="G286" t="str">
        <x:v>48.1</x:v>
      </x:c>
      <x:c r="H286" t="str">
        <x:v>50.5125</x:v>
      </x:c>
      <x:c r="I286" t="str">
        <x:v>53.0125</x:v>
      </x:c>
      <x:c r="J286" t="str">
        <x:v>55.6375</x:v>
      </x:c>
      <x:c r="K286" t="str">
        <x:v>58.4375</x:v>
      </x:c>
      <x:c r="L286" t="str"/>
      <x:c r="M286" t="str"/>
      <x:c r="N286" t="str"/>
      <x:c r="O286" t="str"/>
      <x:c r="P286" t="str"/>
      <x:c r="Q286" t="str"/>
      <x:c r="R286" t="str"/>
      <x:c r="S286" t="str"/>
      <x:c r="T286" t="str"/>
      <x:c r="U286" t="str"/>
      <x:c r="V286" t="str"/>
      <x:c r="W286" t="str"/>
      <x:c r="X286" t="str"/>
      <x:c r="Y286" t="str"/>
      <x:c r="Z286" t="str"/>
      <x:c r="AA286" t="str"/>
      <x:c r="AB286" t="str"/>
      <x:c r="AC286" t="str"/>
      <x:c r="AD286" t="str"/>
      <x:c r="AE286" t="str"/>
      <x:c r="AF286" t="str"/>
      <x:c r="AG286" t="str"/>
      <x:c r="AH286" t="str">
        <x:f>D286&amp;"|"&amp;UPPER(F286)&amp;"|"&amp;LEFT(B286,10)</x:f>
        <x:v>1224|SFMTA|2025-07-01</x:v>
      </x:c>
    </x:row>
    <x:row r="287">
      <x:c r="A287" s="22" t="n">
        <x:v>1385</x:v>
      </x:c>
      <x:c r="B287" t="str">
        <x:v>2026-01-03T00:00:00</x:v>
      </x:c>
      <x:c r="C287" t="str">
        <x:v>1224C</x:v>
      </x:c>
      <x:c r="D287" t="str">
        <x:v>1224</x:v>
      </x:c>
      <x:c r="E287" t="str">
        <x:v>Pr Payroll &amp; Personnel Clerk</x:v>
      </x:c>
      <x:c r="F287" t="str">
        <x:v>COMMN</x:v>
      </x:c>
      <x:c r="G287" t="str">
        <x:v>48.825</x:v>
      </x:c>
      <x:c r="H287" t="str">
        <x:v>51.275</x:v>
      </x:c>
      <x:c r="I287" t="str">
        <x:v>53.8125</x:v>
      </x:c>
      <x:c r="J287" t="str">
        <x:v>56.475</x:v>
      </x:c>
      <x:c r="K287" t="str">
        <x:v>59.3125</x:v>
      </x:c>
      <x:c r="L287" t="str"/>
      <x:c r="M287" t="str"/>
      <x:c r="N287" t="str"/>
      <x:c r="O287" t="str"/>
      <x:c r="P287" t="str"/>
      <x:c r="Q287" t="str"/>
      <x:c r="R287" t="str"/>
      <x:c r="S287" t="str"/>
      <x:c r="T287" t="str"/>
      <x:c r="U287" t="str"/>
      <x:c r="V287" t="str"/>
      <x:c r="W287" t="str"/>
      <x:c r="X287" t="str"/>
      <x:c r="Y287" t="str"/>
      <x:c r="Z287" t="str"/>
      <x:c r="AA287" t="str"/>
      <x:c r="AB287" t="str"/>
      <x:c r="AC287" t="str"/>
      <x:c r="AD287" t="str"/>
      <x:c r="AE287" t="str"/>
      <x:c r="AF287" t="str"/>
      <x:c r="AG287" t="str"/>
      <x:c r="AH287" t="str">
        <x:f>D287&amp;"|"&amp;UPPER(F287)&amp;"|"&amp;LEFT(B287,10)</x:f>
        <x:v>1224|COMMN|2026-01-03</x:v>
      </x:c>
    </x:row>
    <x:row r="288">
      <x:c r="A288" s="22" t="n">
        <x:v>1397</x:v>
      </x:c>
      <x:c r="B288" t="str">
        <x:v>2026-01-03T00:00:00</x:v>
      </x:c>
      <x:c r="C288" t="str">
        <x:v>1224C</x:v>
      </x:c>
      <x:c r="D288" t="str">
        <x:v>1224</x:v>
      </x:c>
      <x:c r="E288" t="str">
        <x:v>Pr Payroll &amp; Personnel Clerk</x:v>
      </x:c>
      <x:c r="F288" t="str">
        <x:v>SFMTA</x:v>
      </x:c>
      <x:c r="G288" t="str">
        <x:v>48.825</x:v>
      </x:c>
      <x:c r="H288" t="str">
        <x:v>51.275</x:v>
      </x:c>
      <x:c r="I288" t="str">
        <x:v>53.8125</x:v>
      </x:c>
      <x:c r="J288" t="str">
        <x:v>56.475</x:v>
      </x:c>
      <x:c r="K288" t="str">
        <x:v>59.3125</x:v>
      </x:c>
      <x:c r="L288" t="str"/>
      <x:c r="M288" t="str"/>
      <x:c r="N288" t="str"/>
      <x:c r="O288" t="str"/>
      <x:c r="P288" t="str"/>
      <x:c r="Q288" t="str"/>
      <x:c r="R288" t="str"/>
      <x:c r="S288" t="str"/>
      <x:c r="T288" t="str"/>
      <x:c r="U288" t="str"/>
      <x:c r="V288" t="str"/>
      <x:c r="W288" t="str"/>
      <x:c r="X288" t="str"/>
      <x:c r="Y288" t="str"/>
      <x:c r="Z288" t="str"/>
      <x:c r="AA288" t="str"/>
      <x:c r="AB288" t="str"/>
      <x:c r="AC288" t="str"/>
      <x:c r="AD288" t="str"/>
      <x:c r="AE288" t="str"/>
      <x:c r="AF288" t="str"/>
      <x:c r="AG288" t="str"/>
      <x:c r="AH288" t="str">
        <x:f>D288&amp;"|"&amp;UPPER(F288)&amp;"|"&amp;LEFT(B288,10)</x:f>
        <x:v>1224|SFMTA|2026-01-03</x:v>
      </x:c>
    </x:row>
    <x:row r="289">
      <x:c r="A289" s="22" t="n">
        <x:v>1386</x:v>
      </x:c>
      <x:c r="B289" t="str">
        <x:v>2026-07-01T00:00:00</x:v>
      </x:c>
      <x:c r="C289" t="str">
        <x:v>1224D</x:v>
      </x:c>
      <x:c r="D289" t="str">
        <x:v>1224</x:v>
      </x:c>
      <x:c r="E289" t="str">
        <x:v>Pr Payroll &amp; Personnel Clerk</x:v>
      </x:c>
      <x:c r="F289" t="str">
        <x:v>COMMN</x:v>
      </x:c>
      <x:c r="G289" t="str">
        <x:v>49.8</x:v>
      </x:c>
      <x:c r="H289" t="str">
        <x:v>52.3</x:v>
      </x:c>
      <x:c r="I289" t="str">
        <x:v>54.8875</x:v>
      </x:c>
      <x:c r="J289" t="str">
        <x:v>57.6</x:v>
      </x:c>
      <x:c r="K289" t="str">
        <x:v>60.5</x:v>
      </x:c>
      <x:c r="L289" t="str"/>
      <x:c r="M289" t="str"/>
      <x:c r="N289" t="str"/>
      <x:c r="O289" t="str"/>
      <x:c r="P289" t="str"/>
      <x:c r="Q289" t="str"/>
      <x:c r="R289" t="str"/>
      <x:c r="S289" t="str"/>
      <x:c r="T289" t="str"/>
      <x:c r="U289" t="str"/>
      <x:c r="V289" t="str"/>
      <x:c r="W289" t="str"/>
      <x:c r="X289" t="str"/>
      <x:c r="Y289" t="str"/>
      <x:c r="Z289" t="str"/>
      <x:c r="AA289" t="str"/>
      <x:c r="AB289" t="str"/>
      <x:c r="AC289" t="str"/>
      <x:c r="AD289" t="str"/>
      <x:c r="AE289" t="str"/>
      <x:c r="AF289" t="str"/>
      <x:c r="AG289" t="str"/>
      <x:c r="AH289" t="str">
        <x:f>D289&amp;"|"&amp;UPPER(F289)&amp;"|"&amp;LEFT(B289,10)</x:f>
        <x:v>1224|COMMN|2026-07-01</x:v>
      </x:c>
    </x:row>
    <x:row r="290">
      <x:c r="A290" s="22" t="n">
        <x:v>1398</x:v>
      </x:c>
      <x:c r="B290" t="str">
        <x:v>2026-07-01T00:00:00</x:v>
      </x:c>
      <x:c r="C290" t="str">
        <x:v>1224D</x:v>
      </x:c>
      <x:c r="D290" t="str">
        <x:v>1224</x:v>
      </x:c>
      <x:c r="E290" t="str">
        <x:v>Pr Payroll &amp; Personnel Clerk</x:v>
      </x:c>
      <x:c r="F290" t="str">
        <x:v>SFMTA</x:v>
      </x:c>
      <x:c r="G290" t="str">
        <x:v>49.8</x:v>
      </x:c>
      <x:c r="H290" t="str">
        <x:v>52.3</x:v>
      </x:c>
      <x:c r="I290" t="str">
        <x:v>54.8875</x:v>
      </x:c>
      <x:c r="J290" t="str">
        <x:v>57.6</x:v>
      </x:c>
      <x:c r="K290" t="str">
        <x:v>60.5</x:v>
      </x:c>
      <x:c r="L290" t="str"/>
      <x:c r="M290" t="str"/>
      <x:c r="N290" t="str"/>
      <x:c r="O290" t="str"/>
      <x:c r="P290" t="str"/>
      <x:c r="Q290" t="str"/>
      <x:c r="R290" t="str"/>
      <x:c r="S290" t="str"/>
      <x:c r="T290" t="str"/>
      <x:c r="U290" t="str"/>
      <x:c r="V290" t="str"/>
      <x:c r="W290" t="str"/>
      <x:c r="X290" t="str"/>
      <x:c r="Y290" t="str"/>
      <x:c r="Z290" t="str"/>
      <x:c r="AA290" t="str"/>
      <x:c r="AB290" t="str"/>
      <x:c r="AC290" t="str"/>
      <x:c r="AD290" t="str"/>
      <x:c r="AE290" t="str"/>
      <x:c r="AF290" t="str"/>
      <x:c r="AG290" t="str"/>
      <x:c r="AH290" t="str">
        <x:f>D290&amp;"|"&amp;UPPER(F290)&amp;"|"&amp;LEFT(B290,10)</x:f>
        <x:v>1224|SFMTA|2026-07-01</x:v>
      </x:c>
    </x:row>
    <x:row r="291">
      <x:c r="A291" s="22" t="n">
        <x:v>1399</x:v>
      </x:c>
      <x:c r="B291" t="str">
        <x:v>2020-07-01T00:00:00</x:v>
      </x:c>
      <x:c r="C291" t="str">
        <x:v>1226S</x:v>
      </x:c>
      <x:c r="D291" t="str">
        <x:v>1226</x:v>
      </x:c>
      <x:c r="E291" t="str">
        <x:v>Chief Payroll And Personnel Clerk</x:v>
      </x:c>
      <x:c r="F291" t="str">
        <x:v>COMMN</x:v>
      </x:c>
      <x:c r="G291" t="str">
        <x:v>40.825</x:v>
      </x:c>
      <x:c r="H291" t="str">
        <x:v>42.875</x:v>
      </x:c>
      <x:c r="I291" t="str">
        <x:v>45.025</x:v>
      </x:c>
      <x:c r="J291" t="str">
        <x:v>47.2625</x:v>
      </x:c>
      <x:c r="K291" t="str">
        <x:v>49.6125</x:v>
      </x:c>
      <x:c r="L291" t="str"/>
      <x:c r="M291" t="str"/>
      <x:c r="N291" t="str"/>
      <x:c r="O291" t="str"/>
      <x:c r="P291" t="str"/>
      <x:c r="Q291" t="str"/>
      <x:c r="R291" t="str"/>
      <x:c r="S291" t="str"/>
      <x:c r="T291" t="str"/>
      <x:c r="U291" t="str"/>
      <x:c r="V291" t="str"/>
      <x:c r="W291" t="str"/>
      <x:c r="X291" t="str"/>
      <x:c r="Y291" t="str"/>
      <x:c r="Z291" t="str"/>
      <x:c r="AA291" t="str"/>
      <x:c r="AB291" t="str"/>
      <x:c r="AC291" t="str"/>
      <x:c r="AD291" t="str"/>
      <x:c r="AE291" t="str"/>
      <x:c r="AF291" t="str"/>
      <x:c r="AG291" t="str"/>
      <x:c r="AH291" t="str">
        <x:f>D291&amp;"|"&amp;UPPER(F291)&amp;"|"&amp;LEFT(B291,10)</x:f>
        <x:v>1226|COMMN|2020-07-01</x:v>
      </x:c>
    </x:row>
    <x:row r="292">
      <x:c r="A292" s="22" t="n">
        <x:v>1405</x:v>
      </x:c>
      <x:c r="B292" t="str">
        <x:v>2024-01-06T00:00:00</x:v>
      </x:c>
      <x:c r="C292" t="str">
        <x:v>1226Y</x:v>
      </x:c>
      <x:c r="D292" t="str">
        <x:v>1226</x:v>
      </x:c>
      <x:c r="E292" t="str">
        <x:v>Chief Payroll And Personnel Clerk</x:v>
      </x:c>
      <x:c r="F292" t="str">
        <x:v>COMMN</x:v>
      </x:c>
      <x:c r="G292" t="str">
        <x:v>48.25</x:v>
      </x:c>
      <x:c r="H292" t="str">
        <x:v>50.675</x:v>
      </x:c>
      <x:c r="I292" t="str">
        <x:v>53.225</x:v>
      </x:c>
      <x:c r="J292" t="str">
        <x:v>55.8625</x:v>
      </x:c>
      <x:c r="K292" t="str">
        <x:v>58.6375</x:v>
      </x:c>
      <x:c r="L292" t="str"/>
      <x:c r="M292" t="str"/>
      <x:c r="N292" t="str"/>
      <x:c r="O292" t="str"/>
      <x:c r="P292" t="str"/>
      <x:c r="Q292" t="str"/>
      <x:c r="R292" t="str"/>
      <x:c r="S292" t="str"/>
      <x:c r="T292" t="str"/>
      <x:c r="U292" t="str"/>
      <x:c r="V292" t="str"/>
      <x:c r="W292" t="str"/>
      <x:c r="X292" t="str"/>
      <x:c r="Y292" t="str"/>
      <x:c r="Z292" t="str"/>
      <x:c r="AA292" t="str"/>
      <x:c r="AB292" t="str"/>
      <x:c r="AC292" t="str"/>
      <x:c r="AD292" t="str"/>
      <x:c r="AE292" t="str"/>
      <x:c r="AF292" t="str"/>
      <x:c r="AG292" t="str"/>
      <x:c r="AH292" t="str">
        <x:f>D292&amp;"|"&amp;UPPER(F292)&amp;"|"&amp;LEFT(B292,10)</x:f>
        <x:v>1226|COMMN|2024-01-06</x:v>
      </x:c>
    </x:row>
    <x:row r="293">
      <x:c r="A293" s="22" t="n">
        <x:v>1417</x:v>
      </x:c>
      <x:c r="B293" t="str">
        <x:v>2024-01-06T00:00:00</x:v>
      </x:c>
      <x:c r="C293" t="str">
        <x:v>1226Y</x:v>
      </x:c>
      <x:c r="D293" t="str">
        <x:v>1226</x:v>
      </x:c>
      <x:c r="E293" t="str">
        <x:v>Chief Payroll And Personnel Clerk</x:v>
      </x:c>
      <x:c r="F293" t="str">
        <x:v>SFMTA</x:v>
      </x:c>
      <x:c r="G293" t="str">
        <x:v>48.25</x:v>
      </x:c>
      <x:c r="H293" t="str">
        <x:v>50.675</x:v>
      </x:c>
      <x:c r="I293" t="str">
        <x:v>53.225</x:v>
      </x:c>
      <x:c r="J293" t="str">
        <x:v>55.8625</x:v>
      </x:c>
      <x:c r="K293" t="str">
        <x:v>58.6375</x:v>
      </x:c>
      <x:c r="L293" t="str"/>
      <x:c r="M293" t="str"/>
      <x:c r="N293" t="str"/>
      <x:c r="O293" t="str"/>
      <x:c r="P293" t="str"/>
      <x:c r="Q293" t="str"/>
      <x:c r="R293" t="str"/>
      <x:c r="S293" t="str"/>
      <x:c r="T293" t="str"/>
      <x:c r="U293" t="str"/>
      <x:c r="V293" t="str"/>
      <x:c r="W293" t="str"/>
      <x:c r="X293" t="str"/>
      <x:c r="Y293" t="str"/>
      <x:c r="Z293" t="str"/>
      <x:c r="AA293" t="str"/>
      <x:c r="AB293" t="str"/>
      <x:c r="AC293" t="str"/>
      <x:c r="AD293" t="str"/>
      <x:c r="AE293" t="str"/>
      <x:c r="AF293" t="str"/>
      <x:c r="AG293" t="str"/>
      <x:c r="AH293" t="str">
        <x:f>D293&amp;"|"&amp;UPPER(F293)&amp;"|"&amp;LEFT(B293,10)</x:f>
        <x:v>1226|SFMTA|2024-01-06</x:v>
      </x:c>
    </x:row>
    <x:row r="294">
      <x:c r="A294" s="22" t="n">
        <x:v>1406</x:v>
      </x:c>
      <x:c r="B294" t="str">
        <x:v>2024-07-01T00:00:00</x:v>
      </x:c>
      <x:c r="C294" t="str">
        <x:v>1226Z</x:v>
      </x:c>
      <x:c r="D294" t="str">
        <x:v>1226</x:v>
      </x:c>
      <x:c r="E294" t="str">
        <x:v>Chief Payroll And Personnel Clerk</x:v>
      </x:c>
      <x:c r="F294" t="str">
        <x:v>COMMN</x:v>
      </x:c>
      <x:c r="G294" t="str">
        <x:v>48.975</x:v>
      </x:c>
      <x:c r="H294" t="str">
        <x:v>51.4375</x:v>
      </x:c>
      <x:c r="I294" t="str">
        <x:v>54.025</x:v>
      </x:c>
      <x:c r="J294" t="str">
        <x:v>56.7</x:v>
      </x:c>
      <x:c r="K294" t="str">
        <x:v>59.5125</x:v>
      </x:c>
      <x:c r="L294" t="str"/>
      <x:c r="M294" t="str"/>
      <x:c r="N294" t="str"/>
      <x:c r="O294" t="str"/>
      <x:c r="P294" t="str"/>
      <x:c r="Q294" t="str"/>
      <x:c r="R294" t="str"/>
      <x:c r="S294" t="str"/>
      <x:c r="T294" t="str"/>
      <x:c r="U294" t="str"/>
      <x:c r="V294" t="str"/>
      <x:c r="W294" t="str"/>
      <x:c r="X294" t="str"/>
      <x:c r="Y294" t="str"/>
      <x:c r="Z294" t="str"/>
      <x:c r="AA294" t="str"/>
      <x:c r="AB294" t="str"/>
      <x:c r="AC294" t="str"/>
      <x:c r="AD294" t="str"/>
      <x:c r="AE294" t="str"/>
      <x:c r="AF294" t="str"/>
      <x:c r="AG294" t="str"/>
      <x:c r="AH294" t="str">
        <x:f>D294&amp;"|"&amp;UPPER(F294)&amp;"|"&amp;LEFT(B294,10)</x:f>
        <x:v>1226|COMMN|2024-07-01</x:v>
      </x:c>
    </x:row>
    <x:row r="295">
      <x:c r="A295" s="22" t="n">
        <x:v>1418</x:v>
      </x:c>
      <x:c r="B295" t="str">
        <x:v>2024-07-01T00:00:00</x:v>
      </x:c>
      <x:c r="C295" t="str">
        <x:v>1226Z</x:v>
      </x:c>
      <x:c r="D295" t="str">
        <x:v>1226</x:v>
      </x:c>
      <x:c r="E295" t="str">
        <x:v>Chief Payroll And Personnel Clerk</x:v>
      </x:c>
      <x:c r="F295" t="str">
        <x:v>SFMTA</x:v>
      </x:c>
      <x:c r="G295" t="str">
        <x:v>48.975</x:v>
      </x:c>
      <x:c r="H295" t="str">
        <x:v>51.4375</x:v>
      </x:c>
      <x:c r="I295" t="str">
        <x:v>54.025</x:v>
      </x:c>
      <x:c r="J295" t="str">
        <x:v>56.7</x:v>
      </x:c>
      <x:c r="K295" t="str">
        <x:v>59.5125</x:v>
      </x:c>
      <x:c r="L295" t="str"/>
      <x:c r="M295" t="str"/>
      <x:c r="N295" t="str"/>
      <x:c r="O295" t="str"/>
      <x:c r="P295" t="str"/>
      <x:c r="Q295" t="str"/>
      <x:c r="R295" t="str"/>
      <x:c r="S295" t="str"/>
      <x:c r="T295" t="str"/>
      <x:c r="U295" t="str"/>
      <x:c r="V295" t="str"/>
      <x:c r="W295" t="str"/>
      <x:c r="X295" t="str"/>
      <x:c r="Y295" t="str"/>
      <x:c r="Z295" t="str"/>
      <x:c r="AA295" t="str"/>
      <x:c r="AB295" t="str"/>
      <x:c r="AC295" t="str"/>
      <x:c r="AD295" t="str"/>
      <x:c r="AE295" t="str"/>
      <x:c r="AF295" t="str"/>
      <x:c r="AG295" t="str"/>
      <x:c r="AH295" t="str">
        <x:f>D295&amp;"|"&amp;UPPER(F295)&amp;"|"&amp;LEFT(B295,10)</x:f>
        <x:v>1226|SFMTA|2024-07-01</x:v>
      </x:c>
    </x:row>
    <x:row r="296">
      <x:c r="A296" s="22" t="n">
        <x:v>1407</x:v>
      </x:c>
      <x:c r="B296" t="str">
        <x:v>2025-01-04T00:00:00</x:v>
      </x:c>
      <x:c r="C296" t="str">
        <x:v>1226A</x:v>
      </x:c>
      <x:c r="D296" t="str">
        <x:v>1226</x:v>
      </x:c>
      <x:c r="E296" t="str">
        <x:v>Chief Payroll And Personnel Clerk</x:v>
      </x:c>
      <x:c r="F296" t="str">
        <x:v>COMMN</x:v>
      </x:c>
      <x:c r="G296" t="str">
        <x:v>49.7125</x:v>
      </x:c>
      <x:c r="H296" t="str">
        <x:v>52.2125</x:v>
      </x:c>
      <x:c r="I296" t="str">
        <x:v>54.8375</x:v>
      </x:c>
      <x:c r="J296" t="str">
        <x:v>57.55</x:v>
      </x:c>
      <x:c r="K296" t="str">
        <x:v>60.4</x:v>
      </x:c>
      <x:c r="L296" t="str"/>
      <x:c r="M296" t="str"/>
      <x:c r="N296" t="str"/>
      <x:c r="O296" t="str"/>
      <x:c r="P296" t="str"/>
      <x:c r="Q296" t="str"/>
      <x:c r="R296" t="str"/>
      <x:c r="S296" t="str"/>
      <x:c r="T296" t="str"/>
      <x:c r="U296" t="str"/>
      <x:c r="V296" t="str"/>
      <x:c r="W296" t="str"/>
      <x:c r="X296" t="str"/>
      <x:c r="Y296" t="str"/>
      <x:c r="Z296" t="str"/>
      <x:c r="AA296" t="str"/>
      <x:c r="AB296" t="str"/>
      <x:c r="AC296" t="str"/>
      <x:c r="AD296" t="str"/>
      <x:c r="AE296" t="str"/>
      <x:c r="AF296" t="str"/>
      <x:c r="AG296" t="str"/>
      <x:c r="AH296" t="str">
        <x:f>D296&amp;"|"&amp;UPPER(F296)&amp;"|"&amp;LEFT(B296,10)</x:f>
        <x:v>1226|COMMN|2025-01-04</x:v>
      </x:c>
    </x:row>
    <x:row r="297">
      <x:c r="A297" s="22" t="n">
        <x:v>1419</x:v>
      </x:c>
      <x:c r="B297" t="str">
        <x:v>2025-01-04T00:00:00</x:v>
      </x:c>
      <x:c r="C297" t="str">
        <x:v>1226A</x:v>
      </x:c>
      <x:c r="D297" t="str">
        <x:v>1226</x:v>
      </x:c>
      <x:c r="E297" t="str">
        <x:v>Chief Payroll And Personnel Clerk</x:v>
      </x:c>
      <x:c r="F297" t="str">
        <x:v>SFMTA</x:v>
      </x:c>
      <x:c r="G297" t="str">
        <x:v>49.7125</x:v>
      </x:c>
      <x:c r="H297" t="str">
        <x:v>52.2125</x:v>
      </x:c>
      <x:c r="I297" t="str">
        <x:v>54.8375</x:v>
      </x:c>
      <x:c r="J297" t="str">
        <x:v>57.55</x:v>
      </x:c>
      <x:c r="K297" t="str">
        <x:v>60.4</x:v>
      </x:c>
      <x:c r="L297" t="str"/>
      <x:c r="M297" t="str"/>
      <x:c r="N297" t="str"/>
      <x:c r="O297" t="str"/>
      <x:c r="P297" t="str"/>
      <x:c r="Q297" t="str"/>
      <x:c r="R297" t="str"/>
      <x:c r="S297" t="str"/>
      <x:c r="T297" t="str"/>
      <x:c r="U297" t="str"/>
      <x:c r="V297" t="str"/>
      <x:c r="W297" t="str"/>
      <x:c r="X297" t="str"/>
      <x:c r="Y297" t="str"/>
      <x:c r="Z297" t="str"/>
      <x:c r="AA297" t="str"/>
      <x:c r="AB297" t="str"/>
      <x:c r="AC297" t="str"/>
      <x:c r="AD297" t="str"/>
      <x:c r="AE297" t="str"/>
      <x:c r="AF297" t="str"/>
      <x:c r="AG297" t="str"/>
      <x:c r="AH297" t="str">
        <x:f>D297&amp;"|"&amp;UPPER(F297)&amp;"|"&amp;LEFT(B297,10)</x:f>
        <x:v>1226|SFMTA|2025-01-04</x:v>
      </x:c>
    </x:row>
    <x:row r="298">
      <x:c r="A298" s="22" t="n">
        <x:v>1408</x:v>
      </x:c>
      <x:c r="B298" t="str">
        <x:v>2025-07-01T00:00:00</x:v>
      </x:c>
      <x:c r="C298" t="str">
        <x:v>1226B</x:v>
      </x:c>
      <x:c r="D298" t="str">
        <x:v>1226</x:v>
      </x:c>
      <x:c r="E298" t="str">
        <x:v>Chf Payroll &amp; Personnel Clerk</x:v>
      </x:c>
      <x:c r="F298" t="str">
        <x:v>COMMN</x:v>
      </x:c>
      <x:c r="G298" t="str">
        <x:v>50.7125</x:v>
      </x:c>
      <x:c r="H298" t="str">
        <x:v>53.2625</x:v>
      </x:c>
      <x:c r="I298" t="str">
        <x:v>55.9375</x:v>
      </x:c>
      <x:c r="J298" t="str">
        <x:v>58.7125</x:v>
      </x:c>
      <x:c r="K298" t="str">
        <x:v>61.6125</x:v>
      </x:c>
      <x:c r="L298" t="str"/>
      <x:c r="M298" t="str"/>
      <x:c r="N298" t="str"/>
      <x:c r="O298" t="str"/>
      <x:c r="P298" t="str"/>
      <x:c r="Q298" t="str"/>
      <x:c r="R298" t="str"/>
      <x:c r="S298" t="str"/>
      <x:c r="T298" t="str"/>
      <x:c r="U298" t="str"/>
      <x:c r="V298" t="str"/>
      <x:c r="W298" t="str"/>
      <x:c r="X298" t="str"/>
      <x:c r="Y298" t="str"/>
      <x:c r="Z298" t="str"/>
      <x:c r="AA298" t="str"/>
      <x:c r="AB298" t="str"/>
      <x:c r="AC298" t="str"/>
      <x:c r="AD298" t="str"/>
      <x:c r="AE298" t="str"/>
      <x:c r="AF298" t="str"/>
      <x:c r="AG298" t="str"/>
      <x:c r="AH298" t="str">
        <x:f>D298&amp;"|"&amp;UPPER(F298)&amp;"|"&amp;LEFT(B298,10)</x:f>
        <x:v>1226|COMMN|2025-07-01</x:v>
      </x:c>
    </x:row>
    <x:row r="299">
      <x:c r="A299" s="22" t="n">
        <x:v>1420</x:v>
      </x:c>
      <x:c r="B299" t="str">
        <x:v>2025-07-01T00:00:00</x:v>
      </x:c>
      <x:c r="C299" t="str">
        <x:v>1226B</x:v>
      </x:c>
      <x:c r="D299" t="str">
        <x:v>1226</x:v>
      </x:c>
      <x:c r="E299" t="str">
        <x:v>Chf Payroll &amp; Personnel Clerk</x:v>
      </x:c>
      <x:c r="F299" t="str">
        <x:v>SFMTA</x:v>
      </x:c>
      <x:c r="G299" t="str">
        <x:v>50.7125</x:v>
      </x:c>
      <x:c r="H299" t="str">
        <x:v>53.2625</x:v>
      </x:c>
      <x:c r="I299" t="str">
        <x:v>55.9375</x:v>
      </x:c>
      <x:c r="J299" t="str">
        <x:v>58.7125</x:v>
      </x:c>
      <x:c r="K299" t="str">
        <x:v>61.6125</x:v>
      </x:c>
      <x:c r="L299" t="str"/>
      <x:c r="M299" t="str"/>
      <x:c r="N299" t="str"/>
      <x:c r="O299" t="str"/>
      <x:c r="P299" t="str"/>
      <x:c r="Q299" t="str"/>
      <x:c r="R299" t="str"/>
      <x:c r="S299" t="str"/>
      <x:c r="T299" t="str"/>
      <x:c r="U299" t="str"/>
      <x:c r="V299" t="str"/>
      <x:c r="W299" t="str"/>
      <x:c r="X299" t="str"/>
      <x:c r="Y299" t="str"/>
      <x:c r="Z299" t="str"/>
      <x:c r="AA299" t="str"/>
      <x:c r="AB299" t="str"/>
      <x:c r="AC299" t="str"/>
      <x:c r="AD299" t="str"/>
      <x:c r="AE299" t="str"/>
      <x:c r="AF299" t="str"/>
      <x:c r="AG299" t="str"/>
      <x:c r="AH299" t="str">
        <x:f>D299&amp;"|"&amp;UPPER(F299)&amp;"|"&amp;LEFT(B299,10)</x:f>
        <x:v>1226|SFMTA|2025-07-01</x:v>
      </x:c>
    </x:row>
    <x:row r="300">
      <x:c r="A300" s="22" t="n">
        <x:v>1409</x:v>
      </x:c>
      <x:c r="B300" t="str">
        <x:v>2026-01-03T00:00:00</x:v>
      </x:c>
      <x:c r="C300" t="str">
        <x:v>1226C</x:v>
      </x:c>
      <x:c r="D300" t="str">
        <x:v>1226</x:v>
      </x:c>
      <x:c r="E300" t="str">
        <x:v>Chf Payroll &amp; Personnel Clerk</x:v>
      </x:c>
      <x:c r="F300" t="str">
        <x:v>COMMN</x:v>
      </x:c>
      <x:c r="G300" t="str">
        <x:v>51.475</x:v>
      </x:c>
      <x:c r="H300" t="str">
        <x:v>54.0625</x:v>
      </x:c>
      <x:c r="I300" t="str">
        <x:v>56.775</x:v>
      </x:c>
      <x:c r="J300" t="str">
        <x:v>59.5875</x:v>
      </x:c>
      <x:c r="K300" t="str">
        <x:v>62.5375</x:v>
      </x:c>
      <x:c r="L300" t="str"/>
      <x:c r="M300" t="str"/>
      <x:c r="N300" t="str"/>
      <x:c r="O300" t="str"/>
      <x:c r="P300" t="str"/>
      <x:c r="Q300" t="str"/>
      <x:c r="R300" t="str"/>
      <x:c r="S300" t="str"/>
      <x:c r="T300" t="str"/>
      <x:c r="U300" t="str"/>
      <x:c r="V300" t="str"/>
      <x:c r="W300" t="str"/>
      <x:c r="X300" t="str"/>
      <x:c r="Y300" t="str"/>
      <x:c r="Z300" t="str"/>
      <x:c r="AA300" t="str"/>
      <x:c r="AB300" t="str"/>
      <x:c r="AC300" t="str"/>
      <x:c r="AD300" t="str"/>
      <x:c r="AE300" t="str"/>
      <x:c r="AF300" t="str"/>
      <x:c r="AG300" t="str"/>
      <x:c r="AH300" t="str">
        <x:f>D300&amp;"|"&amp;UPPER(F300)&amp;"|"&amp;LEFT(B300,10)</x:f>
        <x:v>1226|COMMN|2026-01-03</x:v>
      </x:c>
    </x:row>
    <x:row r="301">
      <x:c r="A301" s="22" t="n">
        <x:v>1421</x:v>
      </x:c>
      <x:c r="B301" t="str">
        <x:v>2026-01-03T00:00:00</x:v>
      </x:c>
      <x:c r="C301" t="str">
        <x:v>1226C</x:v>
      </x:c>
      <x:c r="D301" t="str">
        <x:v>1226</x:v>
      </x:c>
      <x:c r="E301" t="str">
        <x:v>Chf Payroll &amp; Personnel Clerk</x:v>
      </x:c>
      <x:c r="F301" t="str">
        <x:v>SFMTA</x:v>
      </x:c>
      <x:c r="G301" t="str">
        <x:v>51.475</x:v>
      </x:c>
      <x:c r="H301" t="str">
        <x:v>54.0625</x:v>
      </x:c>
      <x:c r="I301" t="str">
        <x:v>56.775</x:v>
      </x:c>
      <x:c r="J301" t="str">
        <x:v>59.5875</x:v>
      </x:c>
      <x:c r="K301" t="str">
        <x:v>62.5375</x:v>
      </x:c>
      <x:c r="L301" t="str"/>
      <x:c r="M301" t="str"/>
      <x:c r="N301" t="str"/>
      <x:c r="O301" t="str"/>
      <x:c r="P301" t="str"/>
      <x:c r="Q301" t="str"/>
      <x:c r="R301" t="str"/>
      <x:c r="S301" t="str"/>
      <x:c r="T301" t="str"/>
      <x:c r="U301" t="str"/>
      <x:c r="V301" t="str"/>
      <x:c r="W301" t="str"/>
      <x:c r="X301" t="str"/>
      <x:c r="Y301" t="str"/>
      <x:c r="Z301" t="str"/>
      <x:c r="AA301" t="str"/>
      <x:c r="AB301" t="str"/>
      <x:c r="AC301" t="str"/>
      <x:c r="AD301" t="str"/>
      <x:c r="AE301" t="str"/>
      <x:c r="AF301" t="str"/>
      <x:c r="AG301" t="str"/>
      <x:c r="AH301" t="str">
        <x:f>D301&amp;"|"&amp;UPPER(F301)&amp;"|"&amp;LEFT(B301,10)</x:f>
        <x:v>1226|SFMTA|2026-01-03</x:v>
      </x:c>
    </x:row>
    <x:row r="302">
      <x:c r="A302" s="22" t="n">
        <x:v>1410</x:v>
      </x:c>
      <x:c r="B302" t="str">
        <x:v>2026-07-01T00:00:00</x:v>
      </x:c>
      <x:c r="C302" t="str">
        <x:v>1226D</x:v>
      </x:c>
      <x:c r="D302" t="str">
        <x:v>1226</x:v>
      </x:c>
      <x:c r="E302" t="str">
        <x:v>Chf Payroll &amp; Personnel Clerk</x:v>
      </x:c>
      <x:c r="F302" t="str">
        <x:v>COMMN</x:v>
      </x:c>
      <x:c r="G302" t="str">
        <x:v>52.5</x:v>
      </x:c>
      <x:c r="H302" t="str">
        <x:v>55.15</x:v>
      </x:c>
      <x:c r="I302" t="str">
        <x:v>57.9125</x:v>
      </x:c>
      <x:c r="J302" t="str">
        <x:v>60.775</x:v>
      </x:c>
      <x:c r="K302" t="str">
        <x:v>63.7875</x:v>
      </x:c>
      <x:c r="L302" t="str"/>
      <x:c r="M302" t="str"/>
      <x:c r="N302" t="str"/>
      <x:c r="O302" t="str"/>
      <x:c r="P302" t="str"/>
      <x:c r="Q302" t="str"/>
      <x:c r="R302" t="str"/>
      <x:c r="S302" t="str"/>
      <x:c r="T302" t="str"/>
      <x:c r="U302" t="str"/>
      <x:c r="V302" t="str"/>
      <x:c r="W302" t="str"/>
      <x:c r="X302" t="str"/>
      <x:c r="Y302" t="str"/>
      <x:c r="Z302" t="str"/>
      <x:c r="AA302" t="str"/>
      <x:c r="AB302" t="str"/>
      <x:c r="AC302" t="str"/>
      <x:c r="AD302" t="str"/>
      <x:c r="AE302" t="str"/>
      <x:c r="AF302" t="str"/>
      <x:c r="AG302" t="str"/>
      <x:c r="AH302" t="str">
        <x:f>D302&amp;"|"&amp;UPPER(F302)&amp;"|"&amp;LEFT(B302,10)</x:f>
        <x:v>1226|COMMN|2026-07-01</x:v>
      </x:c>
    </x:row>
    <x:row r="303">
      <x:c r="A303" s="22" t="n">
        <x:v>1422</x:v>
      </x:c>
      <x:c r="B303" t="str">
        <x:v>2026-07-01T00:00:00</x:v>
      </x:c>
      <x:c r="C303" t="str">
        <x:v>1226D</x:v>
      </x:c>
      <x:c r="D303" t="str">
        <x:v>1226</x:v>
      </x:c>
      <x:c r="E303" t="str">
        <x:v>Chf Payroll &amp; Personnel Clerk</x:v>
      </x:c>
      <x:c r="F303" t="str">
        <x:v>SFMTA</x:v>
      </x:c>
      <x:c r="G303" t="str">
        <x:v>52.5</x:v>
      </x:c>
      <x:c r="H303" t="str">
        <x:v>55.15</x:v>
      </x:c>
      <x:c r="I303" t="str">
        <x:v>57.9125</x:v>
      </x:c>
      <x:c r="J303" t="str">
        <x:v>60.775</x:v>
      </x:c>
      <x:c r="K303" t="str">
        <x:v>63.7875</x:v>
      </x:c>
      <x:c r="L303" t="str"/>
      <x:c r="M303" t="str"/>
      <x:c r="N303" t="str"/>
      <x:c r="O303" t="str"/>
      <x:c r="P303" t="str"/>
      <x:c r="Q303" t="str"/>
      <x:c r="R303" t="str"/>
      <x:c r="S303" t="str"/>
      <x:c r="T303" t="str"/>
      <x:c r="U303" t="str"/>
      <x:c r="V303" t="str"/>
      <x:c r="W303" t="str"/>
      <x:c r="X303" t="str"/>
      <x:c r="Y303" t="str"/>
      <x:c r="Z303" t="str"/>
      <x:c r="AA303" t="str"/>
      <x:c r="AB303" t="str"/>
      <x:c r="AC303" t="str"/>
      <x:c r="AD303" t="str"/>
      <x:c r="AE303" t="str"/>
      <x:c r="AF303" t="str"/>
      <x:c r="AG303" t="str"/>
      <x:c r="AH303" t="str">
        <x:f>D303&amp;"|"&amp;UPPER(F303)&amp;"|"&amp;LEFT(B303,10)</x:f>
        <x:v>1226|SFMTA|2026-07-01</x:v>
      </x:c>
    </x:row>
    <x:row r="304">
      <x:c r="A304" s="22" t="n">
        <x:v>1490</x:v>
      </x:c>
      <x:c r="B304" t="str">
        <x:v>2020-07-01T00:00:00</x:v>
      </x:c>
      <x:c r="C304" t="str">
        <x:v>1231S</x:v>
      </x:c>
      <x:c r="D304" t="str">
        <x:v>1231</x:v>
      </x:c>
      <x:c r="E304" t="str">
        <x:v>Equal Employment Opportunity Programs Senior Specialist</x:v>
      </x:c>
      <x:c r="F304" t="str">
        <x:v>COMMN</x:v>
      </x:c>
      <x:c r="G304" t="str">
        <x:v>52.2625</x:v>
      </x:c>
      <x:c r="H304" t="str">
        <x:v>54.875</x:v>
      </x:c>
      <x:c r="I304" t="str">
        <x:v>57.6125</x:v>
      </x:c>
      <x:c r="J304" t="str">
        <x:v>60.5125</x:v>
      </x:c>
      <x:c r="K304" t="str">
        <x:v>63.5125</x:v>
      </x:c>
      <x:c r="L304" t="str">
        <x:v>65.1</x:v>
      </x:c>
      <x:c r="M304" t="str">
        <x:v>66.725</x:v>
      </x:c>
      <x:c r="N304" t="str">
        <x:v>68.3875</x:v>
      </x:c>
      <x:c r="O304" t="str"/>
      <x:c r="P304" t="str"/>
      <x:c r="Q304" t="str"/>
      <x:c r="R304" t="str"/>
      <x:c r="S304" t="str"/>
      <x:c r="T304" t="str"/>
      <x:c r="U304" t="str"/>
      <x:c r="V304" t="str"/>
      <x:c r="W304" t="str"/>
      <x:c r="X304" t="str"/>
      <x:c r="Y304" t="str"/>
      <x:c r="Z304" t="str"/>
      <x:c r="AA304" t="str"/>
      <x:c r="AB304" t="str"/>
      <x:c r="AC304" t="str"/>
      <x:c r="AD304" t="str"/>
      <x:c r="AE304" t="str"/>
      <x:c r="AF304" t="str"/>
      <x:c r="AG304" t="str"/>
      <x:c r="AH304" t="str">
        <x:f>D304&amp;"|"&amp;UPPER(F304)&amp;"|"&amp;LEFT(B304,10)</x:f>
        <x:v>1231|COMMN|2020-07-01</x:v>
      </x:c>
    </x:row>
    <x:row r="305">
      <x:c r="A305" s="22" t="n">
        <x:v>1496</x:v>
      </x:c>
      <x:c r="B305" t="str">
        <x:v>2024-01-06T00:00:00</x:v>
      </x:c>
      <x:c r="C305" t="str">
        <x:v>1231Y</x:v>
      </x:c>
      <x:c r="D305" t="str">
        <x:v>1231</x:v>
      </x:c>
      <x:c r="E305" t="str">
        <x:v>Equal Employment Opportunity Programs Senior Specialist</x:v>
      </x:c>
      <x:c r="F305" t="str">
        <x:v>COMMN</x:v>
      </x:c>
      <x:c r="G305" t="str">
        <x:v>61.7625</x:v>
      </x:c>
      <x:c r="H305" t="str">
        <x:v>64.8625</x:v>
      </x:c>
      <x:c r="I305" t="str">
        <x:v>68.1</x:v>
      </x:c>
      <x:c r="J305" t="str">
        <x:v>71.5125</x:v>
      </x:c>
      <x:c r="K305" t="str">
        <x:v>75.0625</x:v>
      </x:c>
      <x:c r="L305" t="str">
        <x:v>76.95</x:v>
      </x:c>
      <x:c r="M305" t="str">
        <x:v>78.85</x:v>
      </x:c>
      <x:c r="N305" t="str">
        <x:v>80.825</x:v>
      </x:c>
      <x:c r="O305" t="str"/>
      <x:c r="P305" t="str"/>
      <x:c r="Q305" t="str"/>
      <x:c r="R305" t="str"/>
      <x:c r="S305" t="str"/>
      <x:c r="T305" t="str"/>
      <x:c r="U305" t="str"/>
      <x:c r="V305" t="str"/>
      <x:c r="W305" t="str"/>
      <x:c r="X305" t="str"/>
      <x:c r="Y305" t="str"/>
      <x:c r="Z305" t="str"/>
      <x:c r="AA305" t="str"/>
      <x:c r="AB305" t="str"/>
      <x:c r="AC305" t="str"/>
      <x:c r="AD305" t="str"/>
      <x:c r="AE305" t="str"/>
      <x:c r="AF305" t="str"/>
      <x:c r="AG305" t="str">
        <x:v>Please note, the last three steps in this salary range represent extended ranges that require department approval based upon recruitment/retention, special skills, limited duration or exemplary performance.</x:v>
      </x:c>
      <x:c r="AH305" t="str">
        <x:f>D305&amp;"|"&amp;UPPER(F305)&amp;"|"&amp;LEFT(B305,10)</x:f>
        <x:v>1231|COMMN|2024-01-06</x:v>
      </x:c>
    </x:row>
    <x:row r="306">
      <x:c r="A306" s="22" t="n">
        <x:v>1508</x:v>
      </x:c>
      <x:c r="B306" t="str">
        <x:v>2024-01-06T00:00:00</x:v>
      </x:c>
      <x:c r="C306" t="str">
        <x:v>1231Y</x:v>
      </x:c>
      <x:c r="D306" t="str">
        <x:v>1231</x:v>
      </x:c>
      <x:c r="E306" t="str">
        <x:v>Equal Employment Opportunity Programs Senior Specialist</x:v>
      </x:c>
      <x:c r="F306" t="str">
        <x:v>SFMTA</x:v>
      </x:c>
      <x:c r="G306" t="str">
        <x:v>61.7625</x:v>
      </x:c>
      <x:c r="H306" t="str">
        <x:v>64.8625</x:v>
      </x:c>
      <x:c r="I306" t="str">
        <x:v>68.1</x:v>
      </x:c>
      <x:c r="J306" t="str">
        <x:v>71.5125</x:v>
      </x:c>
      <x:c r="K306" t="str">
        <x:v>75.0625</x:v>
      </x:c>
      <x:c r="L306" t="str">
        <x:v>76.95</x:v>
      </x:c>
      <x:c r="M306" t="str">
        <x:v>78.85</x:v>
      </x:c>
      <x:c r="N306" t="str">
        <x:v>80.825</x:v>
      </x:c>
      <x:c r="O306" t="str"/>
      <x:c r="P306" t="str"/>
      <x:c r="Q306" t="str"/>
      <x:c r="R306" t="str"/>
      <x:c r="S306" t="str"/>
      <x:c r="T306" t="str"/>
      <x:c r="U306" t="str"/>
      <x:c r="V306" t="str"/>
      <x:c r="W306" t="str"/>
      <x:c r="X306" t="str"/>
      <x:c r="Y306" t="str"/>
      <x:c r="Z306" t="str"/>
      <x:c r="AA306" t="str"/>
      <x:c r="AB306" t="str"/>
      <x:c r="AC306" t="str"/>
      <x:c r="AD306" t="str"/>
      <x:c r="AE306" t="str"/>
      <x:c r="AF306" t="str"/>
      <x:c r="AG306" t="str">
        <x:v>Please note, the last three steps in this salary range represent extended ranges that require department approval based upon recruitment/retention, special skills, limited duration or exemplary performance.</x:v>
      </x:c>
      <x:c r="AH306" t="str">
        <x:f>D306&amp;"|"&amp;UPPER(F306)&amp;"|"&amp;LEFT(B306,10)</x:f>
        <x:v>1231|SFMTA|2024-01-06</x:v>
      </x:c>
    </x:row>
    <x:row r="307">
      <x:c r="A307" s="22" t="n">
        <x:v>1497</x:v>
      </x:c>
      <x:c r="B307" t="str">
        <x:v>2024-07-01T00:00:00</x:v>
      </x:c>
      <x:c r="C307" t="str">
        <x:v>1231Z</x:v>
      </x:c>
      <x:c r="D307" t="str">
        <x:v>1231</x:v>
      </x:c>
      <x:c r="E307" t="str">
        <x:v>Equal Employment Opportunity Programs Senior Specialist</x:v>
      </x:c>
      <x:c r="F307" t="str">
        <x:v>COMMN</x:v>
      </x:c>
      <x:c r="G307" t="str">
        <x:v>62.6875</x:v>
      </x:c>
      <x:c r="H307" t="str">
        <x:v>65.8375</x:v>
      </x:c>
      <x:c r="I307" t="str">
        <x:v>69.125</x:v>
      </x:c>
      <x:c r="J307" t="str">
        <x:v>72.5875</x:v>
      </x:c>
      <x:c r="K307" t="str">
        <x:v>76.1875</x:v>
      </x:c>
      <x:c r="L307" t="str">
        <x:v>78.1</x:v>
      </x:c>
      <x:c r="M307" t="str">
        <x:v>80.0375</x:v>
      </x:c>
      <x:c r="N307" t="str">
        <x:v>82.0375</x:v>
      </x:c>
      <x:c r="O307" t="str"/>
      <x:c r="P307" t="str"/>
      <x:c r="Q307" t="str"/>
      <x:c r="R307" t="str"/>
      <x:c r="S307" t="str"/>
      <x:c r="T307" t="str"/>
      <x:c r="U307" t="str"/>
      <x:c r="V307" t="str"/>
      <x:c r="W307" t="str"/>
      <x:c r="X307" t="str"/>
      <x:c r="Y307" t="str"/>
      <x:c r="Z307" t="str"/>
      <x:c r="AA307" t="str"/>
      <x:c r="AB307" t="str"/>
      <x:c r="AC307" t="str"/>
      <x:c r="AD307" t="str"/>
      <x:c r="AE307" t="str"/>
      <x:c r="AF307" t="str"/>
      <x:c r="AG307" t="str">
        <x:v>Please note, the last three steps in this salary range represent extended ranges that require department approval based upon recruitment/retention, special skills, limited duration or exemplary performance.</x:v>
      </x:c>
      <x:c r="AH307" t="str">
        <x:f>D307&amp;"|"&amp;UPPER(F307)&amp;"|"&amp;LEFT(B307,10)</x:f>
        <x:v>1231|COMMN|2024-07-01</x:v>
      </x:c>
    </x:row>
    <x:row r="308">
      <x:c r="A308" s="22" t="n">
        <x:v>1509</x:v>
      </x:c>
      <x:c r="B308" t="str">
        <x:v>2024-07-01T00:00:00</x:v>
      </x:c>
      <x:c r="C308" t="str">
        <x:v>1231Z</x:v>
      </x:c>
      <x:c r="D308" t="str">
        <x:v>1231</x:v>
      </x:c>
      <x:c r="E308" t="str">
        <x:v>Equal Employment Opportunity Programs Senior Specialist</x:v>
      </x:c>
      <x:c r="F308" t="str">
        <x:v>SFMTA</x:v>
      </x:c>
      <x:c r="G308" t="str">
        <x:v>62.6875</x:v>
      </x:c>
      <x:c r="H308" t="str">
        <x:v>65.8375</x:v>
      </x:c>
      <x:c r="I308" t="str">
        <x:v>69.125</x:v>
      </x:c>
      <x:c r="J308" t="str">
        <x:v>72.5875</x:v>
      </x:c>
      <x:c r="K308" t="str">
        <x:v>76.1875</x:v>
      </x:c>
      <x:c r="L308" t="str">
        <x:v>78.1</x:v>
      </x:c>
      <x:c r="M308" t="str">
        <x:v>80.0375</x:v>
      </x:c>
      <x:c r="N308" t="str">
        <x:v>82.0375</x:v>
      </x:c>
      <x:c r="O308" t="str"/>
      <x:c r="P308" t="str"/>
      <x:c r="Q308" t="str"/>
      <x:c r="R308" t="str"/>
      <x:c r="S308" t="str"/>
      <x:c r="T308" t="str"/>
      <x:c r="U308" t="str"/>
      <x:c r="V308" t="str"/>
      <x:c r="W308" t="str"/>
      <x:c r="X308" t="str"/>
      <x:c r="Y308" t="str"/>
      <x:c r="Z308" t="str"/>
      <x:c r="AA308" t="str"/>
      <x:c r="AB308" t="str"/>
      <x:c r="AC308" t="str"/>
      <x:c r="AD308" t="str"/>
      <x:c r="AE308" t="str"/>
      <x:c r="AF308" t="str"/>
      <x:c r="AG308" t="str">
        <x:v>Please note, the last three steps in this salary range represent extended ranges that require department approval based upon recruitment/retention, special skills, limited duration or exemplary performance.</x:v>
      </x:c>
      <x:c r="AH308" t="str">
        <x:f>D308&amp;"|"&amp;UPPER(F308)&amp;"|"&amp;LEFT(B308,10)</x:f>
        <x:v>1231|SFMTA|2024-07-01</x:v>
      </x:c>
    </x:row>
    <x:row r="309">
      <x:c r="A309" s="22" t="n">
        <x:v>1498</x:v>
      </x:c>
      <x:c r="B309" t="str">
        <x:v>2025-01-04T00:00:00</x:v>
      </x:c>
      <x:c r="C309" t="str">
        <x:v>1231A</x:v>
      </x:c>
      <x:c r="D309" t="str">
        <x:v>1231</x:v>
      </x:c>
      <x:c r="E309" t="str">
        <x:v>Equal Employment Opportunity Programs Senior Specialist</x:v>
      </x:c>
      <x:c r="F309" t="str">
        <x:v>COMMN</x:v>
      </x:c>
      <x:c r="G309" t="str">
        <x:v>63.625</x:v>
      </x:c>
      <x:c r="H309" t="str">
        <x:v>66.825</x:v>
      </x:c>
      <x:c r="I309" t="str">
        <x:v>70.1625</x:v>
      </x:c>
      <x:c r="J309" t="str">
        <x:v>73.675</x:v>
      </x:c>
      <x:c r="K309" t="str">
        <x:v>77.325</x:v>
      </x:c>
      <x:c r="L309" t="str">
        <x:v>79.275</x:v>
      </x:c>
      <x:c r="M309" t="str">
        <x:v>81.2375</x:v>
      </x:c>
      <x:c r="N309" t="str">
        <x:v>83.2625</x:v>
      </x:c>
      <x:c r="O309" t="str"/>
      <x:c r="P309" t="str"/>
      <x:c r="Q309" t="str"/>
      <x:c r="R309" t="str"/>
      <x:c r="S309" t="str"/>
      <x:c r="T309" t="str"/>
      <x:c r="U309" t="str"/>
      <x:c r="V309" t="str"/>
      <x:c r="W309" t="str"/>
      <x:c r="X309" t="str"/>
      <x:c r="Y309" t="str"/>
      <x:c r="Z309" t="str"/>
      <x:c r="AA309" t="str"/>
      <x:c r="AB309" t="str"/>
      <x:c r="AC309" t="str"/>
      <x:c r="AD309" t="str"/>
      <x:c r="AE309" t="str"/>
      <x:c r="AF309" t="str"/>
      <x:c r="AG309" t="str">
        <x:v>Please note, the last three steps in this salary range represent extended ranges that require department approval based upon recruitment/retention, special skills, limited duration or exemplary performance.</x:v>
      </x:c>
      <x:c r="AH309" t="str">
        <x:f>D309&amp;"|"&amp;UPPER(F309)&amp;"|"&amp;LEFT(B309,10)</x:f>
        <x:v>1231|COMMN|2025-01-04</x:v>
      </x:c>
    </x:row>
    <x:row r="310">
      <x:c r="A310" s="22" t="n">
        <x:v>1510</x:v>
      </x:c>
      <x:c r="B310" t="str">
        <x:v>2025-01-04T00:00:00</x:v>
      </x:c>
      <x:c r="C310" t="str">
        <x:v>1231A</x:v>
      </x:c>
      <x:c r="D310" t="str">
        <x:v>1231</x:v>
      </x:c>
      <x:c r="E310" t="str">
        <x:v>Equal Employment Opportunity Programs Senior Specialist</x:v>
      </x:c>
      <x:c r="F310" t="str">
        <x:v>SFMTA</x:v>
      </x:c>
      <x:c r="G310" t="str">
        <x:v>63.625</x:v>
      </x:c>
      <x:c r="H310" t="str">
        <x:v>66.825</x:v>
      </x:c>
      <x:c r="I310" t="str">
        <x:v>70.1625</x:v>
      </x:c>
      <x:c r="J310" t="str">
        <x:v>73.675</x:v>
      </x:c>
      <x:c r="K310" t="str">
        <x:v>77.325</x:v>
      </x:c>
      <x:c r="L310" t="str">
        <x:v>79.275</x:v>
      </x:c>
      <x:c r="M310" t="str">
        <x:v>81.2375</x:v>
      </x:c>
      <x:c r="N310" t="str">
        <x:v>83.2625</x:v>
      </x:c>
      <x:c r="O310" t="str"/>
      <x:c r="P310" t="str"/>
      <x:c r="Q310" t="str"/>
      <x:c r="R310" t="str"/>
      <x:c r="S310" t="str"/>
      <x:c r="T310" t="str"/>
      <x:c r="U310" t="str"/>
      <x:c r="V310" t="str"/>
      <x:c r="W310" t="str"/>
      <x:c r="X310" t="str"/>
      <x:c r="Y310" t="str"/>
      <x:c r="Z310" t="str"/>
      <x:c r="AA310" t="str"/>
      <x:c r="AB310" t="str"/>
      <x:c r="AC310" t="str"/>
      <x:c r="AD310" t="str"/>
      <x:c r="AE310" t="str"/>
      <x:c r="AF310" t="str"/>
      <x:c r="AG310" t="str">
        <x:v>Please note, the last three steps in this salary range represent extended ranges that require department approval based upon recruitment/retention, special skills, limited duration or exemplary performance.</x:v>
      </x:c>
      <x:c r="AH310" t="str">
        <x:f>D310&amp;"|"&amp;UPPER(F310)&amp;"|"&amp;LEFT(B310,10)</x:f>
        <x:v>1231|SFMTA|2025-01-04</x:v>
      </x:c>
    </x:row>
    <x:row r="311">
      <x:c r="A311" s="22" t="n">
        <x:v>1499</x:v>
      </x:c>
      <x:c r="B311" t="str">
        <x:v>2025-07-01T00:00:00</x:v>
      </x:c>
      <x:c r="C311" t="str">
        <x:v>1231B</x:v>
      </x:c>
      <x:c r="D311" t="str">
        <x:v>1231</x:v>
      </x:c>
      <x:c r="E311" t="str">
        <x:v>EEO Senior Specialist</x:v>
      </x:c>
      <x:c r="F311" t="str">
        <x:v>COMMN</x:v>
      </x:c>
      <x:c r="G311" t="str">
        <x:v>64.9</x:v>
      </x:c>
      <x:c r="H311" t="str">
        <x:v>68.1625</x:v>
      </x:c>
      <x:c r="I311" t="str">
        <x:v>71.575</x:v>
      </x:c>
      <x:c r="J311" t="str">
        <x:v>75.15</x:v>
      </x:c>
      <x:c r="K311" t="str">
        <x:v>78.875</x:v>
      </x:c>
      <x:c r="L311" t="str">
        <x:v>80.8625</x:v>
      </x:c>
      <x:c r="M311" t="str">
        <x:v>82.875</x:v>
      </x:c>
      <x:c r="N311" t="str">
        <x:v>84.9375</x:v>
      </x:c>
      <x:c r="O311" t="str"/>
      <x:c r="P311" t="str"/>
      <x:c r="Q311" t="str"/>
      <x:c r="R311" t="str"/>
      <x:c r="S311" t="str"/>
      <x:c r="T311" t="str"/>
      <x:c r="U311" t="str"/>
      <x:c r="V311" t="str"/>
      <x:c r="W311" t="str"/>
      <x:c r="X311" t="str"/>
      <x:c r="Y311" t="str"/>
      <x:c r="Z311" t="str"/>
      <x:c r="AA311" t="str"/>
      <x:c r="AB311" t="str"/>
      <x:c r="AC311" t="str"/>
      <x:c r="AD311" t="str"/>
      <x:c r="AE311" t="str"/>
      <x:c r="AF311" t="str"/>
      <x:c r="AG311" t="str">
        <x:v>Please note, the last three steps in this salary range represent extended ranges that require department approval based upon recruitment/retention, special skills, limited duration or exemplary performance.</x:v>
      </x:c>
      <x:c r="AH311" t="str">
        <x:f>D311&amp;"|"&amp;UPPER(F311)&amp;"|"&amp;LEFT(B311,10)</x:f>
        <x:v>1231|COMMN|2025-07-01</x:v>
      </x:c>
    </x:row>
    <x:row r="312">
      <x:c r="A312" s="22" t="n">
        <x:v>1511</x:v>
      </x:c>
      <x:c r="B312" t="str">
        <x:v>2025-07-01T00:00:00</x:v>
      </x:c>
      <x:c r="C312" t="str">
        <x:v>1231B</x:v>
      </x:c>
      <x:c r="D312" t="str">
        <x:v>1231</x:v>
      </x:c>
      <x:c r="E312" t="str">
        <x:v>EEO Senior Specialist</x:v>
      </x:c>
      <x:c r="F312" t="str">
        <x:v>SFMTA</x:v>
      </x:c>
      <x:c r="G312" t="str">
        <x:v>64.9</x:v>
      </x:c>
      <x:c r="H312" t="str">
        <x:v>68.1625</x:v>
      </x:c>
      <x:c r="I312" t="str">
        <x:v>71.575</x:v>
      </x:c>
      <x:c r="J312" t="str">
        <x:v>75.15</x:v>
      </x:c>
      <x:c r="K312" t="str">
        <x:v>78.875</x:v>
      </x:c>
      <x:c r="L312" t="str">
        <x:v>80.8625</x:v>
      </x:c>
      <x:c r="M312" t="str">
        <x:v>82.875</x:v>
      </x:c>
      <x:c r="N312" t="str">
        <x:v>84.9375</x:v>
      </x:c>
      <x:c r="O312" t="str"/>
      <x:c r="P312" t="str"/>
      <x:c r="Q312" t="str"/>
      <x:c r="R312" t="str"/>
      <x:c r="S312" t="str"/>
      <x:c r="T312" t="str"/>
      <x:c r="U312" t="str"/>
      <x:c r="V312" t="str"/>
      <x:c r="W312" t="str"/>
      <x:c r="X312" t="str"/>
      <x:c r="Y312" t="str"/>
      <x:c r="Z312" t="str"/>
      <x:c r="AA312" t="str"/>
      <x:c r="AB312" t="str"/>
      <x:c r="AC312" t="str"/>
      <x:c r="AD312" t="str"/>
      <x:c r="AE312" t="str"/>
      <x:c r="AF312" t="str"/>
      <x:c r="AG312" t="str">
        <x:v>Please note, the last three steps in this salary range represent extended ranges that require department approval based upon recruitment/retention, special skills, limited duration or exemplary performance.</x:v>
      </x:c>
      <x:c r="AH312" t="str">
        <x:f>D312&amp;"|"&amp;UPPER(F312)&amp;"|"&amp;LEFT(B312,10)</x:f>
        <x:v>1231|SFMTA|2025-07-01</x:v>
      </x:c>
    </x:row>
    <x:row r="313">
      <x:c r="A313" s="22" t="n">
        <x:v>1500</x:v>
      </x:c>
      <x:c r="B313" t="str">
        <x:v>2026-01-03T00:00:00</x:v>
      </x:c>
      <x:c r="C313" t="str">
        <x:v>1231C</x:v>
      </x:c>
      <x:c r="D313" t="str">
        <x:v>1231</x:v>
      </x:c>
      <x:c r="E313" t="str">
        <x:v>EEO Senior Specialist</x:v>
      </x:c>
      <x:c r="F313" t="str">
        <x:v>COMMN</x:v>
      </x:c>
      <x:c r="G313" t="str">
        <x:v>65.875</x:v>
      </x:c>
      <x:c r="H313" t="str">
        <x:v>69.1875</x:v>
      </x:c>
      <x:c r="I313" t="str">
        <x:v>72.65</x:v>
      </x:c>
      <x:c r="J313" t="str">
        <x:v>76.275</x:v>
      </x:c>
      <x:c r="K313" t="str">
        <x:v>80.0625</x:v>
      </x:c>
      <x:c r="L313" t="str">
        <x:v>82.075</x:v>
      </x:c>
      <x:c r="M313" t="str">
        <x:v>84.1125</x:v>
      </x:c>
      <x:c r="N313" t="str">
        <x:v>86.2125</x:v>
      </x:c>
      <x:c r="O313" t="str"/>
      <x:c r="P313" t="str"/>
      <x:c r="Q313" t="str"/>
      <x:c r="R313" t="str"/>
      <x:c r="S313" t="str"/>
      <x:c r="T313" t="str"/>
      <x:c r="U313" t="str"/>
      <x:c r="V313" t="str"/>
      <x:c r="W313" t="str"/>
      <x:c r="X313" t="str"/>
      <x:c r="Y313" t="str"/>
      <x:c r="Z313" t="str"/>
      <x:c r="AA313" t="str"/>
      <x:c r="AB313" t="str"/>
      <x:c r="AC313" t="str"/>
      <x:c r="AD313" t="str"/>
      <x:c r="AE313" t="str"/>
      <x:c r="AF313" t="str"/>
      <x:c r="AG313" t="str">
        <x:v>Please note, the last three steps in this salary range represent extended ranges that require department approval based upon recruitment/retention, special skills, limited duration or exemplary performance.</x:v>
      </x:c>
      <x:c r="AH313" t="str">
        <x:f>D313&amp;"|"&amp;UPPER(F313)&amp;"|"&amp;LEFT(B313,10)</x:f>
        <x:v>1231|COMMN|2026-01-03</x:v>
      </x:c>
    </x:row>
    <x:row r="314">
      <x:c r="A314" s="22" t="n">
        <x:v>1512</x:v>
      </x:c>
      <x:c r="B314" t="str">
        <x:v>2026-01-03T00:00:00</x:v>
      </x:c>
      <x:c r="C314" t="str">
        <x:v>1231C</x:v>
      </x:c>
      <x:c r="D314" t="str">
        <x:v>1231</x:v>
      </x:c>
      <x:c r="E314" t="str">
        <x:v>EEO Senior Specialist</x:v>
      </x:c>
      <x:c r="F314" t="str">
        <x:v>SFMTA</x:v>
      </x:c>
      <x:c r="G314" t="str">
        <x:v>65.875</x:v>
      </x:c>
      <x:c r="H314" t="str">
        <x:v>69.1875</x:v>
      </x:c>
      <x:c r="I314" t="str">
        <x:v>72.65</x:v>
      </x:c>
      <x:c r="J314" t="str">
        <x:v>76.275</x:v>
      </x:c>
      <x:c r="K314" t="str">
        <x:v>80.0625</x:v>
      </x:c>
      <x:c r="L314" t="str">
        <x:v>82.075</x:v>
      </x:c>
      <x:c r="M314" t="str">
        <x:v>84.1125</x:v>
      </x:c>
      <x:c r="N314" t="str">
        <x:v>86.2125</x:v>
      </x:c>
      <x:c r="O314" t="str"/>
      <x:c r="P314" t="str"/>
      <x:c r="Q314" t="str"/>
      <x:c r="R314" t="str"/>
      <x:c r="S314" t="str"/>
      <x:c r="T314" t="str"/>
      <x:c r="U314" t="str"/>
      <x:c r="V314" t="str"/>
      <x:c r="W314" t="str"/>
      <x:c r="X314" t="str"/>
      <x:c r="Y314" t="str"/>
      <x:c r="Z314" t="str"/>
      <x:c r="AA314" t="str"/>
      <x:c r="AB314" t="str"/>
      <x:c r="AC314" t="str"/>
      <x:c r="AD314" t="str"/>
      <x:c r="AE314" t="str"/>
      <x:c r="AF314" t="str"/>
      <x:c r="AG314" t="str">
        <x:v>Please note, the last three steps in this salary range represent extended ranges that require department approval based upon recruitment/retention, special skills, limited duration or exemplary performance.</x:v>
      </x:c>
      <x:c r="AH314" t="str">
        <x:f>D314&amp;"|"&amp;UPPER(F314)&amp;"|"&amp;LEFT(B314,10)</x:f>
        <x:v>1231|SFMTA|2026-01-03</x:v>
      </x:c>
    </x:row>
    <x:row r="315">
      <x:c r="A315" s="22" t="n">
        <x:v>1501</x:v>
      </x:c>
      <x:c r="B315" t="str">
        <x:v>2026-07-01T00:00:00</x:v>
      </x:c>
      <x:c r="C315" t="str">
        <x:v>1231D</x:v>
      </x:c>
      <x:c r="D315" t="str">
        <x:v>1231</x:v>
      </x:c>
      <x:c r="E315" t="str">
        <x:v>EEO Senior Specialist</x:v>
      </x:c>
      <x:c r="F315" t="str">
        <x:v>COMMN</x:v>
      </x:c>
      <x:c r="G315" t="str">
        <x:v>67.1875</x:v>
      </x:c>
      <x:c r="H315" t="str">
        <x:v>70.575</x:v>
      </x:c>
      <x:c r="I315" t="str">
        <x:v>74.1</x:v>
      </x:c>
      <x:c r="J315" t="str">
        <x:v>77.8</x:v>
      </x:c>
      <x:c r="K315" t="str">
        <x:v>81.6625</x:v>
      </x:c>
      <x:c r="L315" t="str">
        <x:v>83.7125</x:v>
      </x:c>
      <x:c r="M315" t="str">
        <x:v>85.8</x:v>
      </x:c>
      <x:c r="N315" t="str">
        <x:v>87.9375</x:v>
      </x:c>
      <x:c r="O315" t="str"/>
      <x:c r="P315" t="str"/>
      <x:c r="Q315" t="str"/>
      <x:c r="R315" t="str"/>
      <x:c r="S315" t="str"/>
      <x:c r="T315" t="str"/>
      <x:c r="U315" t="str"/>
      <x:c r="V315" t="str"/>
      <x:c r="W315" t="str"/>
      <x:c r="X315" t="str"/>
      <x:c r="Y315" t="str"/>
      <x:c r="Z315" t="str"/>
      <x:c r="AA315" t="str"/>
      <x:c r="AB315" t="str"/>
      <x:c r="AC315" t="str"/>
      <x:c r="AD315" t="str"/>
      <x:c r="AE315" t="str"/>
      <x:c r="AF315" t="str"/>
      <x:c r="AG315" t="str">
        <x:v>Please note, the last three steps in this salary range represent extended ranges that require department approval based upon recruitment/retention, special skills, limited duration or exemplary performance.</x:v>
      </x:c>
      <x:c r="AH315" t="str">
        <x:f>D315&amp;"|"&amp;UPPER(F315)&amp;"|"&amp;LEFT(B315,10)</x:f>
        <x:v>1231|COMMN|2026-07-01</x:v>
      </x:c>
    </x:row>
    <x:row r="316">
      <x:c r="A316" s="22" t="n">
        <x:v>1513</x:v>
      </x:c>
      <x:c r="B316" t="str">
        <x:v>2026-07-01T00:00:00</x:v>
      </x:c>
      <x:c r="C316" t="str">
        <x:v>1231D</x:v>
      </x:c>
      <x:c r="D316" t="str">
        <x:v>1231</x:v>
      </x:c>
      <x:c r="E316" t="str">
        <x:v>EEO Senior Specialist</x:v>
      </x:c>
      <x:c r="F316" t="str">
        <x:v>SFMTA</x:v>
      </x:c>
      <x:c r="G316" t="str">
        <x:v>67.1875</x:v>
      </x:c>
      <x:c r="H316" t="str">
        <x:v>70.575</x:v>
      </x:c>
      <x:c r="I316" t="str">
        <x:v>74.1</x:v>
      </x:c>
      <x:c r="J316" t="str">
        <x:v>77.8</x:v>
      </x:c>
      <x:c r="K316" t="str">
        <x:v>81.6625</x:v>
      </x:c>
      <x:c r="L316" t="str">
        <x:v>83.7125</x:v>
      </x:c>
      <x:c r="M316" t="str">
        <x:v>85.8</x:v>
      </x:c>
      <x:c r="N316" t="str">
        <x:v>87.9375</x:v>
      </x:c>
      <x:c r="O316" t="str"/>
      <x:c r="P316" t="str"/>
      <x:c r="Q316" t="str"/>
      <x:c r="R316" t="str"/>
      <x:c r="S316" t="str"/>
      <x:c r="T316" t="str"/>
      <x:c r="U316" t="str"/>
      <x:c r="V316" t="str"/>
      <x:c r="W316" t="str"/>
      <x:c r="X316" t="str"/>
      <x:c r="Y316" t="str"/>
      <x:c r="Z316" t="str"/>
      <x:c r="AA316" t="str"/>
      <x:c r="AB316" t="str"/>
      <x:c r="AC316" t="str"/>
      <x:c r="AD316" t="str"/>
      <x:c r="AE316" t="str"/>
      <x:c r="AF316" t="str"/>
      <x:c r="AG316" t="str">
        <x:v>Please note, the last three steps in this salary range represent extended ranges that require department approval based upon recruitment/retention, special skills, limited duration or exemplary performance.</x:v>
      </x:c>
      <x:c r="AH316" t="str">
        <x:f>D316&amp;"|"&amp;UPPER(F316)&amp;"|"&amp;LEFT(B316,10)</x:f>
        <x:v>1231|SFMTA|2026-07-01</x:v>
      </x:c>
    </x:row>
    <x:row r="317">
      <x:c r="A317" s="22" t="n">
        <x:v>1544</x:v>
      </x:c>
      <x:c r="B317" t="str">
        <x:v>2024-01-06T00:00:00</x:v>
      </x:c>
      <x:c r="C317" t="str">
        <x:v>1233Y</x:v>
      </x:c>
      <x:c r="D317" t="str">
        <x:v>1233</x:v>
      </x:c>
      <x:c r="E317" t="str">
        <x:v>Equal Employment Opportunity Programs Specialist</x:v>
      </x:c>
      <x:c r="F317" t="str">
        <x:v>COMMN</x:v>
      </x:c>
      <x:c r="G317" t="str">
        <x:v>52.9</x:v>
      </x:c>
      <x:c r="H317" t="str">
        <x:v>55.5875</x:v>
      </x:c>
      <x:c r="I317" t="str">
        <x:v>58.375</x:v>
      </x:c>
      <x:c r="J317" t="str">
        <x:v>61.3125</x:v>
      </x:c>
      <x:c r="K317" t="str">
        <x:v>64.35</x:v>
      </x:c>
      <x:c r="L317" t="str"/>
      <x:c r="M317" t="str"/>
      <x:c r="N317" t="str"/>
      <x:c r="O317" t="str"/>
      <x:c r="P317" t="str"/>
      <x:c r="Q317" t="str"/>
      <x:c r="R317" t="str"/>
      <x:c r="S317" t="str"/>
      <x:c r="T317" t="str"/>
      <x:c r="U317" t="str"/>
      <x:c r="V317" t="str"/>
      <x:c r="W317" t="str"/>
      <x:c r="X317" t="str"/>
      <x:c r="Y317" t="str"/>
      <x:c r="Z317" t="str"/>
      <x:c r="AA317" t="str"/>
      <x:c r="AB317" t="str"/>
      <x:c r="AC317" t="str"/>
      <x:c r="AD317" t="str"/>
      <x:c r="AE317" t="str"/>
      <x:c r="AF317" t="str"/>
      <x:c r="AG317" t="str"/>
      <x:c r="AH317" t="str">
        <x:f>D317&amp;"|"&amp;UPPER(F317)&amp;"|"&amp;LEFT(B317,10)</x:f>
        <x:v>1233|COMMN|2024-01-06</x:v>
      </x:c>
    </x:row>
    <x:row r="318">
      <x:c r="A318" s="22" t="n">
        <x:v>1556</x:v>
      </x:c>
      <x:c r="B318" t="str">
        <x:v>2024-01-06T00:00:00</x:v>
      </x:c>
      <x:c r="C318" t="str">
        <x:v>1233Y</x:v>
      </x:c>
      <x:c r="D318" t="str">
        <x:v>1233</x:v>
      </x:c>
      <x:c r="E318" t="str">
        <x:v>Equal Employment Opportunity Programs Specialist</x:v>
      </x:c>
      <x:c r="F318" t="str">
        <x:v>SFMTA</x:v>
      </x:c>
      <x:c r="G318" t="str">
        <x:v>52.9</x:v>
      </x:c>
      <x:c r="H318" t="str">
        <x:v>55.5875</x:v>
      </x:c>
      <x:c r="I318" t="str">
        <x:v>58.375</x:v>
      </x:c>
      <x:c r="J318" t="str">
        <x:v>61.3125</x:v>
      </x:c>
      <x:c r="K318" t="str">
        <x:v>64.35</x:v>
      </x:c>
      <x:c r="L318" t="str"/>
      <x:c r="M318" t="str"/>
      <x:c r="N318" t="str"/>
      <x:c r="O318" t="str"/>
      <x:c r="P318" t="str"/>
      <x:c r="Q318" t="str"/>
      <x:c r="R318" t="str"/>
      <x:c r="S318" t="str"/>
      <x:c r="T318" t="str"/>
      <x:c r="U318" t="str"/>
      <x:c r="V318" t="str"/>
      <x:c r="W318" t="str"/>
      <x:c r="X318" t="str"/>
      <x:c r="Y318" t="str"/>
      <x:c r="Z318" t="str"/>
      <x:c r="AA318" t="str"/>
      <x:c r="AB318" t="str"/>
      <x:c r="AC318" t="str"/>
      <x:c r="AD318" t="str"/>
      <x:c r="AE318" t="str"/>
      <x:c r="AF318" t="str"/>
      <x:c r="AG318" t="str"/>
      <x:c r="AH318" t="str">
        <x:f>D318&amp;"|"&amp;UPPER(F318)&amp;"|"&amp;LEFT(B318,10)</x:f>
        <x:v>1233|SFMTA|2024-01-06</x:v>
      </x:c>
    </x:row>
    <x:row r="319">
      <x:c r="A319" s="22" t="n">
        <x:v>1545</x:v>
      </x:c>
      <x:c r="B319" t="str">
        <x:v>2024-07-01T00:00:00</x:v>
      </x:c>
      <x:c r="C319" t="str">
        <x:v>1233Z</x:v>
      </x:c>
      <x:c r="D319" t="str">
        <x:v>1233</x:v>
      </x:c>
      <x:c r="E319" t="str">
        <x:v>Equal Employment Opportunity Programs Specialist</x:v>
      </x:c>
      <x:c r="F319" t="str">
        <x:v>COMMN</x:v>
      </x:c>
      <x:c r="G319" t="str">
        <x:v>53.6875</x:v>
      </x:c>
      <x:c r="H319" t="str">
        <x:v>56.425</x:v>
      </x:c>
      <x:c r="I319" t="str">
        <x:v>59.25</x:v>
      </x:c>
      <x:c r="J319" t="str">
        <x:v>62.2375</x:v>
      </x:c>
      <x:c r="K319" t="str">
        <x:v>65.3125</x:v>
      </x:c>
      <x:c r="L319" t="str"/>
      <x:c r="M319" t="str"/>
      <x:c r="N319" t="str"/>
      <x:c r="O319" t="str"/>
      <x:c r="P319" t="str"/>
      <x:c r="Q319" t="str"/>
      <x:c r="R319" t="str"/>
      <x:c r="S319" t="str"/>
      <x:c r="T319" t="str"/>
      <x:c r="U319" t="str"/>
      <x:c r="V319" t="str"/>
      <x:c r="W319" t="str"/>
      <x:c r="X319" t="str"/>
      <x:c r="Y319" t="str"/>
      <x:c r="Z319" t="str"/>
      <x:c r="AA319" t="str"/>
      <x:c r="AB319" t="str"/>
      <x:c r="AC319" t="str"/>
      <x:c r="AD319" t="str"/>
      <x:c r="AE319" t="str"/>
      <x:c r="AF319" t="str"/>
      <x:c r="AG319" t="str"/>
      <x:c r="AH319" t="str">
        <x:f>D319&amp;"|"&amp;UPPER(F319)&amp;"|"&amp;LEFT(B319,10)</x:f>
        <x:v>1233|COMMN|2024-07-01</x:v>
      </x:c>
    </x:row>
    <x:row r="320">
      <x:c r="A320" s="22" t="n">
        <x:v>1557</x:v>
      </x:c>
      <x:c r="B320" t="str">
        <x:v>2024-07-01T00:00:00</x:v>
      </x:c>
      <x:c r="C320" t="str">
        <x:v>1233Z</x:v>
      </x:c>
      <x:c r="D320" t="str">
        <x:v>1233</x:v>
      </x:c>
      <x:c r="E320" t="str">
        <x:v>Equal Employment Opportunity Programs Specialist</x:v>
      </x:c>
      <x:c r="F320" t="str">
        <x:v>SFMTA</x:v>
      </x:c>
      <x:c r="G320" t="str">
        <x:v>53.6875</x:v>
      </x:c>
      <x:c r="H320" t="str">
        <x:v>56.425</x:v>
      </x:c>
      <x:c r="I320" t="str">
        <x:v>59.25</x:v>
      </x:c>
      <x:c r="J320" t="str">
        <x:v>62.2375</x:v>
      </x:c>
      <x:c r="K320" t="str">
        <x:v>65.3125</x:v>
      </x:c>
      <x:c r="L320" t="str"/>
      <x:c r="M320" t="str"/>
      <x:c r="N320" t="str"/>
      <x:c r="O320" t="str"/>
      <x:c r="P320" t="str"/>
      <x:c r="Q320" t="str"/>
      <x:c r="R320" t="str"/>
      <x:c r="S320" t="str"/>
      <x:c r="T320" t="str"/>
      <x:c r="U320" t="str"/>
      <x:c r="V320" t="str"/>
      <x:c r="W320" t="str"/>
      <x:c r="X320" t="str"/>
      <x:c r="Y320" t="str"/>
      <x:c r="Z320" t="str"/>
      <x:c r="AA320" t="str"/>
      <x:c r="AB320" t="str"/>
      <x:c r="AC320" t="str"/>
      <x:c r="AD320" t="str"/>
      <x:c r="AE320" t="str"/>
      <x:c r="AF320" t="str"/>
      <x:c r="AG320" t="str"/>
      <x:c r="AH320" t="str">
        <x:f>D320&amp;"|"&amp;UPPER(F320)&amp;"|"&amp;LEFT(B320,10)</x:f>
        <x:v>1233|SFMTA|2024-07-01</x:v>
      </x:c>
    </x:row>
    <x:row r="321">
      <x:c r="A321" s="22" t="n">
        <x:v>1546</x:v>
      </x:c>
      <x:c r="B321" t="str">
        <x:v>2025-01-04T00:00:00</x:v>
      </x:c>
      <x:c r="C321" t="str">
        <x:v>1233A</x:v>
      </x:c>
      <x:c r="D321" t="str">
        <x:v>1233</x:v>
      </x:c>
      <x:c r="E321" t="str">
        <x:v>Equal Employment Opportunity Programs Specialist</x:v>
      </x:c>
      <x:c r="F321" t="str">
        <x:v>COMMN</x:v>
      </x:c>
      <x:c r="G321" t="str">
        <x:v>54.4875</x:v>
      </x:c>
      <x:c r="H321" t="str">
        <x:v>57.275</x:v>
      </x:c>
      <x:c r="I321" t="str">
        <x:v>60.1375</x:v>
      </x:c>
      <x:c r="J321" t="str">
        <x:v>63.175</x:v>
      </x:c>
      <x:c r="K321" t="str">
        <x:v>66.2875</x:v>
      </x:c>
      <x:c r="L321" t="str"/>
      <x:c r="M321" t="str"/>
      <x:c r="N321" t="str"/>
      <x:c r="O321" t="str"/>
      <x:c r="P321" t="str"/>
      <x:c r="Q321" t="str"/>
      <x:c r="R321" t="str"/>
      <x:c r="S321" t="str"/>
      <x:c r="T321" t="str"/>
      <x:c r="U321" t="str"/>
      <x:c r="V321" t="str"/>
      <x:c r="W321" t="str"/>
      <x:c r="X321" t="str"/>
      <x:c r="Y321" t="str"/>
      <x:c r="Z321" t="str"/>
      <x:c r="AA321" t="str"/>
      <x:c r="AB321" t="str"/>
      <x:c r="AC321" t="str"/>
      <x:c r="AD321" t="str"/>
      <x:c r="AE321" t="str"/>
      <x:c r="AF321" t="str"/>
      <x:c r="AG321" t="str"/>
      <x:c r="AH321" t="str">
        <x:f>D321&amp;"|"&amp;UPPER(F321)&amp;"|"&amp;LEFT(B321,10)</x:f>
        <x:v>1233|COMMN|2025-01-04</x:v>
      </x:c>
    </x:row>
    <x:row r="322">
      <x:c r="A322" s="22" t="n">
        <x:v>1558</x:v>
      </x:c>
      <x:c r="B322" t="str">
        <x:v>2025-01-04T00:00:00</x:v>
      </x:c>
      <x:c r="C322" t="str">
        <x:v>1233A</x:v>
      </x:c>
      <x:c r="D322" t="str">
        <x:v>1233</x:v>
      </x:c>
      <x:c r="E322" t="str">
        <x:v>Equal Employment Opportunity Programs Specialist</x:v>
      </x:c>
      <x:c r="F322" t="str">
        <x:v>SFMTA</x:v>
      </x:c>
      <x:c r="G322" t="str">
        <x:v>54.4875</x:v>
      </x:c>
      <x:c r="H322" t="str">
        <x:v>57.275</x:v>
      </x:c>
      <x:c r="I322" t="str">
        <x:v>60.1375</x:v>
      </x:c>
      <x:c r="J322" t="str">
        <x:v>63.175</x:v>
      </x:c>
      <x:c r="K322" t="str">
        <x:v>66.2875</x:v>
      </x:c>
      <x:c r="L322" t="str"/>
      <x:c r="M322" t="str"/>
      <x:c r="N322" t="str"/>
      <x:c r="O322" t="str"/>
      <x:c r="P322" t="str"/>
      <x:c r="Q322" t="str"/>
      <x:c r="R322" t="str"/>
      <x:c r="S322" t="str"/>
      <x:c r="T322" t="str"/>
      <x:c r="U322" t="str"/>
      <x:c r="V322" t="str"/>
      <x:c r="W322" t="str"/>
      <x:c r="X322" t="str"/>
      <x:c r="Y322" t="str"/>
      <x:c r="Z322" t="str"/>
      <x:c r="AA322" t="str"/>
      <x:c r="AB322" t="str"/>
      <x:c r="AC322" t="str"/>
      <x:c r="AD322" t="str"/>
      <x:c r="AE322" t="str"/>
      <x:c r="AF322" t="str"/>
      <x:c r="AG322" t="str"/>
      <x:c r="AH322" t="str">
        <x:f>D322&amp;"|"&amp;UPPER(F322)&amp;"|"&amp;LEFT(B322,10)</x:f>
        <x:v>1233|SFMTA|2025-01-04</x:v>
      </x:c>
    </x:row>
    <x:row r="323">
      <x:c r="A323" s="22" t="n">
        <x:v>1547</x:v>
      </x:c>
      <x:c r="B323" t="str">
        <x:v>2025-07-01T00:00:00</x:v>
      </x:c>
      <x:c r="C323" t="str">
        <x:v>1233B</x:v>
      </x:c>
      <x:c r="D323" t="str">
        <x:v>1233</x:v>
      </x:c>
      <x:c r="E323" t="str">
        <x:v>EEO Programs Specialist</x:v>
      </x:c>
      <x:c r="F323" t="str">
        <x:v>COMMN</x:v>
      </x:c>
      <x:c r="G323" t="str">
        <x:v>55.5875</x:v>
      </x:c>
      <x:c r="H323" t="str">
        <x:v>58.425</x:v>
      </x:c>
      <x:c r="I323" t="str">
        <x:v>61.35</x:v>
      </x:c>
      <x:c r="J323" t="str">
        <x:v>64.45</x:v>
      </x:c>
      <x:c r="K323" t="str">
        <x:v>67.625</x:v>
      </x:c>
      <x:c r="L323" t="str"/>
      <x:c r="M323" t="str"/>
      <x:c r="N323" t="str"/>
      <x:c r="O323" t="str"/>
      <x:c r="P323" t="str"/>
      <x:c r="Q323" t="str"/>
      <x:c r="R323" t="str"/>
      <x:c r="S323" t="str"/>
      <x:c r="T323" t="str"/>
      <x:c r="U323" t="str"/>
      <x:c r="V323" t="str"/>
      <x:c r="W323" t="str"/>
      <x:c r="X323" t="str"/>
      <x:c r="Y323" t="str"/>
      <x:c r="Z323" t="str"/>
      <x:c r="AA323" t="str"/>
      <x:c r="AB323" t="str"/>
      <x:c r="AC323" t="str"/>
      <x:c r="AD323" t="str"/>
      <x:c r="AE323" t="str"/>
      <x:c r="AF323" t="str"/>
      <x:c r="AG323" t="str"/>
      <x:c r="AH323" t="str">
        <x:f>D323&amp;"|"&amp;UPPER(F323)&amp;"|"&amp;LEFT(B323,10)</x:f>
        <x:v>1233|COMMN|2025-07-01</x:v>
      </x:c>
    </x:row>
    <x:row r="324">
      <x:c r="A324" s="22" t="n">
        <x:v>1559</x:v>
      </x:c>
      <x:c r="B324" t="str">
        <x:v>2025-07-01T00:00:00</x:v>
      </x:c>
      <x:c r="C324" t="str">
        <x:v>1233B</x:v>
      </x:c>
      <x:c r="D324" t="str">
        <x:v>1233</x:v>
      </x:c>
      <x:c r="E324" t="str">
        <x:v>EEO Programs Specialist</x:v>
      </x:c>
      <x:c r="F324" t="str">
        <x:v>SFMTA</x:v>
      </x:c>
      <x:c r="G324" t="str">
        <x:v>55.5875</x:v>
      </x:c>
      <x:c r="H324" t="str">
        <x:v>58.425</x:v>
      </x:c>
      <x:c r="I324" t="str">
        <x:v>61.35</x:v>
      </x:c>
      <x:c r="J324" t="str">
        <x:v>64.45</x:v>
      </x:c>
      <x:c r="K324" t="str">
        <x:v>67.625</x:v>
      </x:c>
      <x:c r="L324" t="str"/>
      <x:c r="M324" t="str"/>
      <x:c r="N324" t="str"/>
      <x:c r="O324" t="str"/>
      <x:c r="P324" t="str"/>
      <x:c r="Q324" t="str"/>
      <x:c r="R324" t="str"/>
      <x:c r="S324" t="str"/>
      <x:c r="T324" t="str"/>
      <x:c r="U324" t="str"/>
      <x:c r="V324" t="str"/>
      <x:c r="W324" t="str"/>
      <x:c r="X324" t="str"/>
      <x:c r="Y324" t="str"/>
      <x:c r="Z324" t="str"/>
      <x:c r="AA324" t="str"/>
      <x:c r="AB324" t="str"/>
      <x:c r="AC324" t="str"/>
      <x:c r="AD324" t="str"/>
      <x:c r="AE324" t="str"/>
      <x:c r="AF324" t="str"/>
      <x:c r="AG324" t="str"/>
      <x:c r="AH324" t="str">
        <x:f>D324&amp;"|"&amp;UPPER(F324)&amp;"|"&amp;LEFT(B324,10)</x:f>
        <x:v>1233|SFMTA|2025-07-01</x:v>
      </x:c>
    </x:row>
    <x:row r="325">
      <x:c r="A325" s="22" t="n">
        <x:v>1548</x:v>
      </x:c>
      <x:c r="B325" t="str">
        <x:v>2026-01-03T00:00:00</x:v>
      </x:c>
      <x:c r="C325" t="str">
        <x:v>1233C</x:v>
      </x:c>
      <x:c r="D325" t="str">
        <x:v>1233</x:v>
      </x:c>
      <x:c r="E325" t="str">
        <x:v>EEO Programs Specialist</x:v>
      </x:c>
      <x:c r="F325" t="str">
        <x:v>COMMN</x:v>
      </x:c>
      <x:c r="G325" t="str">
        <x:v>56.425</x:v>
      </x:c>
      <x:c r="H325" t="str">
        <x:v>59.3</x:v>
      </x:c>
      <x:c r="I325" t="str">
        <x:v>62.275</x:v>
      </x:c>
      <x:c r="J325" t="str">
        <x:v>65.4125</x:v>
      </x:c>
      <x:c r="K325" t="str">
        <x:v>68.6375</x:v>
      </x:c>
      <x:c r="L325" t="str"/>
      <x:c r="M325" t="str"/>
      <x:c r="N325" t="str"/>
      <x:c r="O325" t="str"/>
      <x:c r="P325" t="str"/>
      <x:c r="Q325" t="str"/>
      <x:c r="R325" t="str"/>
      <x:c r="S325" t="str"/>
      <x:c r="T325" t="str"/>
      <x:c r="U325" t="str"/>
      <x:c r="V325" t="str"/>
      <x:c r="W325" t="str"/>
      <x:c r="X325" t="str"/>
      <x:c r="Y325" t="str"/>
      <x:c r="Z325" t="str"/>
      <x:c r="AA325" t="str"/>
      <x:c r="AB325" t="str"/>
      <x:c r="AC325" t="str"/>
      <x:c r="AD325" t="str"/>
      <x:c r="AE325" t="str"/>
      <x:c r="AF325" t="str"/>
      <x:c r="AG325" t="str"/>
      <x:c r="AH325" t="str">
        <x:f>D325&amp;"|"&amp;UPPER(F325)&amp;"|"&amp;LEFT(B325,10)</x:f>
        <x:v>1233|COMMN|2026-01-03</x:v>
      </x:c>
    </x:row>
    <x:row r="326">
      <x:c r="A326" s="22" t="n">
        <x:v>1560</x:v>
      </x:c>
      <x:c r="B326" t="str">
        <x:v>2026-01-03T00:00:00</x:v>
      </x:c>
      <x:c r="C326" t="str">
        <x:v>1233C</x:v>
      </x:c>
      <x:c r="D326" t="str">
        <x:v>1233</x:v>
      </x:c>
      <x:c r="E326" t="str">
        <x:v>EEO Programs Specialist</x:v>
      </x:c>
      <x:c r="F326" t="str">
        <x:v>SFMTA</x:v>
      </x:c>
      <x:c r="G326" t="str">
        <x:v>56.425</x:v>
      </x:c>
      <x:c r="H326" t="str">
        <x:v>59.3</x:v>
      </x:c>
      <x:c r="I326" t="str">
        <x:v>62.275</x:v>
      </x:c>
      <x:c r="J326" t="str">
        <x:v>65.4125</x:v>
      </x:c>
      <x:c r="K326" t="str">
        <x:v>68.6375</x:v>
      </x:c>
      <x:c r="L326" t="str"/>
      <x:c r="M326" t="str"/>
      <x:c r="N326" t="str"/>
      <x:c r="O326" t="str"/>
      <x:c r="P326" t="str"/>
      <x:c r="Q326" t="str"/>
      <x:c r="R326" t="str"/>
      <x:c r="S326" t="str"/>
      <x:c r="T326" t="str"/>
      <x:c r="U326" t="str"/>
      <x:c r="V326" t="str"/>
      <x:c r="W326" t="str"/>
      <x:c r="X326" t="str"/>
      <x:c r="Y326" t="str"/>
      <x:c r="Z326" t="str"/>
      <x:c r="AA326" t="str"/>
      <x:c r="AB326" t="str"/>
      <x:c r="AC326" t="str"/>
      <x:c r="AD326" t="str"/>
      <x:c r="AE326" t="str"/>
      <x:c r="AF326" t="str"/>
      <x:c r="AG326" t="str"/>
      <x:c r="AH326" t="str">
        <x:f>D326&amp;"|"&amp;UPPER(F326)&amp;"|"&amp;LEFT(B326,10)</x:f>
        <x:v>1233|SFMTA|2026-01-03</x:v>
      </x:c>
    </x:row>
    <x:row r="327">
      <x:c r="A327" s="22" t="n">
        <x:v>1549</x:v>
      </x:c>
      <x:c r="B327" t="str">
        <x:v>2026-07-01T00:00:00</x:v>
      </x:c>
      <x:c r="C327" t="str">
        <x:v>1233D</x:v>
      </x:c>
      <x:c r="D327" t="str">
        <x:v>1233</x:v>
      </x:c>
      <x:c r="E327" t="str">
        <x:v>EEO Programs Specialist</x:v>
      </x:c>
      <x:c r="F327" t="str">
        <x:v>COMMN</x:v>
      </x:c>
      <x:c r="G327" t="str">
        <x:v>57.55</x:v>
      </x:c>
      <x:c r="H327" t="str">
        <x:v>60.4875</x:v>
      </x:c>
      <x:c r="I327" t="str">
        <x:v>63.525</x:v>
      </x:c>
      <x:c r="J327" t="str">
        <x:v>66.725</x:v>
      </x:c>
      <x:c r="K327" t="str">
        <x:v>70.0125</x:v>
      </x:c>
      <x:c r="L327" t="str"/>
      <x:c r="M327" t="str"/>
      <x:c r="N327" t="str"/>
      <x:c r="O327" t="str"/>
      <x:c r="P327" t="str"/>
      <x:c r="Q327" t="str"/>
      <x:c r="R327" t="str"/>
      <x:c r="S327" t="str"/>
      <x:c r="T327" t="str"/>
      <x:c r="U327" t="str"/>
      <x:c r="V327" t="str"/>
      <x:c r="W327" t="str"/>
      <x:c r="X327" t="str"/>
      <x:c r="Y327" t="str"/>
      <x:c r="Z327" t="str"/>
      <x:c r="AA327" t="str"/>
      <x:c r="AB327" t="str"/>
      <x:c r="AC327" t="str"/>
      <x:c r="AD327" t="str"/>
      <x:c r="AE327" t="str"/>
      <x:c r="AF327" t="str"/>
      <x:c r="AG327" t="str"/>
      <x:c r="AH327" t="str">
        <x:f>D327&amp;"|"&amp;UPPER(F327)&amp;"|"&amp;LEFT(B327,10)</x:f>
        <x:v>1233|COMMN|2026-07-01</x:v>
      </x:c>
    </x:row>
    <x:row r="328">
      <x:c r="A328" s="22" t="n">
        <x:v>1561</x:v>
      </x:c>
      <x:c r="B328" t="str">
        <x:v>2026-07-01T00:00:00</x:v>
      </x:c>
      <x:c r="C328" t="str">
        <x:v>1233D</x:v>
      </x:c>
      <x:c r="D328" t="str">
        <x:v>1233</x:v>
      </x:c>
      <x:c r="E328" t="str">
        <x:v>EEO Programs Specialist</x:v>
      </x:c>
      <x:c r="F328" t="str">
        <x:v>SFMTA</x:v>
      </x:c>
      <x:c r="G328" t="str">
        <x:v>57.55</x:v>
      </x:c>
      <x:c r="H328" t="str">
        <x:v>60.4875</x:v>
      </x:c>
      <x:c r="I328" t="str">
        <x:v>63.525</x:v>
      </x:c>
      <x:c r="J328" t="str">
        <x:v>66.725</x:v>
      </x:c>
      <x:c r="K328" t="str">
        <x:v>70.0125</x:v>
      </x:c>
      <x:c r="L328" t="str"/>
      <x:c r="M328" t="str"/>
      <x:c r="N328" t="str"/>
      <x:c r="O328" t="str"/>
      <x:c r="P328" t="str"/>
      <x:c r="Q328" t="str"/>
      <x:c r="R328" t="str"/>
      <x:c r="S328" t="str"/>
      <x:c r="T328" t="str"/>
      <x:c r="U328" t="str"/>
      <x:c r="V328" t="str"/>
      <x:c r="W328" t="str"/>
      <x:c r="X328" t="str"/>
      <x:c r="Y328" t="str"/>
      <x:c r="Z328" t="str"/>
      <x:c r="AA328" t="str"/>
      <x:c r="AB328" t="str"/>
      <x:c r="AC328" t="str"/>
      <x:c r="AD328" t="str"/>
      <x:c r="AE328" t="str"/>
      <x:c r="AF328" t="str"/>
      <x:c r="AG328" t="str"/>
      <x:c r="AH328" t="str">
        <x:f>D328&amp;"|"&amp;UPPER(F328)&amp;"|"&amp;LEFT(B328,10)</x:f>
        <x:v>1233|SFMTA|2026-07-01</x:v>
      </x:c>
    </x:row>
    <x:row r="329">
      <x:c r="A329" s="22" t="n">
        <x:v>1616</x:v>
      </x:c>
      <x:c r="B329" t="str">
        <x:v>2024-01-06T00:00:00</x:v>
      </x:c>
      <x:c r="C329" t="str">
        <x:v>1246Y</x:v>
      </x:c>
      <x:c r="D329" t="str">
        <x:v>1246</x:v>
      </x:c>
      <x:c r="E329" t="str">
        <x:v>Principal Human Resources Analyst</x:v>
      </x:c>
      <x:c r="F329" t="str">
        <x:v>COMMN</x:v>
      </x:c>
      <x:c r="G329" t="str">
        <x:v>69.775</x:v>
      </x:c>
      <x:c r="H329" t="str">
        <x:v>73.2625</x:v>
      </x:c>
      <x:c r="I329" t="str">
        <x:v>76.925</x:v>
      </x:c>
      <x:c r="J329" t="str">
        <x:v>80.775</x:v>
      </x:c>
      <x:c r="K329" t="str">
        <x:v>84.8125</x:v>
      </x:c>
      <x:c r="L329" t="str">
        <x:v>86.9375</x:v>
      </x:c>
      <x:c r="M329" t="str">
        <x:v>89.05</x:v>
      </x:c>
      <x:c r="N329" t="str">
        <x:v>91.2875</x:v>
      </x:c>
      <x:c r="O329" t="str"/>
      <x:c r="P329" t="str"/>
      <x:c r="Q329" t="str"/>
      <x:c r="R329" t="str"/>
      <x:c r="S329" t="str"/>
      <x:c r="T329" t="str"/>
      <x:c r="U329" t="str"/>
      <x:c r="V329" t="str"/>
      <x:c r="W329" t="str"/>
      <x:c r="X329" t="str"/>
      <x:c r="Y329" t="str"/>
      <x:c r="Z329" t="str"/>
      <x:c r="AA329" t="str"/>
      <x:c r="AB329" t="str"/>
      <x:c r="AC329" t="str"/>
      <x:c r="AD329" t="str"/>
      <x:c r="AE329" t="str"/>
      <x:c r="AF329" t="str"/>
      <x:c r="AG329" t="str">
        <x:v>Please note, the last three steps in this salary range represent extended ranges that require department approval based upon recruitment/retention, special skills, limited duration or exemplary performance.</x:v>
      </x:c>
      <x:c r="AH329" t="str">
        <x:f>D329&amp;"|"&amp;UPPER(F329)&amp;"|"&amp;LEFT(B329,10)</x:f>
        <x:v>1246|COMMN|2024-01-06</x:v>
      </x:c>
    </x:row>
    <x:row r="330">
      <x:c r="A330" s="22" t="n">
        <x:v>1628</x:v>
      </x:c>
      <x:c r="B330" t="str">
        <x:v>2024-01-06T00:00:00</x:v>
      </x:c>
      <x:c r="C330" t="str">
        <x:v>1246Y</x:v>
      </x:c>
      <x:c r="D330" t="str">
        <x:v>1246</x:v>
      </x:c>
      <x:c r="E330" t="str">
        <x:v>Principal Human Resources Analyst</x:v>
      </x:c>
      <x:c r="F330" t="str">
        <x:v>SFMTA</x:v>
      </x:c>
      <x:c r="G330" t="str">
        <x:v>69.775</x:v>
      </x:c>
      <x:c r="H330" t="str">
        <x:v>73.2625</x:v>
      </x:c>
      <x:c r="I330" t="str">
        <x:v>76.925</x:v>
      </x:c>
      <x:c r="J330" t="str">
        <x:v>80.775</x:v>
      </x:c>
      <x:c r="K330" t="str">
        <x:v>84.8125</x:v>
      </x:c>
      <x:c r="L330" t="str">
        <x:v>86.9375</x:v>
      </x:c>
      <x:c r="M330" t="str">
        <x:v>89.05</x:v>
      </x:c>
      <x:c r="N330" t="str">
        <x:v>91.2875</x:v>
      </x:c>
      <x:c r="O330" t="str"/>
      <x:c r="P330" t="str"/>
      <x:c r="Q330" t="str"/>
      <x:c r="R330" t="str"/>
      <x:c r="S330" t="str"/>
      <x:c r="T330" t="str"/>
      <x:c r="U330" t="str"/>
      <x:c r="V330" t="str"/>
      <x:c r="W330" t="str"/>
      <x:c r="X330" t="str"/>
      <x:c r="Y330" t="str"/>
      <x:c r="Z330" t="str"/>
      <x:c r="AA330" t="str"/>
      <x:c r="AB330" t="str"/>
      <x:c r="AC330" t="str"/>
      <x:c r="AD330" t="str"/>
      <x:c r="AE330" t="str"/>
      <x:c r="AF330" t="str"/>
      <x:c r="AG330" t="str">
        <x:v>Please note, the last three steps in this salary range represent extended ranges that require department approval based upon recruitment/retention, special skills, limited duration or exemplary performance.</x:v>
      </x:c>
      <x:c r="AH330" t="str">
        <x:f>D330&amp;"|"&amp;UPPER(F330)&amp;"|"&amp;LEFT(B330,10)</x:f>
        <x:v>1246|SFMTA|2024-01-06</x:v>
      </x:c>
    </x:row>
    <x:row r="331">
      <x:c r="A331" s="22" t="n">
        <x:v>1617</x:v>
      </x:c>
      <x:c r="B331" t="str">
        <x:v>2024-07-01T00:00:00</x:v>
      </x:c>
      <x:c r="C331" t="str">
        <x:v>1246Z</x:v>
      </x:c>
      <x:c r="D331" t="str">
        <x:v>1246</x:v>
      </x:c>
      <x:c r="E331" t="str">
        <x:v>Principal Human Resources Analyst</x:v>
      </x:c>
      <x:c r="F331" t="str">
        <x:v>COMMN</x:v>
      </x:c>
      <x:c r="G331" t="str">
        <x:v>70.825</x:v>
      </x:c>
      <x:c r="H331" t="str">
        <x:v>74.3625</x:v>
      </x:c>
      <x:c r="I331" t="str">
        <x:v>78.075</x:v>
      </x:c>
      <x:c r="J331" t="str">
        <x:v>81.9875</x:v>
      </x:c>
      <x:c r="K331" t="str">
        <x:v>86.0875</x:v>
      </x:c>
      <x:c r="L331" t="str">
        <x:v>88.2375</x:v>
      </x:c>
      <x:c r="M331" t="str">
        <x:v>90.3875</x:v>
      </x:c>
      <x:c r="N331" t="str">
        <x:v>92.6625</x:v>
      </x:c>
      <x:c r="O331" t="str"/>
      <x:c r="P331" t="str"/>
      <x:c r="Q331" t="str"/>
      <x:c r="R331" t="str"/>
      <x:c r="S331" t="str"/>
      <x:c r="T331" t="str"/>
      <x:c r="U331" t="str"/>
      <x:c r="V331" t="str"/>
      <x:c r="W331" t="str"/>
      <x:c r="X331" t="str"/>
      <x:c r="Y331" t="str"/>
      <x:c r="Z331" t="str"/>
      <x:c r="AA331" t="str"/>
      <x:c r="AB331" t="str"/>
      <x:c r="AC331" t="str"/>
      <x:c r="AD331" t="str"/>
      <x:c r="AE331" t="str"/>
      <x:c r="AF331" t="str"/>
      <x:c r="AG331" t="str">
        <x:v>Please note, the last three steps in this salary range represent extended ranges that require department approval based upon recruitment/retention, special skills, limited duration or exemplary performance.</x:v>
      </x:c>
      <x:c r="AH331" t="str">
        <x:f>D331&amp;"|"&amp;UPPER(F331)&amp;"|"&amp;LEFT(B331,10)</x:f>
        <x:v>1246|COMMN|2024-07-01</x:v>
      </x:c>
    </x:row>
    <x:row r="332">
      <x:c r="A332" s="22" t="n">
        <x:v>1629</x:v>
      </x:c>
      <x:c r="B332" t="str">
        <x:v>2024-07-01T00:00:00</x:v>
      </x:c>
      <x:c r="C332" t="str">
        <x:v>1246Z</x:v>
      </x:c>
      <x:c r="D332" t="str">
        <x:v>1246</x:v>
      </x:c>
      <x:c r="E332" t="str">
        <x:v>Principal Human Resources Analyst</x:v>
      </x:c>
      <x:c r="F332" t="str">
        <x:v>SFMTA</x:v>
      </x:c>
      <x:c r="G332" t="str">
        <x:v>70.825</x:v>
      </x:c>
      <x:c r="H332" t="str">
        <x:v>74.3625</x:v>
      </x:c>
      <x:c r="I332" t="str">
        <x:v>78.075</x:v>
      </x:c>
      <x:c r="J332" t="str">
        <x:v>81.9875</x:v>
      </x:c>
      <x:c r="K332" t="str">
        <x:v>86.0875</x:v>
      </x:c>
      <x:c r="L332" t="str">
        <x:v>88.2375</x:v>
      </x:c>
      <x:c r="M332" t="str">
        <x:v>90.3875</x:v>
      </x:c>
      <x:c r="N332" t="str">
        <x:v>92.6625</x:v>
      </x:c>
      <x:c r="O332" t="str"/>
      <x:c r="P332" t="str"/>
      <x:c r="Q332" t="str"/>
      <x:c r="R332" t="str"/>
      <x:c r="S332" t="str"/>
      <x:c r="T332" t="str"/>
      <x:c r="U332" t="str"/>
      <x:c r="V332" t="str"/>
      <x:c r="W332" t="str"/>
      <x:c r="X332" t="str"/>
      <x:c r="Y332" t="str"/>
      <x:c r="Z332" t="str"/>
      <x:c r="AA332" t="str"/>
      <x:c r="AB332" t="str"/>
      <x:c r="AC332" t="str"/>
      <x:c r="AD332" t="str"/>
      <x:c r="AE332" t="str"/>
      <x:c r="AF332" t="str"/>
      <x:c r="AG332" t="str">
        <x:v>Please note, the last three steps in this salary range represent extended ranges that require department approval based upon recruitment/retention, special skills, limited duration or exemplary performance.</x:v>
      </x:c>
      <x:c r="AH332" t="str">
        <x:f>D332&amp;"|"&amp;UPPER(F332)&amp;"|"&amp;LEFT(B332,10)</x:f>
        <x:v>1246|SFMTA|2024-07-01</x:v>
      </x:c>
    </x:row>
    <x:row r="333">
      <x:c r="A333" s="22" t="n">
        <x:v>1618</x:v>
      </x:c>
      <x:c r="B333" t="str">
        <x:v>2025-01-04T00:00:00</x:v>
      </x:c>
      <x:c r="C333" t="str">
        <x:v>1246A</x:v>
      </x:c>
      <x:c r="D333" t="str">
        <x:v>1246</x:v>
      </x:c>
      <x:c r="E333" t="str">
        <x:v>Principal Human Resources Analyst</x:v>
      </x:c>
      <x:c r="F333" t="str">
        <x:v>COMMN</x:v>
      </x:c>
      <x:c r="G333" t="str">
        <x:v>71.8875</x:v>
      </x:c>
      <x:c r="H333" t="str">
        <x:v>75.475</x:v>
      </x:c>
      <x:c r="I333" t="str">
        <x:v>79.25</x:v>
      </x:c>
      <x:c r="J333" t="str">
        <x:v>83.2125</x:v>
      </x:c>
      <x:c r="K333" t="str">
        <x:v>87.375</x:v>
      </x:c>
      <x:c r="L333" t="str">
        <x:v>89.5625</x:v>
      </x:c>
      <x:c r="M333" t="str">
        <x:v>91.7375</x:v>
      </x:c>
      <x:c r="N333" t="str">
        <x:v>94.05</x:v>
      </x:c>
      <x:c r="O333" t="str"/>
      <x:c r="P333" t="str"/>
      <x:c r="Q333" t="str"/>
      <x:c r="R333" t="str"/>
      <x:c r="S333" t="str"/>
      <x:c r="T333" t="str"/>
      <x:c r="U333" t="str"/>
      <x:c r="V333" t="str"/>
      <x:c r="W333" t="str"/>
      <x:c r="X333" t="str"/>
      <x:c r="Y333" t="str"/>
      <x:c r="Z333" t="str"/>
      <x:c r="AA333" t="str"/>
      <x:c r="AB333" t="str"/>
      <x:c r="AC333" t="str"/>
      <x:c r="AD333" t="str"/>
      <x:c r="AE333" t="str"/>
      <x:c r="AF333" t="str"/>
      <x:c r="AG333" t="str">
        <x:v>Please note, the last three steps in this salary range represent extended ranges that require department approval based upon recruitment/retention, special skills, limited duration or exemplary performance.</x:v>
      </x:c>
      <x:c r="AH333" t="str">
        <x:f>D333&amp;"|"&amp;UPPER(F333)&amp;"|"&amp;LEFT(B333,10)</x:f>
        <x:v>1246|COMMN|2025-01-04</x:v>
      </x:c>
    </x:row>
    <x:row r="334">
      <x:c r="A334" s="22" t="n">
        <x:v>1630</x:v>
      </x:c>
      <x:c r="B334" t="str">
        <x:v>2025-01-04T00:00:00</x:v>
      </x:c>
      <x:c r="C334" t="str">
        <x:v>1246A</x:v>
      </x:c>
      <x:c r="D334" t="str">
        <x:v>1246</x:v>
      </x:c>
      <x:c r="E334" t="str">
        <x:v>Principal Human Resources Analyst</x:v>
      </x:c>
      <x:c r="F334" t="str">
        <x:v>SFMTA</x:v>
      </x:c>
      <x:c r="G334" t="str">
        <x:v>71.8875</x:v>
      </x:c>
      <x:c r="H334" t="str">
        <x:v>75.475</x:v>
      </x:c>
      <x:c r="I334" t="str">
        <x:v>79.25</x:v>
      </x:c>
      <x:c r="J334" t="str">
        <x:v>83.2125</x:v>
      </x:c>
      <x:c r="K334" t="str">
        <x:v>87.375</x:v>
      </x:c>
      <x:c r="L334" t="str">
        <x:v>89.5625</x:v>
      </x:c>
      <x:c r="M334" t="str">
        <x:v>91.7375</x:v>
      </x:c>
      <x:c r="N334" t="str">
        <x:v>94.05</x:v>
      </x:c>
      <x:c r="O334" t="str"/>
      <x:c r="P334" t="str"/>
      <x:c r="Q334" t="str"/>
      <x:c r="R334" t="str"/>
      <x:c r="S334" t="str"/>
      <x:c r="T334" t="str"/>
      <x:c r="U334" t="str"/>
      <x:c r="V334" t="str"/>
      <x:c r="W334" t="str"/>
      <x:c r="X334" t="str"/>
      <x:c r="Y334" t="str"/>
      <x:c r="Z334" t="str"/>
      <x:c r="AA334" t="str"/>
      <x:c r="AB334" t="str"/>
      <x:c r="AC334" t="str"/>
      <x:c r="AD334" t="str"/>
      <x:c r="AE334" t="str"/>
      <x:c r="AF334" t="str"/>
      <x:c r="AG334" t="str">
        <x:v>Please note, the last three steps in this salary range represent extended ranges that require department approval based upon recruitment/retention, special skills, limited duration or exemplary performance.</x:v>
      </x:c>
      <x:c r="AH334" t="str">
        <x:f>D334&amp;"|"&amp;UPPER(F334)&amp;"|"&amp;LEFT(B334,10)</x:f>
        <x:v>1246|SFMTA|2025-01-04</x:v>
      </x:c>
    </x:row>
    <x:row r="335">
      <x:c r="A335" s="22" t="n">
        <x:v>1619</x:v>
      </x:c>
      <x:c r="B335" t="str">
        <x:v>2025-07-01T00:00:00</x:v>
      </x:c>
      <x:c r="C335" t="str">
        <x:v>1246B</x:v>
      </x:c>
      <x:c r="D335" t="str">
        <x:v>1246</x:v>
      </x:c>
      <x:c r="E335" t="str">
        <x:v>Prin Human Resources Analyst</x:v>
      </x:c>
      <x:c r="F335" t="str">
        <x:v>COMMN</x:v>
      </x:c>
      <x:c r="G335" t="str">
        <x:v>73.3375</x:v>
      </x:c>
      <x:c r="H335" t="str">
        <x:v>76.9875</x:v>
      </x:c>
      <x:c r="I335" t="str">
        <x:v>80.8375</x:v>
      </x:c>
      <x:c r="J335" t="str">
        <x:v>84.8875</x:v>
      </x:c>
      <x:c r="K335" t="str">
        <x:v>89.125</x:v>
      </x:c>
      <x:c r="L335" t="str">
        <x:v>91.3625</x:v>
      </x:c>
      <x:c r="M335" t="str">
        <x:v>93.5875</x:v>
      </x:c>
      <x:c r="N335" t="str">
        <x:v>95.9375</x:v>
      </x:c>
      <x:c r="O335" t="str"/>
      <x:c r="P335" t="str"/>
      <x:c r="Q335" t="str"/>
      <x:c r="R335" t="str"/>
      <x:c r="S335" t="str"/>
      <x:c r="T335" t="str"/>
      <x:c r="U335" t="str"/>
      <x:c r="V335" t="str"/>
      <x:c r="W335" t="str"/>
      <x:c r="X335" t="str"/>
      <x:c r="Y335" t="str"/>
      <x:c r="Z335" t="str"/>
      <x:c r="AA335" t="str"/>
      <x:c r="AB335" t="str"/>
      <x:c r="AC335" t="str"/>
      <x:c r="AD335" t="str"/>
      <x:c r="AE335" t="str"/>
      <x:c r="AF335" t="str"/>
      <x:c r="AG335" t="str">
        <x:v>Please note, the last three steps in this salary range represent extended ranges that require department approval based upon recruitment/retention, special skills, limited duration or exemplary performance.</x:v>
      </x:c>
      <x:c r="AH335" t="str">
        <x:f>D335&amp;"|"&amp;UPPER(F335)&amp;"|"&amp;LEFT(B335,10)</x:f>
        <x:v>1246|COMMN|2025-07-01</x:v>
      </x:c>
    </x:row>
    <x:row r="336">
      <x:c r="A336" s="22" t="n">
        <x:v>1631</x:v>
      </x:c>
      <x:c r="B336" t="str">
        <x:v>2025-07-01T00:00:00</x:v>
      </x:c>
      <x:c r="C336" t="str">
        <x:v>1246B</x:v>
      </x:c>
      <x:c r="D336" t="str">
        <x:v>1246</x:v>
      </x:c>
      <x:c r="E336" t="str">
        <x:v>Prin Human Resources Analyst</x:v>
      </x:c>
      <x:c r="F336" t="str">
        <x:v>SFMTA</x:v>
      </x:c>
      <x:c r="G336" t="str">
        <x:v>73.3375</x:v>
      </x:c>
      <x:c r="H336" t="str">
        <x:v>76.9875</x:v>
      </x:c>
      <x:c r="I336" t="str">
        <x:v>80.8375</x:v>
      </x:c>
      <x:c r="J336" t="str">
        <x:v>84.8875</x:v>
      </x:c>
      <x:c r="K336" t="str">
        <x:v>89.125</x:v>
      </x:c>
      <x:c r="L336" t="str">
        <x:v>91.3625</x:v>
      </x:c>
      <x:c r="M336" t="str">
        <x:v>93.5875</x:v>
      </x:c>
      <x:c r="N336" t="str">
        <x:v>95.9375</x:v>
      </x:c>
      <x:c r="O336" t="str"/>
      <x:c r="P336" t="str"/>
      <x:c r="Q336" t="str"/>
      <x:c r="R336" t="str"/>
      <x:c r="S336" t="str"/>
      <x:c r="T336" t="str"/>
      <x:c r="U336" t="str"/>
      <x:c r="V336" t="str"/>
      <x:c r="W336" t="str"/>
      <x:c r="X336" t="str"/>
      <x:c r="Y336" t="str"/>
      <x:c r="Z336" t="str"/>
      <x:c r="AA336" t="str"/>
      <x:c r="AB336" t="str"/>
      <x:c r="AC336" t="str"/>
      <x:c r="AD336" t="str"/>
      <x:c r="AE336" t="str"/>
      <x:c r="AF336" t="str"/>
      <x:c r="AG336" t="str">
        <x:v>Please note, the last three steps in this salary range represent extended ranges that require department approval based upon recruitment/retention, special skills, limited duration or exemplary performance.</x:v>
      </x:c>
      <x:c r="AH336" t="str">
        <x:f>D336&amp;"|"&amp;UPPER(F336)&amp;"|"&amp;LEFT(B336,10)</x:f>
        <x:v>1246|SFMTA|2025-07-01</x:v>
      </x:c>
    </x:row>
    <x:row r="337">
      <x:c r="A337" s="22" t="n">
        <x:v>1620</x:v>
      </x:c>
      <x:c r="B337" t="str">
        <x:v>2026-01-03T00:00:00</x:v>
      </x:c>
      <x:c r="C337" t="str">
        <x:v>1246C</x:v>
      </x:c>
      <x:c r="D337" t="str">
        <x:v>1246</x:v>
      </x:c>
      <x:c r="E337" t="str">
        <x:v>Prin Human Resources Analyst</x:v>
      </x:c>
      <x:c r="F337" t="str">
        <x:v>COMMN</x:v>
      </x:c>
      <x:c r="G337" t="str">
        <x:v>74.4375</x:v>
      </x:c>
      <x:c r="H337" t="str">
        <x:v>78.1375</x:v>
      </x:c>
      <x:c r="I337" t="str">
        <x:v>82.05</x:v>
      </x:c>
      <x:c r="J337" t="str">
        <x:v>86.1625</x:v>
      </x:c>
      <x:c r="K337" t="str">
        <x:v>90.4625</x:v>
      </x:c>
      <x:c r="L337" t="str">
        <x:v>92.7375</x:v>
      </x:c>
      <x:c r="M337" t="str">
        <x:v>94.9875</x:v>
      </x:c>
      <x:c r="N337" t="str">
        <x:v>97.375</x:v>
      </x:c>
      <x:c r="O337" t="str"/>
      <x:c r="P337" t="str"/>
      <x:c r="Q337" t="str"/>
      <x:c r="R337" t="str"/>
      <x:c r="S337" t="str"/>
      <x:c r="T337" t="str"/>
      <x:c r="U337" t="str"/>
      <x:c r="V337" t="str"/>
      <x:c r="W337" t="str"/>
      <x:c r="X337" t="str"/>
      <x:c r="Y337" t="str"/>
      <x:c r="Z337" t="str"/>
      <x:c r="AA337" t="str"/>
      <x:c r="AB337" t="str"/>
      <x:c r="AC337" t="str"/>
      <x:c r="AD337" t="str"/>
      <x:c r="AE337" t="str"/>
      <x:c r="AF337" t="str"/>
      <x:c r="AG337" t="str">
        <x:v>Please note, the last three steps in this salary range represent extended ranges that require department approval based upon recruitment/retention, special skills, limited duration or exemplary performance.</x:v>
      </x:c>
      <x:c r="AH337" t="str">
        <x:f>D337&amp;"|"&amp;UPPER(F337)&amp;"|"&amp;LEFT(B337,10)</x:f>
        <x:v>1246|COMMN|2026-01-03</x:v>
      </x:c>
    </x:row>
    <x:row r="338">
      <x:c r="A338" s="22" t="n">
        <x:v>1632</x:v>
      </x:c>
      <x:c r="B338" t="str">
        <x:v>2026-01-03T00:00:00</x:v>
      </x:c>
      <x:c r="C338" t="str">
        <x:v>1246C</x:v>
      </x:c>
      <x:c r="D338" t="str">
        <x:v>1246</x:v>
      </x:c>
      <x:c r="E338" t="str">
        <x:v>Prin Human Resources Analyst</x:v>
      </x:c>
      <x:c r="F338" t="str">
        <x:v>SFMTA</x:v>
      </x:c>
      <x:c r="G338" t="str">
        <x:v>74.4375</x:v>
      </x:c>
      <x:c r="H338" t="str">
        <x:v>78.1375</x:v>
      </x:c>
      <x:c r="I338" t="str">
        <x:v>82.05</x:v>
      </x:c>
      <x:c r="J338" t="str">
        <x:v>86.1625</x:v>
      </x:c>
      <x:c r="K338" t="str">
        <x:v>90.4625</x:v>
      </x:c>
      <x:c r="L338" t="str">
        <x:v>92.7375</x:v>
      </x:c>
      <x:c r="M338" t="str">
        <x:v>94.9875</x:v>
      </x:c>
      <x:c r="N338" t="str">
        <x:v>97.375</x:v>
      </x:c>
      <x:c r="O338" t="str"/>
      <x:c r="P338" t="str"/>
      <x:c r="Q338" t="str"/>
      <x:c r="R338" t="str"/>
      <x:c r="S338" t="str"/>
      <x:c r="T338" t="str"/>
      <x:c r="U338" t="str"/>
      <x:c r="V338" t="str"/>
      <x:c r="W338" t="str"/>
      <x:c r="X338" t="str"/>
      <x:c r="Y338" t="str"/>
      <x:c r="Z338" t="str"/>
      <x:c r="AA338" t="str"/>
      <x:c r="AB338" t="str"/>
      <x:c r="AC338" t="str"/>
      <x:c r="AD338" t="str"/>
      <x:c r="AE338" t="str"/>
      <x:c r="AF338" t="str"/>
      <x:c r="AG338" t="str">
        <x:v>Please note, the last three steps in this salary range represent extended ranges that require department approval based upon recruitment/retention, special skills, limited duration or exemplary performance.</x:v>
      </x:c>
      <x:c r="AH338" t="str">
        <x:f>D338&amp;"|"&amp;UPPER(F338)&amp;"|"&amp;LEFT(B338,10)</x:f>
        <x:v>1246|SFMTA|2026-01-03</x:v>
      </x:c>
    </x:row>
    <x:row r="339">
      <x:c r="A339" s="22" t="n">
        <x:v>1621</x:v>
      </x:c>
      <x:c r="B339" t="str">
        <x:v>2026-07-01T00:00:00</x:v>
      </x:c>
      <x:c r="C339" t="str">
        <x:v>1246D</x:v>
      </x:c>
      <x:c r="D339" t="str">
        <x:v>1246</x:v>
      </x:c>
      <x:c r="E339" t="str">
        <x:v>Prin Human Resources Analyst</x:v>
      </x:c>
      <x:c r="F339" t="str">
        <x:v>COMMN</x:v>
      </x:c>
      <x:c r="G339" t="str">
        <x:v>75.925</x:v>
      </x:c>
      <x:c r="H339" t="str">
        <x:v>79.7</x:v>
      </x:c>
      <x:c r="I339" t="str">
        <x:v>83.6875</x:v>
      </x:c>
      <x:c r="J339" t="str">
        <x:v>87.8875</x:v>
      </x:c>
      <x:c r="K339" t="str">
        <x:v>92.275</x:v>
      </x:c>
      <x:c r="L339" t="str">
        <x:v>94.5875</x:v>
      </x:c>
      <x:c r="M339" t="str">
        <x:v>96.8875</x:v>
      </x:c>
      <x:c r="N339" t="str">
        <x:v>99.325</x:v>
      </x:c>
      <x:c r="O339" t="str"/>
      <x:c r="P339" t="str"/>
      <x:c r="Q339" t="str"/>
      <x:c r="R339" t="str"/>
      <x:c r="S339" t="str"/>
      <x:c r="T339" t="str"/>
      <x:c r="U339" t="str"/>
      <x:c r="V339" t="str"/>
      <x:c r="W339" t="str"/>
      <x:c r="X339" t="str"/>
      <x:c r="Y339" t="str"/>
      <x:c r="Z339" t="str"/>
      <x:c r="AA339" t="str"/>
      <x:c r="AB339" t="str"/>
      <x:c r="AC339" t="str"/>
      <x:c r="AD339" t="str"/>
      <x:c r="AE339" t="str"/>
      <x:c r="AF339" t="str"/>
      <x:c r="AG339" t="str">
        <x:v>Please note, the last three steps in this salary range represent extended ranges that require department approval based upon recruitment/retention, special skills, limited duration or exemplary performance.</x:v>
      </x:c>
      <x:c r="AH339" t="str">
        <x:f>D339&amp;"|"&amp;UPPER(F339)&amp;"|"&amp;LEFT(B339,10)</x:f>
        <x:v>1246|COMMN|2026-07-01</x:v>
      </x:c>
    </x:row>
    <x:row r="340">
      <x:c r="A340" s="22" t="n">
        <x:v>1633</x:v>
      </x:c>
      <x:c r="B340" t="str">
        <x:v>2026-07-01T00:00:00</x:v>
      </x:c>
      <x:c r="C340" t="str">
        <x:v>1246D</x:v>
      </x:c>
      <x:c r="D340" t="str">
        <x:v>1246</x:v>
      </x:c>
      <x:c r="E340" t="str">
        <x:v>Prin Human Resources Analyst</x:v>
      </x:c>
      <x:c r="F340" t="str">
        <x:v>SFMTA</x:v>
      </x:c>
      <x:c r="G340" t="str">
        <x:v>75.925</x:v>
      </x:c>
      <x:c r="H340" t="str">
        <x:v>79.7</x:v>
      </x:c>
      <x:c r="I340" t="str">
        <x:v>83.6875</x:v>
      </x:c>
      <x:c r="J340" t="str">
        <x:v>87.8875</x:v>
      </x:c>
      <x:c r="K340" t="str">
        <x:v>92.275</x:v>
      </x:c>
      <x:c r="L340" t="str">
        <x:v>94.5875</x:v>
      </x:c>
      <x:c r="M340" t="str">
        <x:v>96.8875</x:v>
      </x:c>
      <x:c r="N340" t="str">
        <x:v>99.325</x:v>
      </x:c>
      <x:c r="O340" t="str"/>
      <x:c r="P340" t="str"/>
      <x:c r="Q340" t="str"/>
      <x:c r="R340" t="str"/>
      <x:c r="S340" t="str"/>
      <x:c r="T340" t="str"/>
      <x:c r="U340" t="str"/>
      <x:c r="V340" t="str"/>
      <x:c r="W340" t="str"/>
      <x:c r="X340" t="str"/>
      <x:c r="Y340" t="str"/>
      <x:c r="Z340" t="str"/>
      <x:c r="AA340" t="str"/>
      <x:c r="AB340" t="str"/>
      <x:c r="AC340" t="str"/>
      <x:c r="AD340" t="str"/>
      <x:c r="AE340" t="str"/>
      <x:c r="AF340" t="str"/>
      <x:c r="AG340" t="str">
        <x:v>Please note, the last three steps in this salary range represent extended ranges that require department approval based upon recruitment/retention, special skills, limited duration or exemplary performance.</x:v>
      </x:c>
      <x:c r="AH340" t="str">
        <x:f>D340&amp;"|"&amp;UPPER(F340)&amp;"|"&amp;LEFT(B340,10)</x:f>
        <x:v>1246|SFMTA|2026-07-01</x:v>
      </x:c>
    </x:row>
    <x:row r="341">
      <x:c r="A341" s="22" t="n">
        <x:v>1700</x:v>
      </x:c>
      <x:c r="B341" t="str">
        <x:v>2024-01-06T00:00:00</x:v>
      </x:c>
      <x:c r="C341" t="str">
        <x:v>1280Y</x:v>
      </x:c>
      <x:c r="D341" t="str">
        <x:v>1280</x:v>
      </x:c>
      <x:c r="E341" t="str">
        <x:v>Employee Relations Representative</x:v>
      </x:c>
      <x:c r="F341" t="str">
        <x:v>COMMN</x:v>
      </x:c>
      <x:c r="G341" t="str">
        <x:v>53.3875</x:v>
      </x:c>
      <x:c r="H341" t="str">
        <x:v>56.0375</x:v>
      </x:c>
      <x:c r="I341" t="str">
        <x:v>58.825</x:v>
      </x:c>
      <x:c r="J341" t="str">
        <x:v>61.8</x:v>
      </x:c>
      <x:c r="K341" t="str">
        <x:v>64.875</x:v>
      </x:c>
      <x:c r="L341" t="str">
        <x:v>68.125</x:v>
      </x:c>
      <x:c r="M341" t="str">
        <x:v>71.5625</x:v>
      </x:c>
      <x:c r="N341" t="str">
        <x:v>75.0625</x:v>
      </x:c>
      <x:c r="O341" t="str"/>
      <x:c r="P341" t="str"/>
      <x:c r="Q341" t="str"/>
      <x:c r="R341" t="str"/>
      <x:c r="S341" t="str"/>
      <x:c r="T341" t="str"/>
      <x:c r="U341" t="str"/>
      <x:c r="V341" t="str"/>
      <x:c r="W341" t="str"/>
      <x:c r="X341" t="str"/>
      <x:c r="Y341" t="str"/>
      <x:c r="Z341" t="str"/>
      <x:c r="AA341" t="str"/>
      <x:c r="AB341" t="str"/>
      <x:c r="AC341" t="str"/>
      <x:c r="AD341" t="str"/>
      <x:c r="AE341" t="str"/>
      <x:c r="AF341" t="str"/>
      <x:c r="AG341" t="str"/>
      <x:c r="AH341" t="str">
        <x:f>D341&amp;"|"&amp;UPPER(F341)&amp;"|"&amp;LEFT(B341,10)</x:f>
        <x:v>1280|COMMN|2024-01-06</x:v>
      </x:c>
    </x:row>
    <x:row r="342">
      <x:c r="A342" s="22" t="n">
        <x:v>1701</x:v>
      </x:c>
      <x:c r="B342" t="str">
        <x:v>2024-07-01T00:00:00</x:v>
      </x:c>
      <x:c r="C342" t="str">
        <x:v>1280Z</x:v>
      </x:c>
      <x:c r="D342" t="str">
        <x:v>1280</x:v>
      </x:c>
      <x:c r="E342" t="str">
        <x:v>Employee Relations Representative</x:v>
      </x:c>
      <x:c r="F342" t="str">
        <x:v>COMMN</x:v>
      </x:c>
      <x:c r="G342" t="str">
        <x:v>54.1875</x:v>
      </x:c>
      <x:c r="H342" t="str">
        <x:v>56.875</x:v>
      </x:c>
      <x:c r="I342" t="str">
        <x:v>59.7125</x:v>
      </x:c>
      <x:c r="J342" t="str">
        <x:v>62.725</x:v>
      </x:c>
      <x:c r="K342" t="str">
        <x:v>65.85</x:v>
      </x:c>
      <x:c r="L342" t="str">
        <x:v>69.15</x:v>
      </x:c>
      <x:c r="M342" t="str">
        <x:v>72.6375</x:v>
      </x:c>
      <x:c r="N342" t="str">
        <x:v>76.1875</x:v>
      </x:c>
      <x:c r="O342" t="str"/>
      <x:c r="P342" t="str"/>
      <x:c r="Q342" t="str"/>
      <x:c r="R342" t="str"/>
      <x:c r="S342" t="str"/>
      <x:c r="T342" t="str"/>
      <x:c r="U342" t="str"/>
      <x:c r="V342" t="str"/>
      <x:c r="W342" t="str"/>
      <x:c r="X342" t="str"/>
      <x:c r="Y342" t="str"/>
      <x:c r="Z342" t="str"/>
      <x:c r="AA342" t="str"/>
      <x:c r="AB342" t="str"/>
      <x:c r="AC342" t="str"/>
      <x:c r="AD342" t="str"/>
      <x:c r="AE342" t="str"/>
      <x:c r="AF342" t="str"/>
      <x:c r="AG342" t="str"/>
      <x:c r="AH342" t="str">
        <x:f>D342&amp;"|"&amp;UPPER(F342)&amp;"|"&amp;LEFT(B342,10)</x:f>
        <x:v>1280|COMMN|2024-07-01</x:v>
      </x:c>
    </x:row>
    <x:row r="343">
      <x:c r="A343" s="22" t="n">
        <x:v>1702</x:v>
      </x:c>
      <x:c r="B343" t="str">
        <x:v>2025-01-04T00:00:00</x:v>
      </x:c>
      <x:c r="C343" t="str">
        <x:v>1280A</x:v>
      </x:c>
      <x:c r="D343" t="str">
        <x:v>1280</x:v>
      </x:c>
      <x:c r="E343" t="str">
        <x:v>Employee Relations Representative</x:v>
      </x:c>
      <x:c r="F343" t="str">
        <x:v>COMMN</x:v>
      </x:c>
      <x:c r="G343" t="str">
        <x:v>55</x:v>
      </x:c>
      <x:c r="H343" t="str">
        <x:v>57.725</x:v>
      </x:c>
      <x:c r="I343" t="str">
        <x:v>60.6125</x:v>
      </x:c>
      <x:c r="J343" t="str">
        <x:v>63.6625</x:v>
      </x:c>
      <x:c r="K343" t="str">
        <x:v>66.8375</x:v>
      </x:c>
      <x:c r="L343" t="str">
        <x:v>70.1875</x:v>
      </x:c>
      <x:c r="M343" t="str">
        <x:v>73.725</x:v>
      </x:c>
      <x:c r="N343" t="str">
        <x:v>77.325</x:v>
      </x:c>
      <x:c r="O343" t="str"/>
      <x:c r="P343" t="str"/>
      <x:c r="Q343" t="str"/>
      <x:c r="R343" t="str"/>
      <x:c r="S343" t="str"/>
      <x:c r="T343" t="str"/>
      <x:c r="U343" t="str"/>
      <x:c r="V343" t="str"/>
      <x:c r="W343" t="str"/>
      <x:c r="X343" t="str"/>
      <x:c r="Y343" t="str"/>
      <x:c r="Z343" t="str"/>
      <x:c r="AA343" t="str"/>
      <x:c r="AB343" t="str"/>
      <x:c r="AC343" t="str"/>
      <x:c r="AD343" t="str"/>
      <x:c r="AE343" t="str"/>
      <x:c r="AF343" t="str"/>
      <x:c r="AG343" t="str"/>
      <x:c r="AH343" t="str">
        <x:f>D343&amp;"|"&amp;UPPER(F343)&amp;"|"&amp;LEFT(B343,10)</x:f>
        <x:v>1280|COMMN|2025-01-04</x:v>
      </x:c>
    </x:row>
    <x:row r="344">
      <x:c r="A344" s="22" t="n">
        <x:v>1703</x:v>
      </x:c>
      <x:c r="B344" t="str">
        <x:v>2025-07-01T00:00:00</x:v>
      </x:c>
      <x:c r="C344" t="str">
        <x:v>1280B</x:v>
      </x:c>
      <x:c r="D344" t="str">
        <x:v>1280</x:v>
      </x:c>
      <x:c r="E344" t="str">
        <x:v>Employee Relations Representat</x:v>
      </x:c>
      <x:c r="F344" t="str">
        <x:v>COMMN</x:v>
      </x:c>
      <x:c r="G344" t="str">
        <x:v>56.1</x:v>
      </x:c>
      <x:c r="H344" t="str">
        <x:v>58.8875</x:v>
      </x:c>
      <x:c r="I344" t="str">
        <x:v>61.825</x:v>
      </x:c>
      <x:c r="J344" t="str">
        <x:v>64.9375</x:v>
      </x:c>
      <x:c r="K344" t="str">
        <x:v>68.175</x:v>
      </x:c>
      <x:c r="L344" t="str">
        <x:v>71.6</x:v>
      </x:c>
      <x:c r="M344" t="str">
        <x:v>75.2125</x:v>
      </x:c>
      <x:c r="N344" t="str">
        <x:v>78.875</x:v>
      </x:c>
      <x:c r="O344" t="str"/>
      <x:c r="P344" t="str"/>
      <x:c r="Q344" t="str"/>
      <x:c r="R344" t="str"/>
      <x:c r="S344" t="str"/>
      <x:c r="T344" t="str"/>
      <x:c r="U344" t="str"/>
      <x:c r="V344" t="str"/>
      <x:c r="W344" t="str"/>
      <x:c r="X344" t="str"/>
      <x:c r="Y344" t="str"/>
      <x:c r="Z344" t="str"/>
      <x:c r="AA344" t="str"/>
      <x:c r="AB344" t="str"/>
      <x:c r="AC344" t="str"/>
      <x:c r="AD344" t="str"/>
      <x:c r="AE344" t="str"/>
      <x:c r="AF344" t="str"/>
      <x:c r="AG344" t="str"/>
      <x:c r="AH344" t="str">
        <x:f>D344&amp;"|"&amp;UPPER(F344)&amp;"|"&amp;LEFT(B344,10)</x:f>
        <x:v>1280|COMMN|2025-07-01</x:v>
      </x:c>
    </x:row>
    <x:row r="345">
      <x:c r="A345" s="22" t="n">
        <x:v>1704</x:v>
      </x:c>
      <x:c r="B345" t="str">
        <x:v>2026-01-03T00:00:00</x:v>
      </x:c>
      <x:c r="C345" t="str">
        <x:v>1280C</x:v>
      </x:c>
      <x:c r="D345" t="str">
        <x:v>1280</x:v>
      </x:c>
      <x:c r="E345" t="str">
        <x:v>Employee Relations Representat</x:v>
      </x:c>
      <x:c r="F345" t="str">
        <x:v>COMMN</x:v>
      </x:c>
      <x:c r="G345" t="str">
        <x:v>56.9375</x:v>
      </x:c>
      <x:c r="H345" t="str">
        <x:v>59.775</x:v>
      </x:c>
      <x:c r="I345" t="str">
        <x:v>62.75</x:v>
      </x:c>
      <x:c r="J345" t="str">
        <x:v>65.9125</x:v>
      </x:c>
      <x:c r="K345" t="str">
        <x:v>69.2</x:v>
      </x:c>
      <x:c r="L345" t="str">
        <x:v>72.675</x:v>
      </x:c>
      <x:c r="M345" t="str">
        <x:v>76.3375</x:v>
      </x:c>
      <x:c r="N345" t="str">
        <x:v>80.0625</x:v>
      </x:c>
      <x:c r="O345" t="str"/>
      <x:c r="P345" t="str"/>
      <x:c r="Q345" t="str"/>
      <x:c r="R345" t="str"/>
      <x:c r="S345" t="str"/>
      <x:c r="T345" t="str"/>
      <x:c r="U345" t="str"/>
      <x:c r="V345" t="str"/>
      <x:c r="W345" t="str"/>
      <x:c r="X345" t="str"/>
      <x:c r="Y345" t="str"/>
      <x:c r="Z345" t="str"/>
      <x:c r="AA345" t="str"/>
      <x:c r="AB345" t="str"/>
      <x:c r="AC345" t="str"/>
      <x:c r="AD345" t="str"/>
      <x:c r="AE345" t="str"/>
      <x:c r="AF345" t="str"/>
      <x:c r="AG345" t="str"/>
      <x:c r="AH345" t="str">
        <x:f>D345&amp;"|"&amp;UPPER(F345)&amp;"|"&amp;LEFT(B345,10)</x:f>
        <x:v>1280|COMMN|2026-01-03</x:v>
      </x:c>
    </x:row>
    <x:row r="346">
      <x:c r="A346" s="22" t="n">
        <x:v>1705</x:v>
      </x:c>
      <x:c r="B346" t="str">
        <x:v>2026-07-01T00:00:00</x:v>
      </x:c>
      <x:c r="C346" t="str">
        <x:v>1280D</x:v>
      </x:c>
      <x:c r="D346" t="str">
        <x:v>1280</x:v>
      </x:c>
      <x:c r="E346" t="str">
        <x:v>Employee Relations Representat</x:v>
      </x:c>
      <x:c r="F346" t="str">
        <x:v>COMMN</x:v>
      </x:c>
      <x:c r="G346" t="str">
        <x:v>58.075</x:v>
      </x:c>
      <x:c r="H346" t="str">
        <x:v>60.975</x:v>
      </x:c>
      <x:c r="I346" t="str">
        <x:v>64</x:v>
      </x:c>
      <x:c r="J346" t="str">
        <x:v>67.225</x:v>
      </x:c>
      <x:c r="K346" t="str">
        <x:v>70.5875</x:v>
      </x:c>
      <x:c r="L346" t="str">
        <x:v>74.125</x:v>
      </x:c>
      <x:c r="M346" t="str">
        <x:v>77.8625</x:v>
      </x:c>
      <x:c r="N346" t="str">
        <x:v>81.6625</x:v>
      </x:c>
      <x:c r="O346" t="str"/>
      <x:c r="P346" t="str"/>
      <x:c r="Q346" t="str"/>
      <x:c r="R346" t="str"/>
      <x:c r="S346" t="str"/>
      <x:c r="T346" t="str"/>
      <x:c r="U346" t="str"/>
      <x:c r="V346" t="str"/>
      <x:c r="W346" t="str"/>
      <x:c r="X346" t="str"/>
      <x:c r="Y346" t="str"/>
      <x:c r="Z346" t="str"/>
      <x:c r="AA346" t="str"/>
      <x:c r="AB346" t="str"/>
      <x:c r="AC346" t="str"/>
      <x:c r="AD346" t="str"/>
      <x:c r="AE346" t="str"/>
      <x:c r="AF346" t="str"/>
      <x:c r="AG346" t="str"/>
      <x:c r="AH346" t="str">
        <x:f>D346&amp;"|"&amp;UPPER(F346)&amp;"|"&amp;LEFT(B346,10)</x:f>
        <x:v>1280|COMMN|2026-07-01</x:v>
      </x:c>
    </x:row>
    <x:row r="347">
      <x:c r="A347" s="22" t="n">
        <x:v>1712</x:v>
      </x:c>
      <x:c r="B347" t="str">
        <x:v>2024-01-06T00:00:00</x:v>
      </x:c>
      <x:c r="C347" t="str">
        <x:v>1281Y</x:v>
      </x:c>
      <x:c r="D347" t="str">
        <x:v>1281</x:v>
      </x:c>
      <x:c r="E347" t="str">
        <x:v>Senior Employee Relations Representative</x:v>
      </x:c>
      <x:c r="F347" t="str">
        <x:v>COMMN</x:v>
      </x:c>
      <x:c r="G347" t="str">
        <x:v>64.525</x:v>
      </x:c>
      <x:c r="H347" t="str">
        <x:v>67.7375</x:v>
      </x:c>
      <x:c r="I347" t="str">
        <x:v>71.1375</x:v>
      </x:c>
      <x:c r="J347" t="str">
        <x:v>74.7125</x:v>
      </x:c>
      <x:c r="K347" t="str">
        <x:v>78.4375</x:v>
      </x:c>
      <x:c r="L347" t="str">
        <x:v>82.375</x:v>
      </x:c>
      <x:c r="M347" t="str">
        <x:v>86.475</x:v>
      </x:c>
      <x:c r="N347" t="str">
        <x:v>90.8</x:v>
      </x:c>
      <x:c r="O347" t="str"/>
      <x:c r="P347" t="str"/>
      <x:c r="Q347" t="str"/>
      <x:c r="R347" t="str"/>
      <x:c r="S347" t="str"/>
      <x:c r="T347" t="str"/>
      <x:c r="U347" t="str"/>
      <x:c r="V347" t="str"/>
      <x:c r="W347" t="str"/>
      <x:c r="X347" t="str"/>
      <x:c r="Y347" t="str"/>
      <x:c r="Z347" t="str"/>
      <x:c r="AA347" t="str"/>
      <x:c r="AB347" t="str"/>
      <x:c r="AC347" t="str"/>
      <x:c r="AD347" t="str"/>
      <x:c r="AE347" t="str"/>
      <x:c r="AF347" t="str"/>
      <x:c r="AG347" t="str">
        <x:v>Please note, placement in the top three steps is contingent upon the Employee Relations Director's approval and designation of the employee as the City’s principal lead representative for a major employee group.</x:v>
      </x:c>
      <x:c r="AH347" t="str">
        <x:f>D347&amp;"|"&amp;UPPER(F347)&amp;"|"&amp;LEFT(B347,10)</x:f>
        <x:v>1281|COMMN|2024-01-06</x:v>
      </x:c>
    </x:row>
    <x:row r="348">
      <x:c r="A348" s="22" t="n">
        <x:v>1713</x:v>
      </x:c>
      <x:c r="B348" t="str">
        <x:v>2024-07-01T00:00:00</x:v>
      </x:c>
      <x:c r="C348" t="str">
        <x:v>1281Z</x:v>
      </x:c>
      <x:c r="D348" t="str">
        <x:v>1281</x:v>
      </x:c>
      <x:c r="E348" t="str">
        <x:v>Senior Employee Relations Representative</x:v>
      </x:c>
      <x:c r="F348" t="str">
        <x:v>COMMN</x:v>
      </x:c>
      <x:c r="G348" t="str">
        <x:v>65.4875</x:v>
      </x:c>
      <x:c r="H348" t="str">
        <x:v>68.75</x:v>
      </x:c>
      <x:c r="I348" t="str">
        <x:v>72.2</x:v>
      </x:c>
      <x:c r="J348" t="str">
        <x:v>75.8375</x:v>
      </x:c>
      <x:c r="K348" t="str">
        <x:v>79.6125</x:v>
      </x:c>
      <x:c r="L348" t="str">
        <x:v>83.6125</x:v>
      </x:c>
      <x:c r="M348" t="str">
        <x:v>87.775</x:v>
      </x:c>
      <x:c r="N348" t="str">
        <x:v>92.1625</x:v>
      </x:c>
      <x:c r="O348" t="str"/>
      <x:c r="P348" t="str"/>
      <x:c r="Q348" t="str"/>
      <x:c r="R348" t="str"/>
      <x:c r="S348" t="str"/>
      <x:c r="T348" t="str"/>
      <x:c r="U348" t="str"/>
      <x:c r="V348" t="str"/>
      <x:c r="W348" t="str"/>
      <x:c r="X348" t="str"/>
      <x:c r="Y348" t="str"/>
      <x:c r="Z348" t="str"/>
      <x:c r="AA348" t="str"/>
      <x:c r="AB348" t="str"/>
      <x:c r="AC348" t="str"/>
      <x:c r="AD348" t="str"/>
      <x:c r="AE348" t="str"/>
      <x:c r="AF348" t="str"/>
      <x:c r="AG348" t="str">
        <x:v>Please note, placement in the top three steps is contingent upon the Employee Relations Director's approval and designation of the employee as the City’s principal lead representative for a major employee group.</x:v>
      </x:c>
      <x:c r="AH348" t="str">
        <x:f>D348&amp;"|"&amp;UPPER(F348)&amp;"|"&amp;LEFT(B348,10)</x:f>
        <x:v>1281|COMMN|2024-07-01</x:v>
      </x:c>
    </x:row>
    <x:row r="349">
      <x:c r="A349" s="22" t="n">
        <x:v>1714</x:v>
      </x:c>
      <x:c r="B349" t="str">
        <x:v>2025-01-04T00:00:00</x:v>
      </x:c>
      <x:c r="C349" t="str">
        <x:v>1281A</x:v>
      </x:c>
      <x:c r="D349" t="str">
        <x:v>1281</x:v>
      </x:c>
      <x:c r="E349" t="str">
        <x:v>Senior Employee Relations Representative</x:v>
      </x:c>
      <x:c r="F349" t="str">
        <x:v>COMMN</x:v>
      </x:c>
      <x:c r="G349" t="str">
        <x:v>66.475</x:v>
      </x:c>
      <x:c r="H349" t="str">
        <x:v>69.7875</x:v>
      </x:c>
      <x:c r="I349" t="str">
        <x:v>73.2875</x:v>
      </x:c>
      <x:c r="J349" t="str">
        <x:v>76.975</x:v>
      </x:c>
      <x:c r="K349" t="str">
        <x:v>80.8125</x:v>
      </x:c>
      <x:c r="L349" t="str">
        <x:v>84.8625</x:v>
      </x:c>
      <x:c r="M349" t="str">
        <x:v>89.0875</x:v>
      </x:c>
      <x:c r="N349" t="str">
        <x:v>93.55</x:v>
      </x:c>
      <x:c r="O349" t="str"/>
      <x:c r="P349" t="str"/>
      <x:c r="Q349" t="str"/>
      <x:c r="R349" t="str"/>
      <x:c r="S349" t="str"/>
      <x:c r="T349" t="str"/>
      <x:c r="U349" t="str"/>
      <x:c r="V349" t="str"/>
      <x:c r="W349" t="str"/>
      <x:c r="X349" t="str"/>
      <x:c r="Y349" t="str"/>
      <x:c r="Z349" t="str"/>
      <x:c r="AA349" t="str"/>
      <x:c r="AB349" t="str"/>
      <x:c r="AC349" t="str"/>
      <x:c r="AD349" t="str"/>
      <x:c r="AE349" t="str"/>
      <x:c r="AF349" t="str"/>
      <x:c r="AG349" t="str">
        <x:v>Please note, placement in the top three steps is contingent upon the Employee Relations Director's approval and designation of the employee as the City’s principal lead representative for a major employee group.</x:v>
      </x:c>
      <x:c r="AH349" t="str">
        <x:f>D349&amp;"|"&amp;UPPER(F349)&amp;"|"&amp;LEFT(B349,10)</x:f>
        <x:v>1281|COMMN|2025-01-04</x:v>
      </x:c>
    </x:row>
    <x:row r="350">
      <x:c r="A350" s="22" t="n">
        <x:v>1715</x:v>
      </x:c>
      <x:c r="B350" t="str">
        <x:v>2025-07-01T00:00:00</x:v>
      </x:c>
      <x:c r="C350" t="str">
        <x:v>1281B</x:v>
      </x:c>
      <x:c r="D350" t="str">
        <x:v>1281</x:v>
      </x:c>
      <x:c r="E350" t="str">
        <x:v>Senior Emp Relations Repres</x:v>
      </x:c>
      <x:c r="F350" t="str">
        <x:v>COMMN</x:v>
      </x:c>
      <x:c r="G350" t="str">
        <x:v>67.8125</x:v>
      </x:c>
      <x:c r="H350" t="str">
        <x:v>71.1875</x:v>
      </x:c>
      <x:c r="I350" t="str">
        <x:v>74.7625</x:v>
      </x:c>
      <x:c r="J350" t="str">
        <x:v>78.525</x:v>
      </x:c>
      <x:c r="K350" t="str">
        <x:v>82.4375</x:v>
      </x:c>
      <x:c r="L350" t="str">
        <x:v>86.5625</x:v>
      </x:c>
      <x:c r="M350" t="str">
        <x:v>90.875</x:v>
      </x:c>
      <x:c r="N350" t="str">
        <x:v>95.425</x:v>
      </x:c>
      <x:c r="O350" t="str"/>
      <x:c r="P350" t="str"/>
      <x:c r="Q350" t="str"/>
      <x:c r="R350" t="str"/>
      <x:c r="S350" t="str"/>
      <x:c r="T350" t="str"/>
      <x:c r="U350" t="str"/>
      <x:c r="V350" t="str"/>
      <x:c r="W350" t="str"/>
      <x:c r="X350" t="str"/>
      <x:c r="Y350" t="str"/>
      <x:c r="Z350" t="str"/>
      <x:c r="AA350" t="str"/>
      <x:c r="AB350" t="str"/>
      <x:c r="AC350" t="str"/>
      <x:c r="AD350" t="str"/>
      <x:c r="AE350" t="str"/>
      <x:c r="AF350" t="str"/>
      <x:c r="AG350" t="str">
        <x:v>Please note, placement in the top three steps is contingent upon the Employee Relations Director's approval and designation of the employee as the City’s principal lead representative for a major employee group.</x:v>
      </x:c>
      <x:c r="AH350" t="str">
        <x:f>D350&amp;"|"&amp;UPPER(F350)&amp;"|"&amp;LEFT(B350,10)</x:f>
        <x:v>1281|COMMN|2025-07-01</x:v>
      </x:c>
    </x:row>
    <x:row r="351">
      <x:c r="A351" s="22" t="n">
        <x:v>1716</x:v>
      </x:c>
      <x:c r="B351" t="str">
        <x:v>2026-01-03T00:00:00</x:v>
      </x:c>
      <x:c r="C351" t="str">
        <x:v>1281C</x:v>
      </x:c>
      <x:c r="D351" t="str">
        <x:v>1281</x:v>
      </x:c>
      <x:c r="E351" t="str">
        <x:v>Senior Emp Relations Repres</x:v>
      </x:c>
      <x:c r="F351" t="str">
        <x:v>COMMN</x:v>
      </x:c>
      <x:c r="G351" t="str">
        <x:v>68.825</x:v>
      </x:c>
      <x:c r="H351" t="str">
        <x:v>72.25</x:v>
      </x:c>
      <x:c r="I351" t="str">
        <x:v>75.8875</x:v>
      </x:c>
      <x:c r="J351" t="str">
        <x:v>79.7</x:v>
      </x:c>
      <x:c r="K351" t="str">
        <x:v>83.675</x:v>
      </x:c>
      <x:c r="L351" t="str">
        <x:v>87.8625</x:v>
      </x:c>
      <x:c r="M351" t="str">
        <x:v>92.2375</x:v>
      </x:c>
      <x:c r="N351" t="str">
        <x:v>96.8625</x:v>
      </x:c>
      <x:c r="O351" t="str"/>
      <x:c r="P351" t="str"/>
      <x:c r="Q351" t="str"/>
      <x:c r="R351" t="str"/>
      <x:c r="S351" t="str"/>
      <x:c r="T351" t="str"/>
      <x:c r="U351" t="str"/>
      <x:c r="V351" t="str"/>
      <x:c r="W351" t="str"/>
      <x:c r="X351" t="str"/>
      <x:c r="Y351" t="str"/>
      <x:c r="Z351" t="str"/>
      <x:c r="AA351" t="str"/>
      <x:c r="AB351" t="str"/>
      <x:c r="AC351" t="str"/>
      <x:c r="AD351" t="str"/>
      <x:c r="AE351" t="str"/>
      <x:c r="AF351" t="str"/>
      <x:c r="AG351" t="str">
        <x:v>Please note, placement in the top three steps is contingent upon the Employee Relations Director's approval and designation of the employee as the City’s principal lead representative for a major employee group.</x:v>
      </x:c>
      <x:c r="AH351" t="str">
        <x:f>D351&amp;"|"&amp;UPPER(F351)&amp;"|"&amp;LEFT(B351,10)</x:f>
        <x:v>1281|COMMN|2026-01-03</x:v>
      </x:c>
    </x:row>
    <x:row r="352">
      <x:c r="A352" s="22" t="n">
        <x:v>1717</x:v>
      </x:c>
      <x:c r="B352" t="str">
        <x:v>2026-07-01T00:00:00</x:v>
      </x:c>
      <x:c r="C352" t="str">
        <x:v>1281D</x:v>
      </x:c>
      <x:c r="D352" t="str">
        <x:v>1281</x:v>
      </x:c>
      <x:c r="E352" t="str">
        <x:v>Senior Emp Relations Repres</x:v>
      </x:c>
      <x:c r="F352" t="str">
        <x:v>COMMN</x:v>
      </x:c>
      <x:c r="G352" t="str">
        <x:v>75.925</x:v>
      </x:c>
      <x:c r="H352" t="str">
        <x:v>79.7</x:v>
      </x:c>
      <x:c r="I352" t="str">
        <x:v>83.6875</x:v>
      </x:c>
      <x:c r="J352" t="str">
        <x:v>87.8875</x:v>
      </x:c>
      <x:c r="K352" t="str">
        <x:v>92.275</x:v>
      </x:c>
      <x:c r="L352" t="str">
        <x:v>94.5875</x:v>
      </x:c>
      <x:c r="M352" t="str">
        <x:v>96.8875</x:v>
      </x:c>
      <x:c r="N352" t="str">
        <x:v>99.325</x:v>
      </x:c>
      <x:c r="O352" t="str"/>
      <x:c r="P352" t="str"/>
      <x:c r="Q352" t="str"/>
      <x:c r="R352" t="str"/>
      <x:c r="S352" t="str"/>
      <x:c r="T352" t="str"/>
      <x:c r="U352" t="str"/>
      <x:c r="V352" t="str"/>
      <x:c r="W352" t="str"/>
      <x:c r="X352" t="str"/>
      <x:c r="Y352" t="str"/>
      <x:c r="Z352" t="str"/>
      <x:c r="AA352" t="str"/>
      <x:c r="AB352" t="str"/>
      <x:c r="AC352" t="str"/>
      <x:c r="AD352" t="str"/>
      <x:c r="AE352" t="str"/>
      <x:c r="AF352" t="str"/>
      <x:c r="AG352" t="str">
        <x:v>Please note, placement in the top three steps is contingent upon the Employee Relations Director's approval and designation of the employee as the City’s principal lead representative for a major employee group.</x:v>
      </x:c>
      <x:c r="AH352" t="str">
        <x:f>D352&amp;"|"&amp;UPPER(F352)&amp;"|"&amp;LEFT(B352,10)</x:f>
        <x:v>1281|COMMN|2026-07-01</x:v>
      </x:c>
    </x:row>
    <x:row r="353">
      <x:c r="A353" s="22" t="n">
        <x:v>1759</x:v>
      </x:c>
      <x:c r="B353" t="str">
        <x:v>2024-01-06T00:00:00</x:v>
      </x:c>
      <x:c r="C353" t="str">
        <x:v>1302Y</x:v>
      </x:c>
      <x:c r="D353" t="str">
        <x:v>1302</x:v>
      </x:c>
      <x:c r="E353" t="str">
        <x:v>Customer Service Representative Trainee</x:v>
      </x:c>
      <x:c r="F353" t="str">
        <x:v>COMMN</x:v>
      </x:c>
      <x:c r="G353" t="str">
        <x:v>39.1375</x:v>
      </x:c>
      <x:c r="H353" t="str">
        <x:v>41.1125</x:v>
      </x:c>
      <x:c r="I353" t="str">
        <x:v>43.1625</x:v>
      </x:c>
      <x:c r="J353" t="str">
        <x:v>45.2875</x:v>
      </x:c>
      <x:c r="K353" t="str">
        <x:v>47.6</x:v>
      </x:c>
      <x:c r="L353" t="str"/>
      <x:c r="M353" t="str"/>
      <x:c r="N353" t="str"/>
      <x:c r="O353" t="str"/>
      <x:c r="P353" t="str"/>
      <x:c r="Q353" t="str"/>
      <x:c r="R353" t="str"/>
      <x:c r="S353" t="str"/>
      <x:c r="T353" t="str"/>
      <x:c r="U353" t="str"/>
      <x:c r="V353" t="str"/>
      <x:c r="W353" t="str"/>
      <x:c r="X353" t="str"/>
      <x:c r="Y353" t="str"/>
      <x:c r="Z353" t="str"/>
      <x:c r="AA353" t="str"/>
      <x:c r="AB353" t="str"/>
      <x:c r="AC353" t="str"/>
      <x:c r="AD353" t="str"/>
      <x:c r="AE353" t="str"/>
      <x:c r="AF353" t="str"/>
      <x:c r="AG353" t="str"/>
      <x:c r="AH353" t="str">
        <x:f>D353&amp;"|"&amp;UPPER(F353)&amp;"|"&amp;LEFT(B353,10)</x:f>
        <x:v>1302|COMMN|2024-01-06</x:v>
      </x:c>
    </x:row>
    <x:row r="354">
      <x:c r="A354" s="22" t="n">
        <x:v>1760</x:v>
      </x:c>
      <x:c r="B354" t="str">
        <x:v>2024-07-01T00:00:00</x:v>
      </x:c>
      <x:c r="C354" t="str">
        <x:v>1302Z</x:v>
      </x:c>
      <x:c r="D354" t="str">
        <x:v>1302</x:v>
      </x:c>
      <x:c r="E354" t="str">
        <x:v>Customer Service Representative Trainee</x:v>
      </x:c>
      <x:c r="F354" t="str">
        <x:v>COMMN</x:v>
      </x:c>
      <x:c r="G354" t="str">
        <x:v>39.725</x:v>
      </x:c>
      <x:c r="H354" t="str">
        <x:v>41.725</x:v>
      </x:c>
      <x:c r="I354" t="str">
        <x:v>43.8125</x:v>
      </x:c>
      <x:c r="J354" t="str">
        <x:v>45.9625</x:v>
      </x:c>
      <x:c r="K354" t="str">
        <x:v>48.3125</x:v>
      </x:c>
      <x:c r="L354" t="str"/>
      <x:c r="M354" t="str"/>
      <x:c r="N354" t="str"/>
      <x:c r="O354" t="str"/>
      <x:c r="P354" t="str"/>
      <x:c r="Q354" t="str"/>
      <x:c r="R354" t="str"/>
      <x:c r="S354" t="str"/>
      <x:c r="T354" t="str"/>
      <x:c r="U354" t="str"/>
      <x:c r="V354" t="str"/>
      <x:c r="W354" t="str"/>
      <x:c r="X354" t="str"/>
      <x:c r="Y354" t="str"/>
      <x:c r="Z354" t="str"/>
      <x:c r="AA354" t="str"/>
      <x:c r="AB354" t="str"/>
      <x:c r="AC354" t="str"/>
      <x:c r="AD354" t="str"/>
      <x:c r="AE354" t="str"/>
      <x:c r="AF354" t="str"/>
      <x:c r="AG354" t="str"/>
      <x:c r="AH354" t="str">
        <x:f>D354&amp;"|"&amp;UPPER(F354)&amp;"|"&amp;LEFT(B354,10)</x:f>
        <x:v>1302|COMMN|2024-07-01</x:v>
      </x:c>
    </x:row>
    <x:row r="355">
      <x:c r="A355" s="22" t="n">
        <x:v>1761</x:v>
      </x:c>
      <x:c r="B355" t="str">
        <x:v>2025-01-04T00:00:00</x:v>
      </x:c>
      <x:c r="C355" t="str">
        <x:v>1302A</x:v>
      </x:c>
      <x:c r="D355" t="str">
        <x:v>1302</x:v>
      </x:c>
      <x:c r="E355" t="str">
        <x:v>Customer Service Representative Trainee</x:v>
      </x:c>
      <x:c r="F355" t="str">
        <x:v>COMMN</x:v>
      </x:c>
      <x:c r="G355" t="str">
        <x:v>40.325</x:v>
      </x:c>
      <x:c r="H355" t="str">
        <x:v>42.35</x:v>
      </x:c>
      <x:c r="I355" t="str">
        <x:v>44.475</x:v>
      </x:c>
      <x:c r="J355" t="str">
        <x:v>46.65</x:v>
      </x:c>
      <x:c r="K355" t="str">
        <x:v>49.0375</x:v>
      </x:c>
      <x:c r="L355" t="str"/>
      <x:c r="M355" t="str"/>
      <x:c r="N355" t="str"/>
      <x:c r="O355" t="str"/>
      <x:c r="P355" t="str"/>
      <x:c r="Q355" t="str"/>
      <x:c r="R355" t="str"/>
      <x:c r="S355" t="str"/>
      <x:c r="T355" t="str"/>
      <x:c r="U355" t="str"/>
      <x:c r="V355" t="str"/>
      <x:c r="W355" t="str"/>
      <x:c r="X355" t="str"/>
      <x:c r="Y355" t="str"/>
      <x:c r="Z355" t="str"/>
      <x:c r="AA355" t="str"/>
      <x:c r="AB355" t="str"/>
      <x:c r="AC355" t="str"/>
      <x:c r="AD355" t="str"/>
      <x:c r="AE355" t="str"/>
      <x:c r="AF355" t="str"/>
      <x:c r="AG355" t="str"/>
      <x:c r="AH355" t="str">
        <x:f>D355&amp;"|"&amp;UPPER(F355)&amp;"|"&amp;LEFT(B355,10)</x:f>
        <x:v>1302|COMMN|2025-01-04</x:v>
      </x:c>
    </x:row>
    <x:row r="356">
      <x:c r="A356" s="22" t="n">
        <x:v>1762</x:v>
      </x:c>
      <x:c r="B356" t="str">
        <x:v>2025-07-01T00:00:00</x:v>
      </x:c>
      <x:c r="C356" t="str">
        <x:v>1302B</x:v>
      </x:c>
      <x:c r="D356" t="str">
        <x:v>1302</x:v>
      </x:c>
      <x:c r="E356" t="str">
        <x:v>Customer Service Rep Trainee</x:v>
      </x:c>
      <x:c r="F356" t="str">
        <x:v>COMMN</x:v>
      </x:c>
      <x:c r="G356" t="str">
        <x:v>41.1375</x:v>
      </x:c>
      <x:c r="H356" t="str">
        <x:v>43.2</x:v>
      </x:c>
      <x:c r="I356" t="str">
        <x:v>45.375</x:v>
      </x:c>
      <x:c r="J356" t="str">
        <x:v>47.5875</x:v>
      </x:c>
      <x:c r="K356" t="str">
        <x:v>50.025</x:v>
      </x:c>
      <x:c r="L356" t="str"/>
      <x:c r="M356" t="str"/>
      <x:c r="N356" t="str"/>
      <x:c r="O356" t="str"/>
      <x:c r="P356" t="str"/>
      <x:c r="Q356" t="str"/>
      <x:c r="R356" t="str"/>
      <x:c r="S356" t="str"/>
      <x:c r="T356" t="str"/>
      <x:c r="U356" t="str"/>
      <x:c r="V356" t="str"/>
      <x:c r="W356" t="str"/>
      <x:c r="X356" t="str"/>
      <x:c r="Y356" t="str"/>
      <x:c r="Z356" t="str"/>
      <x:c r="AA356" t="str"/>
      <x:c r="AB356" t="str"/>
      <x:c r="AC356" t="str"/>
      <x:c r="AD356" t="str"/>
      <x:c r="AE356" t="str"/>
      <x:c r="AF356" t="str"/>
      <x:c r="AG356" t="str"/>
      <x:c r="AH356" t="str">
        <x:f>D356&amp;"|"&amp;UPPER(F356)&amp;"|"&amp;LEFT(B356,10)</x:f>
        <x:v>1302|COMMN|2025-07-01</x:v>
      </x:c>
    </x:row>
    <x:row r="357">
      <x:c r="A357" s="22" t="n">
        <x:v>1763</x:v>
      </x:c>
      <x:c r="B357" t="str">
        <x:v>2026-01-03T00:00:00</x:v>
      </x:c>
      <x:c r="C357" t="str">
        <x:v>1302C</x:v>
      </x:c>
      <x:c r="D357" t="str">
        <x:v>1302</x:v>
      </x:c>
      <x:c r="E357" t="str">
        <x:v>Customer Service Rep Trainee</x:v>
      </x:c>
      <x:c r="F357" t="str">
        <x:v>COMMN</x:v>
      </x:c>
      <x:c r="G357" t="str">
        <x:v>41.75</x:v>
      </x:c>
      <x:c r="H357" t="str">
        <x:v>43.85</x:v>
      </x:c>
      <x:c r="I357" t="str">
        <x:v>46.05</x:v>
      </x:c>
      <x:c r="J357" t="str">
        <x:v>48.3</x:v>
      </x:c>
      <x:c r="K357" t="str">
        <x:v>50.775</x:v>
      </x:c>
      <x:c r="L357" t="str"/>
      <x:c r="M357" t="str"/>
      <x:c r="N357" t="str"/>
      <x:c r="O357" t="str"/>
      <x:c r="P357" t="str"/>
      <x:c r="Q357" t="str"/>
      <x:c r="R357" t="str"/>
      <x:c r="S357" t="str"/>
      <x:c r="T357" t="str"/>
      <x:c r="U357" t="str"/>
      <x:c r="V357" t="str"/>
      <x:c r="W357" t="str"/>
      <x:c r="X357" t="str"/>
      <x:c r="Y357" t="str"/>
      <x:c r="Z357" t="str"/>
      <x:c r="AA357" t="str"/>
      <x:c r="AB357" t="str"/>
      <x:c r="AC357" t="str"/>
      <x:c r="AD357" t="str"/>
      <x:c r="AE357" t="str"/>
      <x:c r="AF357" t="str"/>
      <x:c r="AG357" t="str"/>
      <x:c r="AH357" t="str">
        <x:f>D357&amp;"|"&amp;UPPER(F357)&amp;"|"&amp;LEFT(B357,10)</x:f>
        <x:v>1302|COMMN|2026-01-03</x:v>
      </x:c>
    </x:row>
    <x:row r="358">
      <x:c r="A358" s="22" t="n">
        <x:v>1764</x:v>
      </x:c>
      <x:c r="B358" t="str">
        <x:v>2026-07-01T00:00:00</x:v>
      </x:c>
      <x:c r="C358" t="str">
        <x:v>1302D</x:v>
      </x:c>
      <x:c r="D358" t="str">
        <x:v>1302</x:v>
      </x:c>
      <x:c r="E358" t="str">
        <x:v>Customer Service Rep Trainee</x:v>
      </x:c>
      <x:c r="F358" t="str">
        <x:v>COMMN</x:v>
      </x:c>
      <x:c r="G358" t="str">
        <x:v>42.5875</x:v>
      </x:c>
      <x:c r="H358" t="str">
        <x:v>44.725</x:v>
      </x:c>
      <x:c r="I358" t="str">
        <x:v>46.975</x:v>
      </x:c>
      <x:c r="J358" t="str">
        <x:v>49.2625</x:v>
      </x:c>
      <x:c r="K358" t="str">
        <x:v>51.7875</x:v>
      </x:c>
      <x:c r="L358" t="str"/>
      <x:c r="M358" t="str"/>
      <x:c r="N358" t="str"/>
      <x:c r="O358" t="str"/>
      <x:c r="P358" t="str"/>
      <x:c r="Q358" t="str"/>
      <x:c r="R358" t="str"/>
      <x:c r="S358" t="str"/>
      <x:c r="T358" t="str"/>
      <x:c r="U358" t="str"/>
      <x:c r="V358" t="str"/>
      <x:c r="W358" t="str"/>
      <x:c r="X358" t="str"/>
      <x:c r="Y358" t="str"/>
      <x:c r="Z358" t="str"/>
      <x:c r="AA358" t="str"/>
      <x:c r="AB358" t="str"/>
      <x:c r="AC358" t="str"/>
      <x:c r="AD358" t="str"/>
      <x:c r="AE358" t="str"/>
      <x:c r="AF358" t="str"/>
      <x:c r="AG358" t="str"/>
      <x:c r="AH358" t="str">
        <x:f>D358&amp;"|"&amp;UPPER(F358)&amp;"|"&amp;LEFT(B358,10)</x:f>
        <x:v>1302|COMMN|2026-07-01</x:v>
      </x:c>
    </x:row>
    <x:row r="359">
      <x:c r="A359" s="22" t="n">
        <x:v>1771</x:v>
      </x:c>
      <x:c r="B359" t="str">
        <x:v>2024-01-06T00:00:00</x:v>
      </x:c>
      <x:c r="C359" t="str">
        <x:v>1304Y</x:v>
      </x:c>
      <x:c r="D359" t="str">
        <x:v>1304</x:v>
      </x:c>
      <x:c r="E359" t="str">
        <x:v>Customer Service Representative</x:v>
      </x:c>
      <x:c r="F359" t="str">
        <x:v>COMMN</x:v>
      </x:c>
      <x:c r="G359" t="str">
        <x:v>40.325</x:v>
      </x:c>
      <x:c r="H359" t="str">
        <x:v>42.3375</x:v>
      </x:c>
      <x:c r="I359" t="str">
        <x:v>44.45</x:v>
      </x:c>
      <x:c r="J359" t="str">
        <x:v>46.6625</x:v>
      </x:c>
      <x:c r="K359" t="str">
        <x:v>49.025</x:v>
      </x:c>
      <x:c r="L359" t="str"/>
      <x:c r="M359" t="str"/>
      <x:c r="N359" t="str"/>
      <x:c r="O359" t="str"/>
      <x:c r="P359" t="str"/>
      <x:c r="Q359" t="str"/>
      <x:c r="R359" t="str"/>
      <x:c r="S359" t="str"/>
      <x:c r="T359" t="str"/>
      <x:c r="U359" t="str"/>
      <x:c r="V359" t="str"/>
      <x:c r="W359" t="str"/>
      <x:c r="X359" t="str"/>
      <x:c r="Y359" t="str"/>
      <x:c r="Z359" t="str"/>
      <x:c r="AA359" t="str"/>
      <x:c r="AB359" t="str"/>
      <x:c r="AC359" t="str"/>
      <x:c r="AD359" t="str"/>
      <x:c r="AE359" t="str"/>
      <x:c r="AF359" t="str"/>
      <x:c r="AG359" t="str"/>
      <x:c r="AH359" t="str">
        <x:f>D359&amp;"|"&amp;UPPER(F359)&amp;"|"&amp;LEFT(B359,10)</x:f>
        <x:v>1304|COMMN|2024-01-06</x:v>
      </x:c>
    </x:row>
    <x:row r="360">
      <x:c r="A360" s="22" t="n">
        <x:v>1772</x:v>
      </x:c>
      <x:c r="B360" t="str">
        <x:v>2024-07-01T00:00:00</x:v>
      </x:c>
      <x:c r="C360" t="str">
        <x:v>1304Z</x:v>
      </x:c>
      <x:c r="D360" t="str">
        <x:v>1304</x:v>
      </x:c>
      <x:c r="E360" t="str">
        <x:v>Customer Service Representative</x:v>
      </x:c>
      <x:c r="F360" t="str">
        <x:v>COMMN</x:v>
      </x:c>
      <x:c r="G360" t="str">
        <x:v>40.925</x:v>
      </x:c>
      <x:c r="H360" t="str">
        <x:v>42.975</x:v>
      </x:c>
      <x:c r="I360" t="str">
        <x:v>45.1125</x:v>
      </x:c>
      <x:c r="J360" t="str">
        <x:v>47.3625</x:v>
      </x:c>
      <x:c r="K360" t="str">
        <x:v>49.7625</x:v>
      </x:c>
      <x:c r="L360" t="str"/>
      <x:c r="M360" t="str"/>
      <x:c r="N360" t="str"/>
      <x:c r="O360" t="str"/>
      <x:c r="P360" t="str"/>
      <x:c r="Q360" t="str"/>
      <x:c r="R360" t="str"/>
      <x:c r="S360" t="str"/>
      <x:c r="T360" t="str"/>
      <x:c r="U360" t="str"/>
      <x:c r="V360" t="str"/>
      <x:c r="W360" t="str"/>
      <x:c r="X360" t="str"/>
      <x:c r="Y360" t="str"/>
      <x:c r="Z360" t="str"/>
      <x:c r="AA360" t="str"/>
      <x:c r="AB360" t="str"/>
      <x:c r="AC360" t="str"/>
      <x:c r="AD360" t="str"/>
      <x:c r="AE360" t="str"/>
      <x:c r="AF360" t="str"/>
      <x:c r="AG360" t="str"/>
      <x:c r="AH360" t="str">
        <x:f>D360&amp;"|"&amp;UPPER(F360)&amp;"|"&amp;LEFT(B360,10)</x:f>
        <x:v>1304|COMMN|2024-07-01</x:v>
      </x:c>
    </x:row>
    <x:row r="361">
      <x:c r="A361" s="22" t="n">
        <x:v>1773</x:v>
      </x:c>
      <x:c r="B361" t="str">
        <x:v>2025-01-04T00:00:00</x:v>
      </x:c>
      <x:c r="C361" t="str">
        <x:v>1304A</x:v>
      </x:c>
      <x:c r="D361" t="str">
        <x:v>1304</x:v>
      </x:c>
      <x:c r="E361" t="str">
        <x:v>Customer Service Representative</x:v>
      </x:c>
      <x:c r="F361" t="str">
        <x:v>COMMN</x:v>
      </x:c>
      <x:c r="G361" t="str">
        <x:v>41.5375</x:v>
      </x:c>
      <x:c r="H361" t="str">
        <x:v>43.625</x:v>
      </x:c>
      <x:c r="I361" t="str">
        <x:v>45.7875</x:v>
      </x:c>
      <x:c r="J361" t="str">
        <x:v>48.075</x:v>
      </x:c>
      <x:c r="K361" t="str">
        <x:v>50.5125</x:v>
      </x:c>
      <x:c r="L361" t="str"/>
      <x:c r="M361" t="str"/>
      <x:c r="N361" t="str"/>
      <x:c r="O361" t="str"/>
      <x:c r="P361" t="str"/>
      <x:c r="Q361" t="str"/>
      <x:c r="R361" t="str"/>
      <x:c r="S361" t="str"/>
      <x:c r="T361" t="str"/>
      <x:c r="U361" t="str"/>
      <x:c r="V361" t="str"/>
      <x:c r="W361" t="str"/>
      <x:c r="X361" t="str"/>
      <x:c r="Y361" t="str"/>
      <x:c r="Z361" t="str"/>
      <x:c r="AA361" t="str"/>
      <x:c r="AB361" t="str"/>
      <x:c r="AC361" t="str"/>
      <x:c r="AD361" t="str"/>
      <x:c r="AE361" t="str"/>
      <x:c r="AF361" t="str"/>
      <x:c r="AG361" t="str"/>
      <x:c r="AH361" t="str">
        <x:f>D361&amp;"|"&amp;UPPER(F361)&amp;"|"&amp;LEFT(B361,10)</x:f>
        <x:v>1304|COMMN|2025-01-04</x:v>
      </x:c>
    </x:row>
    <x:row r="362">
      <x:c r="A362" s="22" t="n">
        <x:v>1774</x:v>
      </x:c>
      <x:c r="B362" t="str">
        <x:v>2025-07-01T00:00:00</x:v>
      </x:c>
      <x:c r="C362" t="str">
        <x:v>1304B</x:v>
      </x:c>
      <x:c r="D362" t="str">
        <x:v>1304</x:v>
      </x:c>
      <x:c r="E362" t="str">
        <x:v>Customer Service Rep</x:v>
      </x:c>
      <x:c r="F362" t="str">
        <x:v>COMMN</x:v>
      </x:c>
      <x:c r="G362" t="str">
        <x:v>42.375</x:v>
      </x:c>
      <x:c r="H362" t="str">
        <x:v>44.5</x:v>
      </x:c>
      <x:c r="I362" t="str">
        <x:v>46.7125</x:v>
      </x:c>
      <x:c r="J362" t="str">
        <x:v>49.0375</x:v>
      </x:c>
      <x:c r="K362" t="str">
        <x:v>51.525</x:v>
      </x:c>
      <x:c r="L362" t="str"/>
      <x:c r="M362" t="str"/>
      <x:c r="N362" t="str"/>
      <x:c r="O362" t="str"/>
      <x:c r="P362" t="str"/>
      <x:c r="Q362" t="str"/>
      <x:c r="R362" t="str"/>
      <x:c r="S362" t="str"/>
      <x:c r="T362" t="str"/>
      <x:c r="U362" t="str"/>
      <x:c r="V362" t="str"/>
      <x:c r="W362" t="str"/>
      <x:c r="X362" t="str"/>
      <x:c r="Y362" t="str"/>
      <x:c r="Z362" t="str"/>
      <x:c r="AA362" t="str"/>
      <x:c r="AB362" t="str"/>
      <x:c r="AC362" t="str"/>
      <x:c r="AD362" t="str"/>
      <x:c r="AE362" t="str"/>
      <x:c r="AF362" t="str"/>
      <x:c r="AG362" t="str"/>
      <x:c r="AH362" t="str">
        <x:f>D362&amp;"|"&amp;UPPER(F362)&amp;"|"&amp;LEFT(B362,10)</x:f>
        <x:v>1304|COMMN|2025-07-01</x:v>
      </x:c>
    </x:row>
    <x:row r="363">
      <x:c r="A363" s="22" t="n">
        <x:v>1775</x:v>
      </x:c>
      <x:c r="B363" t="str">
        <x:v>2026-01-03T00:00:00</x:v>
      </x:c>
      <x:c r="C363" t="str">
        <x:v>1304C</x:v>
      </x:c>
      <x:c r="D363" t="str">
        <x:v>1304</x:v>
      </x:c>
      <x:c r="E363" t="str">
        <x:v>Customer Service Rep</x:v>
      </x:c>
      <x:c r="F363" t="str">
        <x:v>COMMN</x:v>
      </x:c>
      <x:c r="G363" t="str">
        <x:v>43.0125</x:v>
      </x:c>
      <x:c r="H363" t="str">
        <x:v>45.1625</x:v>
      </x:c>
      <x:c r="I363" t="str">
        <x:v>47.4125</x:v>
      </x:c>
      <x:c r="J363" t="str">
        <x:v>49.775</x:v>
      </x:c>
      <x:c r="K363" t="str">
        <x:v>52.3</x:v>
      </x:c>
      <x:c r="L363" t="str"/>
      <x:c r="M363" t="str"/>
      <x:c r="N363" t="str"/>
      <x:c r="O363" t="str"/>
      <x:c r="P363" t="str"/>
      <x:c r="Q363" t="str"/>
      <x:c r="R363" t="str"/>
      <x:c r="S363" t="str"/>
      <x:c r="T363" t="str"/>
      <x:c r="U363" t="str"/>
      <x:c r="V363" t="str"/>
      <x:c r="W363" t="str"/>
      <x:c r="X363" t="str"/>
      <x:c r="Y363" t="str"/>
      <x:c r="Z363" t="str"/>
      <x:c r="AA363" t="str"/>
      <x:c r="AB363" t="str"/>
      <x:c r="AC363" t="str"/>
      <x:c r="AD363" t="str"/>
      <x:c r="AE363" t="str"/>
      <x:c r="AF363" t="str"/>
      <x:c r="AG363" t="str"/>
      <x:c r="AH363" t="str">
        <x:f>D363&amp;"|"&amp;UPPER(F363)&amp;"|"&amp;LEFT(B363,10)</x:f>
        <x:v>1304|COMMN|2026-01-03</x:v>
      </x:c>
    </x:row>
    <x:row r="364">
      <x:c r="A364" s="22" t="n">
        <x:v>1776</x:v>
      </x:c>
      <x:c r="B364" t="str">
        <x:v>2026-07-01T00:00:00</x:v>
      </x:c>
      <x:c r="C364" t="str">
        <x:v>1304D</x:v>
      </x:c>
      <x:c r="D364" t="str">
        <x:v>1304</x:v>
      </x:c>
      <x:c r="E364" t="str">
        <x:v>Customer Service Rep</x:v>
      </x:c>
      <x:c r="F364" t="str">
        <x:v>COMMN</x:v>
      </x:c>
      <x:c r="G364" t="str">
        <x:v>43.875</x:v>
      </x:c>
      <x:c r="H364" t="str">
        <x:v>46.0625</x:v>
      </x:c>
      <x:c r="I364" t="str">
        <x:v>48.3625</x:v>
      </x:c>
      <x:c r="J364" t="str">
        <x:v>50.775</x:v>
      </x:c>
      <x:c r="K364" t="str">
        <x:v>53.35</x:v>
      </x:c>
      <x:c r="L364" t="str"/>
      <x:c r="M364" t="str"/>
      <x:c r="N364" t="str"/>
      <x:c r="O364" t="str"/>
      <x:c r="P364" t="str"/>
      <x:c r="Q364" t="str"/>
      <x:c r="R364" t="str"/>
      <x:c r="S364" t="str"/>
      <x:c r="T364" t="str"/>
      <x:c r="U364" t="str"/>
      <x:c r="V364" t="str"/>
      <x:c r="W364" t="str"/>
      <x:c r="X364" t="str"/>
      <x:c r="Y364" t="str"/>
      <x:c r="Z364" t="str"/>
      <x:c r="AA364" t="str"/>
      <x:c r="AB364" t="str"/>
      <x:c r="AC364" t="str"/>
      <x:c r="AD364" t="str"/>
      <x:c r="AE364" t="str"/>
      <x:c r="AF364" t="str"/>
      <x:c r="AG364" t="str"/>
      <x:c r="AH364" t="str">
        <x:f>D364&amp;"|"&amp;UPPER(F364)&amp;"|"&amp;LEFT(B364,10)</x:f>
        <x:v>1304|COMMN|2026-07-01</x:v>
      </x:c>
    </x:row>
    <x:row r="365">
      <x:c r="A365" s="22" t="n">
        <x:v>1783</x:v>
      </x:c>
      <x:c r="B365" t="str">
        <x:v>2024-01-06T00:00:00</x:v>
      </x:c>
      <x:c r="C365" t="str">
        <x:v>1306Y</x:v>
      </x:c>
      <x:c r="D365" t="str">
        <x:v>1306</x:v>
      </x:c>
      <x:c r="E365" t="str">
        <x:v>Customer Service Representative Supervisor</x:v>
      </x:c>
      <x:c r="F365" t="str">
        <x:v>COMMN</x:v>
      </x:c>
      <x:c r="G365" t="str">
        <x:v>45.6625</x:v>
      </x:c>
      <x:c r="H365" t="str">
        <x:v>47.9125</x:v>
      </x:c>
      <x:c r="I365" t="str">
        <x:v>50.3375</x:v>
      </x:c>
      <x:c r="J365" t="str">
        <x:v>52.825</x:v>
      </x:c>
      <x:c r="K365" t="str">
        <x:v>55.4875</x:v>
      </x:c>
      <x:c r="L365" t="str"/>
      <x:c r="M365" t="str"/>
      <x:c r="N365" t="str"/>
      <x:c r="O365" t="str"/>
      <x:c r="P365" t="str"/>
      <x:c r="Q365" t="str"/>
      <x:c r="R365" t="str"/>
      <x:c r="S365" t="str"/>
      <x:c r="T365" t="str"/>
      <x:c r="U365" t="str"/>
      <x:c r="V365" t="str"/>
      <x:c r="W365" t="str"/>
      <x:c r="X365" t="str"/>
      <x:c r="Y365" t="str"/>
      <x:c r="Z365" t="str"/>
      <x:c r="AA365" t="str"/>
      <x:c r="AB365" t="str"/>
      <x:c r="AC365" t="str"/>
      <x:c r="AD365" t="str"/>
      <x:c r="AE365" t="str"/>
      <x:c r="AF365" t="str"/>
      <x:c r="AG365" t="str"/>
      <x:c r="AH365" t="str">
        <x:f>D365&amp;"|"&amp;UPPER(F365)&amp;"|"&amp;LEFT(B365,10)</x:f>
        <x:v>1306|COMMN|2024-01-06</x:v>
      </x:c>
    </x:row>
    <x:row r="366">
      <x:c r="A366" s="22" t="n">
        <x:v>1784</x:v>
      </x:c>
      <x:c r="B366" t="str">
        <x:v>2024-07-01T00:00:00</x:v>
      </x:c>
      <x:c r="C366" t="str">
        <x:v>1306Z</x:v>
      </x:c>
      <x:c r="D366" t="str">
        <x:v>1306</x:v>
      </x:c>
      <x:c r="E366" t="str">
        <x:v>Customer Service Representative Supervisor</x:v>
      </x:c>
      <x:c r="F366" t="str">
        <x:v>COMMN</x:v>
      </x:c>
      <x:c r="G366" t="str">
        <x:v>46.35</x:v>
      </x:c>
      <x:c r="H366" t="str">
        <x:v>48.625</x:v>
      </x:c>
      <x:c r="I366" t="str">
        <x:v>51.0875</x:v>
      </x:c>
      <x:c r="J366" t="str">
        <x:v>53.6125</x:v>
      </x:c>
      <x:c r="K366" t="str">
        <x:v>56.325</x:v>
      </x:c>
      <x:c r="L366" t="str"/>
      <x:c r="M366" t="str"/>
      <x:c r="N366" t="str"/>
      <x:c r="O366" t="str"/>
      <x:c r="P366" t="str"/>
      <x:c r="Q366" t="str"/>
      <x:c r="R366" t="str"/>
      <x:c r="S366" t="str"/>
      <x:c r="T366" t="str"/>
      <x:c r="U366" t="str"/>
      <x:c r="V366" t="str"/>
      <x:c r="W366" t="str"/>
      <x:c r="X366" t="str"/>
      <x:c r="Y366" t="str"/>
      <x:c r="Z366" t="str"/>
      <x:c r="AA366" t="str"/>
      <x:c r="AB366" t="str"/>
      <x:c r="AC366" t="str"/>
      <x:c r="AD366" t="str"/>
      <x:c r="AE366" t="str"/>
      <x:c r="AF366" t="str"/>
      <x:c r="AG366" t="str"/>
      <x:c r="AH366" t="str">
        <x:f>D366&amp;"|"&amp;UPPER(F366)&amp;"|"&amp;LEFT(B366,10)</x:f>
        <x:v>1306|COMMN|2024-07-01</x:v>
      </x:c>
    </x:row>
    <x:row r="367">
      <x:c r="A367" s="22" t="n">
        <x:v>1785</x:v>
      </x:c>
      <x:c r="B367" t="str">
        <x:v>2025-01-04T00:00:00</x:v>
      </x:c>
      <x:c r="C367" t="str">
        <x:v>1306A</x:v>
      </x:c>
      <x:c r="D367" t="str">
        <x:v>1306</x:v>
      </x:c>
      <x:c r="E367" t="str">
        <x:v>Customer Service Representative Supervisor</x:v>
      </x:c>
      <x:c r="F367" t="str">
        <x:v>COMMN</x:v>
      </x:c>
      <x:c r="G367" t="str">
        <x:v>47.05</x:v>
      </x:c>
      <x:c r="H367" t="str">
        <x:v>49.35</x:v>
      </x:c>
      <x:c r="I367" t="str">
        <x:v>51.85</x:v>
      </x:c>
      <x:c r="J367" t="str">
        <x:v>54.4125</x:v>
      </x:c>
      <x:c r="K367" t="str">
        <x:v>57.175</x:v>
      </x:c>
      <x:c r="L367" t="str"/>
      <x:c r="M367" t="str"/>
      <x:c r="N367" t="str"/>
      <x:c r="O367" t="str"/>
      <x:c r="P367" t="str"/>
      <x:c r="Q367" t="str"/>
      <x:c r="R367" t="str"/>
      <x:c r="S367" t="str"/>
      <x:c r="T367" t="str"/>
      <x:c r="U367" t="str"/>
      <x:c r="V367" t="str"/>
      <x:c r="W367" t="str"/>
      <x:c r="X367" t="str"/>
      <x:c r="Y367" t="str"/>
      <x:c r="Z367" t="str"/>
      <x:c r="AA367" t="str"/>
      <x:c r="AB367" t="str"/>
      <x:c r="AC367" t="str"/>
      <x:c r="AD367" t="str"/>
      <x:c r="AE367" t="str"/>
      <x:c r="AF367" t="str"/>
      <x:c r="AG367" t="str"/>
      <x:c r="AH367" t="str">
        <x:f>D367&amp;"|"&amp;UPPER(F367)&amp;"|"&amp;LEFT(B367,10)</x:f>
        <x:v>1306|COMMN|2025-01-04</x:v>
      </x:c>
    </x:row>
    <x:row r="368">
      <x:c r="A368" s="22" t="n">
        <x:v>1786</x:v>
      </x:c>
      <x:c r="B368" t="str">
        <x:v>2025-07-01T00:00:00</x:v>
      </x:c>
      <x:c r="C368" t="str">
        <x:v>1306B</x:v>
      </x:c>
      <x:c r="D368" t="str">
        <x:v>1306</x:v>
      </x:c>
      <x:c r="E368" t="str">
        <x:v>Customer Service Rep Spv</x:v>
      </x:c>
      <x:c r="F368" t="str">
        <x:v>COMMN</x:v>
      </x:c>
      <x:c r="G368" t="str">
        <x:v>48</x:v>
      </x:c>
      <x:c r="H368" t="str">
        <x:v>50.3375</x:v>
      </x:c>
      <x:c r="I368" t="str">
        <x:v>52.8875</x:v>
      </x:c>
      <x:c r="J368" t="str">
        <x:v>55.5</x:v>
      </x:c>
      <x:c r="K368" t="str">
        <x:v>58.325</x:v>
      </x:c>
      <x:c r="L368" t="str"/>
      <x:c r="M368" t="str"/>
      <x:c r="N368" t="str"/>
      <x:c r="O368" t="str"/>
      <x:c r="P368" t="str"/>
      <x:c r="Q368" t="str"/>
      <x:c r="R368" t="str"/>
      <x:c r="S368" t="str"/>
      <x:c r="T368" t="str"/>
      <x:c r="U368" t="str"/>
      <x:c r="V368" t="str"/>
      <x:c r="W368" t="str"/>
      <x:c r="X368" t="str"/>
      <x:c r="Y368" t="str"/>
      <x:c r="Z368" t="str"/>
      <x:c r="AA368" t="str"/>
      <x:c r="AB368" t="str"/>
      <x:c r="AC368" t="str"/>
      <x:c r="AD368" t="str"/>
      <x:c r="AE368" t="str"/>
      <x:c r="AF368" t="str"/>
      <x:c r="AG368" t="str"/>
      <x:c r="AH368" t="str">
        <x:f>D368&amp;"|"&amp;UPPER(F368)&amp;"|"&amp;LEFT(B368,10)</x:f>
        <x:v>1306|COMMN|2025-07-01</x:v>
      </x:c>
    </x:row>
    <x:row r="369">
      <x:c r="A369" s="22" t="n">
        <x:v>1787</x:v>
      </x:c>
      <x:c r="B369" t="str">
        <x:v>2026-01-03T00:00:00</x:v>
      </x:c>
      <x:c r="C369" t="str">
        <x:v>1306C</x:v>
      </x:c>
      <x:c r="D369" t="str">
        <x:v>1306</x:v>
      </x:c>
      <x:c r="E369" t="str">
        <x:v>Customer Service Rep Spv</x:v>
      </x:c>
      <x:c r="F369" t="str">
        <x:v>COMMN</x:v>
      </x:c>
      <x:c r="G369" t="str">
        <x:v>48.725</x:v>
      </x:c>
      <x:c r="H369" t="str">
        <x:v>51.0875</x:v>
      </x:c>
      <x:c r="I369" t="str">
        <x:v>53.675</x:v>
      </x:c>
      <x:c r="J369" t="str">
        <x:v>56.3375</x:v>
      </x:c>
      <x:c r="K369" t="str">
        <x:v>59.2</x:v>
      </x:c>
      <x:c r="L369" t="str"/>
      <x:c r="M369" t="str"/>
      <x:c r="N369" t="str"/>
      <x:c r="O369" t="str"/>
      <x:c r="P369" t="str"/>
      <x:c r="Q369" t="str"/>
      <x:c r="R369" t="str"/>
      <x:c r="S369" t="str"/>
      <x:c r="T369" t="str"/>
      <x:c r="U369" t="str"/>
      <x:c r="V369" t="str"/>
      <x:c r="W369" t="str"/>
      <x:c r="X369" t="str"/>
      <x:c r="Y369" t="str"/>
      <x:c r="Z369" t="str"/>
      <x:c r="AA369" t="str"/>
      <x:c r="AB369" t="str"/>
      <x:c r="AC369" t="str"/>
      <x:c r="AD369" t="str"/>
      <x:c r="AE369" t="str"/>
      <x:c r="AF369" t="str"/>
      <x:c r="AG369" t="str"/>
      <x:c r="AH369" t="str">
        <x:f>D369&amp;"|"&amp;UPPER(F369)&amp;"|"&amp;LEFT(B369,10)</x:f>
        <x:v>1306|COMMN|2026-01-03</x:v>
      </x:c>
    </x:row>
    <x:row r="370">
      <x:c r="A370" s="22" t="n">
        <x:v>1788</x:v>
      </x:c>
      <x:c r="B370" t="str">
        <x:v>2026-07-01T00:00:00</x:v>
      </x:c>
      <x:c r="C370" t="str">
        <x:v>1306D</x:v>
      </x:c>
      <x:c r="D370" t="str">
        <x:v>1306</x:v>
      </x:c>
      <x:c r="E370" t="str">
        <x:v>Customer Service Rep Spv</x:v>
      </x:c>
      <x:c r="F370" t="str">
        <x:v>COMMN</x:v>
      </x:c>
      <x:c r="G370" t="str">
        <x:v>49.7</x:v>
      </x:c>
      <x:c r="H370" t="str">
        <x:v>52.1125</x:v>
      </x:c>
      <x:c r="I370" t="str">
        <x:v>54.75</x:v>
      </x:c>
      <x:c r="J370" t="str">
        <x:v>57.4625</x:v>
      </x:c>
      <x:c r="K370" t="str">
        <x:v>60.3875</x:v>
      </x:c>
      <x:c r="L370" t="str"/>
      <x:c r="M370" t="str"/>
      <x:c r="N370" t="str"/>
      <x:c r="O370" t="str"/>
      <x:c r="P370" t="str"/>
      <x:c r="Q370" t="str"/>
      <x:c r="R370" t="str"/>
      <x:c r="S370" t="str"/>
      <x:c r="T370" t="str"/>
      <x:c r="U370" t="str"/>
      <x:c r="V370" t="str"/>
      <x:c r="W370" t="str"/>
      <x:c r="X370" t="str"/>
      <x:c r="Y370" t="str"/>
      <x:c r="Z370" t="str"/>
      <x:c r="AA370" t="str"/>
      <x:c r="AB370" t="str"/>
      <x:c r="AC370" t="str"/>
      <x:c r="AD370" t="str"/>
      <x:c r="AE370" t="str"/>
      <x:c r="AF370" t="str"/>
      <x:c r="AG370" t="str"/>
      <x:c r="AH370" t="str">
        <x:f>D370&amp;"|"&amp;UPPER(F370)&amp;"|"&amp;LEFT(B370,10)</x:f>
        <x:v>1306|COMMN|2026-07-01</x:v>
      </x:c>
    </x:row>
    <x:row r="371">
      <x:c r="A371" s="22" t="n">
        <x:v>1891</x:v>
      </x:c>
      <x:c r="B371" t="str">
        <x:v>2024-01-06T00:00:00</x:v>
      </x:c>
      <x:c r="C371" t="str">
        <x:v>1326Y</x:v>
      </x:c>
      <x:c r="D371" t="str">
        <x:v>1326</x:v>
      </x:c>
      <x:c r="E371" t="str">
        <x:v>Customer Service Agent Supervisor</x:v>
      </x:c>
      <x:c r="F371" t="str">
        <x:v>COMMN</x:v>
      </x:c>
      <x:c r="G371" t="str">
        <x:v>45.6625</x:v>
      </x:c>
      <x:c r="H371" t="str">
        <x:v>47.9125</x:v>
      </x:c>
      <x:c r="I371" t="str">
        <x:v>50.3375</x:v>
      </x:c>
      <x:c r="J371" t="str">
        <x:v>52.825</x:v>
      </x:c>
      <x:c r="K371" t="str">
        <x:v>55.4875</x:v>
      </x:c>
      <x:c r="L371" t="str"/>
      <x:c r="M371" t="str"/>
      <x:c r="N371" t="str"/>
      <x:c r="O371" t="str"/>
      <x:c r="P371" t="str"/>
      <x:c r="Q371" t="str"/>
      <x:c r="R371" t="str"/>
      <x:c r="S371" t="str"/>
      <x:c r="T371" t="str"/>
      <x:c r="U371" t="str"/>
      <x:c r="V371" t="str"/>
      <x:c r="W371" t="str"/>
      <x:c r="X371" t="str"/>
      <x:c r="Y371" t="str"/>
      <x:c r="Z371" t="str"/>
      <x:c r="AA371" t="str"/>
      <x:c r="AB371" t="str"/>
      <x:c r="AC371" t="str"/>
      <x:c r="AD371" t="str"/>
      <x:c r="AE371" t="str"/>
      <x:c r="AF371" t="str"/>
      <x:c r="AG371" t="str"/>
      <x:c r="AH371" t="str">
        <x:f>D371&amp;"|"&amp;UPPER(F371)&amp;"|"&amp;LEFT(B371,10)</x:f>
        <x:v>1326|COMMN|2024-01-06</x:v>
      </x:c>
    </x:row>
    <x:row r="372">
      <x:c r="A372" s="22" t="n">
        <x:v>1892</x:v>
      </x:c>
      <x:c r="B372" t="str">
        <x:v>2024-07-01T00:00:00</x:v>
      </x:c>
      <x:c r="C372" t="str">
        <x:v>1326Z</x:v>
      </x:c>
      <x:c r="D372" t="str">
        <x:v>1326</x:v>
      </x:c>
      <x:c r="E372" t="str">
        <x:v>Customer Service Agent Supervisor</x:v>
      </x:c>
      <x:c r="F372" t="str">
        <x:v>COMMN</x:v>
      </x:c>
      <x:c r="G372" t="str">
        <x:v>46.35</x:v>
      </x:c>
      <x:c r="H372" t="str">
        <x:v>48.625</x:v>
      </x:c>
      <x:c r="I372" t="str">
        <x:v>51.0875</x:v>
      </x:c>
      <x:c r="J372" t="str">
        <x:v>53.6125</x:v>
      </x:c>
      <x:c r="K372" t="str">
        <x:v>56.325</x:v>
      </x:c>
      <x:c r="L372" t="str"/>
      <x:c r="M372" t="str"/>
      <x:c r="N372" t="str"/>
      <x:c r="O372" t="str"/>
      <x:c r="P372" t="str"/>
      <x:c r="Q372" t="str"/>
      <x:c r="R372" t="str"/>
      <x:c r="S372" t="str"/>
      <x:c r="T372" t="str"/>
      <x:c r="U372" t="str"/>
      <x:c r="V372" t="str"/>
      <x:c r="W372" t="str"/>
      <x:c r="X372" t="str"/>
      <x:c r="Y372" t="str"/>
      <x:c r="Z372" t="str"/>
      <x:c r="AA372" t="str"/>
      <x:c r="AB372" t="str"/>
      <x:c r="AC372" t="str"/>
      <x:c r="AD372" t="str"/>
      <x:c r="AE372" t="str"/>
      <x:c r="AF372" t="str"/>
      <x:c r="AG372" t="str"/>
      <x:c r="AH372" t="str">
        <x:f>D372&amp;"|"&amp;UPPER(F372)&amp;"|"&amp;LEFT(B372,10)</x:f>
        <x:v>1326|COMMN|2024-07-01</x:v>
      </x:c>
    </x:row>
    <x:row r="373">
      <x:c r="A373" s="22" t="n">
        <x:v>1893</x:v>
      </x:c>
      <x:c r="B373" t="str">
        <x:v>2025-01-04T00:00:00</x:v>
      </x:c>
      <x:c r="C373" t="str">
        <x:v>1326A</x:v>
      </x:c>
      <x:c r="D373" t="str">
        <x:v>1326</x:v>
      </x:c>
      <x:c r="E373" t="str">
        <x:v>Customer Service Agent Supervisor</x:v>
      </x:c>
      <x:c r="F373" t="str">
        <x:v>COMMN</x:v>
      </x:c>
      <x:c r="G373" t="str">
        <x:v>47.05</x:v>
      </x:c>
      <x:c r="H373" t="str">
        <x:v>49.35</x:v>
      </x:c>
      <x:c r="I373" t="str">
        <x:v>51.85</x:v>
      </x:c>
      <x:c r="J373" t="str">
        <x:v>54.4125</x:v>
      </x:c>
      <x:c r="K373" t="str">
        <x:v>57.175</x:v>
      </x:c>
      <x:c r="L373" t="str"/>
      <x:c r="M373" t="str"/>
      <x:c r="N373" t="str"/>
      <x:c r="O373" t="str"/>
      <x:c r="P373" t="str"/>
      <x:c r="Q373" t="str"/>
      <x:c r="R373" t="str"/>
      <x:c r="S373" t="str"/>
      <x:c r="T373" t="str"/>
      <x:c r="U373" t="str"/>
      <x:c r="V373" t="str"/>
      <x:c r="W373" t="str"/>
      <x:c r="X373" t="str"/>
      <x:c r="Y373" t="str"/>
      <x:c r="Z373" t="str"/>
      <x:c r="AA373" t="str"/>
      <x:c r="AB373" t="str"/>
      <x:c r="AC373" t="str"/>
      <x:c r="AD373" t="str"/>
      <x:c r="AE373" t="str"/>
      <x:c r="AF373" t="str"/>
      <x:c r="AG373" t="str"/>
      <x:c r="AH373" t="str">
        <x:f>D373&amp;"|"&amp;UPPER(F373)&amp;"|"&amp;LEFT(B373,10)</x:f>
        <x:v>1326|COMMN|2025-01-04</x:v>
      </x:c>
    </x:row>
    <x:row r="374">
      <x:c r="A374" s="22" t="n">
        <x:v>1894</x:v>
      </x:c>
      <x:c r="B374" t="str">
        <x:v>2025-07-01T00:00:00</x:v>
      </x:c>
      <x:c r="C374" t="str">
        <x:v>1326B</x:v>
      </x:c>
      <x:c r="D374" t="str">
        <x:v>1326</x:v>
      </x:c>
      <x:c r="E374" t="str">
        <x:v>Customer Service Agent Supv</x:v>
      </x:c>
      <x:c r="F374" t="str">
        <x:v>COMMN</x:v>
      </x:c>
      <x:c r="G374" t="str">
        <x:v>48</x:v>
      </x:c>
      <x:c r="H374" t="str">
        <x:v>50.3375</x:v>
      </x:c>
      <x:c r="I374" t="str">
        <x:v>52.8875</x:v>
      </x:c>
      <x:c r="J374" t="str">
        <x:v>55.5</x:v>
      </x:c>
      <x:c r="K374" t="str">
        <x:v>58.325</x:v>
      </x:c>
      <x:c r="L374" t="str"/>
      <x:c r="M374" t="str"/>
      <x:c r="N374" t="str"/>
      <x:c r="O374" t="str"/>
      <x:c r="P374" t="str"/>
      <x:c r="Q374" t="str"/>
      <x:c r="R374" t="str"/>
      <x:c r="S374" t="str"/>
      <x:c r="T374" t="str"/>
      <x:c r="U374" t="str"/>
      <x:c r="V374" t="str"/>
      <x:c r="W374" t="str"/>
      <x:c r="X374" t="str"/>
      <x:c r="Y374" t="str"/>
      <x:c r="Z374" t="str"/>
      <x:c r="AA374" t="str"/>
      <x:c r="AB374" t="str"/>
      <x:c r="AC374" t="str"/>
      <x:c r="AD374" t="str"/>
      <x:c r="AE374" t="str"/>
      <x:c r="AF374" t="str"/>
      <x:c r="AG374" t="str"/>
      <x:c r="AH374" t="str">
        <x:f>D374&amp;"|"&amp;UPPER(F374)&amp;"|"&amp;LEFT(B374,10)</x:f>
        <x:v>1326|COMMN|2025-07-01</x:v>
      </x:c>
    </x:row>
    <x:row r="375">
      <x:c r="A375" s="22" t="n">
        <x:v>1895</x:v>
      </x:c>
      <x:c r="B375" t="str">
        <x:v>2026-01-03T00:00:00</x:v>
      </x:c>
      <x:c r="C375" t="str">
        <x:v>1326C</x:v>
      </x:c>
      <x:c r="D375" t="str">
        <x:v>1326</x:v>
      </x:c>
      <x:c r="E375" t="str">
        <x:v>Customer Service Agent Supv</x:v>
      </x:c>
      <x:c r="F375" t="str">
        <x:v>COMMN</x:v>
      </x:c>
      <x:c r="G375" t="str">
        <x:v>48.725</x:v>
      </x:c>
      <x:c r="H375" t="str">
        <x:v>51.0875</x:v>
      </x:c>
      <x:c r="I375" t="str">
        <x:v>53.675</x:v>
      </x:c>
      <x:c r="J375" t="str">
        <x:v>56.3375</x:v>
      </x:c>
      <x:c r="K375" t="str">
        <x:v>59.2</x:v>
      </x:c>
      <x:c r="L375" t="str"/>
      <x:c r="M375" t="str"/>
      <x:c r="N375" t="str"/>
      <x:c r="O375" t="str"/>
      <x:c r="P375" t="str"/>
      <x:c r="Q375" t="str"/>
      <x:c r="R375" t="str"/>
      <x:c r="S375" t="str"/>
      <x:c r="T375" t="str"/>
      <x:c r="U375" t="str"/>
      <x:c r="V375" t="str"/>
      <x:c r="W375" t="str"/>
      <x:c r="X375" t="str"/>
      <x:c r="Y375" t="str"/>
      <x:c r="Z375" t="str"/>
      <x:c r="AA375" t="str"/>
      <x:c r="AB375" t="str"/>
      <x:c r="AC375" t="str"/>
      <x:c r="AD375" t="str"/>
      <x:c r="AE375" t="str"/>
      <x:c r="AF375" t="str"/>
      <x:c r="AG375" t="str"/>
      <x:c r="AH375" t="str">
        <x:f>D375&amp;"|"&amp;UPPER(F375)&amp;"|"&amp;LEFT(B375,10)</x:f>
        <x:v>1326|COMMN|2026-01-03</x:v>
      </x:c>
    </x:row>
    <x:row r="376">
      <x:c r="A376" s="22" t="n">
        <x:v>1896</x:v>
      </x:c>
      <x:c r="B376" t="str">
        <x:v>2026-07-01T00:00:00</x:v>
      </x:c>
      <x:c r="C376" t="str">
        <x:v>1326D</x:v>
      </x:c>
      <x:c r="D376" t="str">
        <x:v>1326</x:v>
      </x:c>
      <x:c r="E376" t="str">
        <x:v>Customer Service Agent Supv</x:v>
      </x:c>
      <x:c r="F376" t="str">
        <x:v>COMMN</x:v>
      </x:c>
      <x:c r="G376" t="str">
        <x:v>49.7</x:v>
      </x:c>
      <x:c r="H376" t="str">
        <x:v>52.1125</x:v>
      </x:c>
      <x:c r="I376" t="str">
        <x:v>54.75</x:v>
      </x:c>
      <x:c r="J376" t="str">
        <x:v>57.4625</x:v>
      </x:c>
      <x:c r="K376" t="str">
        <x:v>60.3875</x:v>
      </x:c>
      <x:c r="L376" t="str"/>
      <x:c r="M376" t="str"/>
      <x:c r="N376" t="str"/>
      <x:c r="O376" t="str"/>
      <x:c r="P376" t="str"/>
      <x:c r="Q376" t="str"/>
      <x:c r="R376" t="str"/>
      <x:c r="S376" t="str"/>
      <x:c r="T376" t="str"/>
      <x:c r="U376" t="str"/>
      <x:c r="V376" t="str"/>
      <x:c r="W376" t="str"/>
      <x:c r="X376" t="str"/>
      <x:c r="Y376" t="str"/>
      <x:c r="Z376" t="str"/>
      <x:c r="AA376" t="str"/>
      <x:c r="AB376" t="str"/>
      <x:c r="AC376" t="str"/>
      <x:c r="AD376" t="str"/>
      <x:c r="AE376" t="str"/>
      <x:c r="AF376" t="str"/>
      <x:c r="AG376" t="str"/>
      <x:c r="AH376" t="str">
        <x:f>D376&amp;"|"&amp;UPPER(F376)&amp;"|"&amp;LEFT(B376,10)</x:f>
        <x:v>1326|COMMN|2026-07-01</x:v>
      </x:c>
    </x:row>
    <x:row r="377">
      <x:c r="A377" s="22" t="n">
        <x:v>1903</x:v>
      </x:c>
      <x:c r="B377" t="str">
        <x:v>2024-01-06T00:00:00</x:v>
      </x:c>
      <x:c r="C377" t="str">
        <x:v>1360Y</x:v>
      </x:c>
      <x:c r="D377" t="str">
        <x:v>1360</x:v>
      </x:c>
      <x:c r="E377" t="str">
        <x:v>Special Assistant I</x:v>
      </x:c>
      <x:c r="F377" t="str">
        <x:v>COMMN</x:v>
      </x:c>
      <x:c r="G377" t="str">
        <x:v>27</x:v>
      </x:c>
      <x:c r="H377" t="str">
        <x:v>28.3</x:v>
      </x:c>
      <x:c r="I377" t="str">
        <x:v>29.725</x:v>
      </x:c>
      <x:c r="J377" t="str">
        <x:v>31.2</x:v>
      </x:c>
      <x:c r="K377" t="str">
        <x:v>32.775</x:v>
      </x:c>
      <x:c r="L377" t="str"/>
      <x:c r="M377" t="str"/>
      <x:c r="N377" t="str"/>
      <x:c r="O377" t="str"/>
      <x:c r="P377" t="str"/>
      <x:c r="Q377" t="str"/>
      <x:c r="R377" t="str"/>
      <x:c r="S377" t="str"/>
      <x:c r="T377" t="str"/>
      <x:c r="U377" t="str"/>
      <x:c r="V377" t="str"/>
      <x:c r="W377" t="str"/>
      <x:c r="X377" t="str"/>
      <x:c r="Y377" t="str"/>
      <x:c r="Z377" t="str"/>
      <x:c r="AA377" t="str"/>
      <x:c r="AB377" t="str"/>
      <x:c r="AC377" t="str"/>
      <x:c r="AD377" t="str"/>
      <x:c r="AE377" t="str"/>
      <x:c r="AF377" t="str"/>
      <x:c r="AG377" t="str"/>
      <x:c r="AH377" t="str">
        <x:f>D377&amp;"|"&amp;UPPER(F377)&amp;"|"&amp;LEFT(B377,10)</x:f>
        <x:v>1360|COMMN|2024-01-06</x:v>
      </x:c>
    </x:row>
    <x:row r="378">
      <x:c r="A378" s="22" t="n">
        <x:v>1915</x:v>
      </x:c>
      <x:c r="B378" t="str">
        <x:v>2024-01-06T00:00:00</x:v>
      </x:c>
      <x:c r="C378" t="str">
        <x:v>1360Y</x:v>
      </x:c>
      <x:c r="D378" t="str">
        <x:v>1360</x:v>
      </x:c>
      <x:c r="E378" t="str">
        <x:v>Special Assistant I</x:v>
      </x:c>
      <x:c r="F378" t="str">
        <x:v>SFMTA</x:v>
      </x:c>
      <x:c r="G378" t="str">
        <x:v>27</x:v>
      </x:c>
      <x:c r="H378" t="str">
        <x:v>28.3</x:v>
      </x:c>
      <x:c r="I378" t="str">
        <x:v>29.725</x:v>
      </x:c>
      <x:c r="J378" t="str">
        <x:v>31.2</x:v>
      </x:c>
      <x:c r="K378" t="str">
        <x:v>32.775</x:v>
      </x:c>
      <x:c r="L378" t="str"/>
      <x:c r="M378" t="str"/>
      <x:c r="N378" t="str"/>
      <x:c r="O378" t="str"/>
      <x:c r="P378" t="str"/>
      <x:c r="Q378" t="str"/>
      <x:c r="R378" t="str"/>
      <x:c r="S378" t="str"/>
      <x:c r="T378" t="str"/>
      <x:c r="U378" t="str"/>
      <x:c r="V378" t="str"/>
      <x:c r="W378" t="str"/>
      <x:c r="X378" t="str"/>
      <x:c r="Y378" t="str"/>
      <x:c r="Z378" t="str"/>
      <x:c r="AA378" t="str"/>
      <x:c r="AB378" t="str"/>
      <x:c r="AC378" t="str"/>
      <x:c r="AD378" t="str"/>
      <x:c r="AE378" t="str"/>
      <x:c r="AF378" t="str"/>
      <x:c r="AG378" t="str"/>
      <x:c r="AH378" t="str">
        <x:f>D378&amp;"|"&amp;UPPER(F378)&amp;"|"&amp;LEFT(B378,10)</x:f>
        <x:v>1360|SFMTA|2024-01-06</x:v>
      </x:c>
    </x:row>
    <x:row r="379">
      <x:c r="A379" s="22" t="n">
        <x:v>1904</x:v>
      </x:c>
      <x:c r="B379" t="str">
        <x:v>2024-07-01T00:00:00</x:v>
      </x:c>
      <x:c r="C379" t="str">
        <x:v>1360Z</x:v>
      </x:c>
      <x:c r="D379" t="str">
        <x:v>1360</x:v>
      </x:c>
      <x:c r="E379" t="str">
        <x:v>Special Assistant I</x:v>
      </x:c>
      <x:c r="F379" t="str">
        <x:v>COMMN</x:v>
      </x:c>
      <x:c r="G379" t="str">
        <x:v>27.4</x:v>
      </x:c>
      <x:c r="H379" t="str">
        <x:v>28.725</x:v>
      </x:c>
      <x:c r="I379" t="str">
        <x:v>30.175</x:v>
      </x:c>
      <x:c r="J379" t="str">
        <x:v>31.6625</x:v>
      </x:c>
      <x:c r="K379" t="str">
        <x:v>33.2625</x:v>
      </x:c>
      <x:c r="L379" t="str"/>
      <x:c r="M379" t="str"/>
      <x:c r="N379" t="str"/>
      <x:c r="O379" t="str"/>
      <x:c r="P379" t="str"/>
      <x:c r="Q379" t="str"/>
      <x:c r="R379" t="str"/>
      <x:c r="S379" t="str"/>
      <x:c r="T379" t="str"/>
      <x:c r="U379" t="str"/>
      <x:c r="V379" t="str"/>
      <x:c r="W379" t="str"/>
      <x:c r="X379" t="str"/>
      <x:c r="Y379" t="str"/>
      <x:c r="Z379" t="str"/>
      <x:c r="AA379" t="str"/>
      <x:c r="AB379" t="str"/>
      <x:c r="AC379" t="str"/>
      <x:c r="AD379" t="str"/>
      <x:c r="AE379" t="str"/>
      <x:c r="AF379" t="str"/>
      <x:c r="AG379" t="str"/>
      <x:c r="AH379" t="str">
        <x:f>D379&amp;"|"&amp;UPPER(F379)&amp;"|"&amp;LEFT(B379,10)</x:f>
        <x:v>1360|COMMN|2024-07-01</x:v>
      </x:c>
    </x:row>
    <x:row r="380">
      <x:c r="A380" s="22" t="n">
        <x:v>1916</x:v>
      </x:c>
      <x:c r="B380" t="str">
        <x:v>2024-07-01T00:00:00</x:v>
      </x:c>
      <x:c r="C380" t="str">
        <x:v>1360Z</x:v>
      </x:c>
      <x:c r="D380" t="str">
        <x:v>1360</x:v>
      </x:c>
      <x:c r="E380" t="str">
        <x:v>Special Assistant I</x:v>
      </x:c>
      <x:c r="F380" t="str">
        <x:v>SFMTA</x:v>
      </x:c>
      <x:c r="G380" t="str">
        <x:v>27.4</x:v>
      </x:c>
      <x:c r="H380" t="str">
        <x:v>28.725</x:v>
      </x:c>
      <x:c r="I380" t="str">
        <x:v>30.175</x:v>
      </x:c>
      <x:c r="J380" t="str">
        <x:v>31.6625</x:v>
      </x:c>
      <x:c r="K380" t="str">
        <x:v>33.2625</x:v>
      </x:c>
      <x:c r="L380" t="str"/>
      <x:c r="M380" t="str"/>
      <x:c r="N380" t="str"/>
      <x:c r="O380" t="str"/>
      <x:c r="P380" t="str"/>
      <x:c r="Q380" t="str"/>
      <x:c r="R380" t="str"/>
      <x:c r="S380" t="str"/>
      <x:c r="T380" t="str"/>
      <x:c r="U380" t="str"/>
      <x:c r="V380" t="str"/>
      <x:c r="W380" t="str"/>
      <x:c r="X380" t="str"/>
      <x:c r="Y380" t="str"/>
      <x:c r="Z380" t="str"/>
      <x:c r="AA380" t="str"/>
      <x:c r="AB380" t="str"/>
      <x:c r="AC380" t="str"/>
      <x:c r="AD380" t="str"/>
      <x:c r="AE380" t="str"/>
      <x:c r="AF380" t="str"/>
      <x:c r="AG380" t="str"/>
      <x:c r="AH380" t="str">
        <x:f>D380&amp;"|"&amp;UPPER(F380)&amp;"|"&amp;LEFT(B380,10)</x:f>
        <x:v>1360|SFMTA|2024-07-01</x:v>
      </x:c>
    </x:row>
    <x:row r="381">
      <x:c r="A381" s="22" t="n">
        <x:v>1905</x:v>
      </x:c>
      <x:c r="B381" t="str">
        <x:v>2025-01-04T00:00:00</x:v>
      </x:c>
      <x:c r="C381" t="str">
        <x:v>1360A</x:v>
      </x:c>
      <x:c r="D381" t="str">
        <x:v>1360</x:v>
      </x:c>
      <x:c r="E381" t="str">
        <x:v>Special Assistant I</x:v>
      </x:c>
      <x:c r="F381" t="str">
        <x:v>COMMN</x:v>
      </x:c>
      <x:c r="G381" t="str">
        <x:v>27.8125</x:v>
      </x:c>
      <x:c r="H381" t="str">
        <x:v>29.15</x:v>
      </x:c>
      <x:c r="I381" t="str">
        <x:v>30.625</x:v>
      </x:c>
      <x:c r="J381" t="str">
        <x:v>32.1375</x:v>
      </x:c>
      <x:c r="K381" t="str">
        <x:v>33.7625</x:v>
      </x:c>
      <x:c r="L381" t="str"/>
      <x:c r="M381" t="str"/>
      <x:c r="N381" t="str"/>
      <x:c r="O381" t="str"/>
      <x:c r="P381" t="str"/>
      <x:c r="Q381" t="str"/>
      <x:c r="R381" t="str"/>
      <x:c r="S381" t="str"/>
      <x:c r="T381" t="str"/>
      <x:c r="U381" t="str"/>
      <x:c r="V381" t="str"/>
      <x:c r="W381" t="str"/>
      <x:c r="X381" t="str"/>
      <x:c r="Y381" t="str"/>
      <x:c r="Z381" t="str"/>
      <x:c r="AA381" t="str"/>
      <x:c r="AB381" t="str"/>
      <x:c r="AC381" t="str"/>
      <x:c r="AD381" t="str"/>
      <x:c r="AE381" t="str"/>
      <x:c r="AF381" t="str"/>
      <x:c r="AG381" t="str"/>
      <x:c r="AH381" t="str">
        <x:f>D381&amp;"|"&amp;UPPER(F381)&amp;"|"&amp;LEFT(B381,10)</x:f>
        <x:v>1360|COMMN|2025-01-04</x:v>
      </x:c>
    </x:row>
    <x:row r="382">
      <x:c r="A382" s="22" t="n">
        <x:v>1917</x:v>
      </x:c>
      <x:c r="B382" t="str">
        <x:v>2025-01-04T00:00:00</x:v>
      </x:c>
      <x:c r="C382" t="str">
        <x:v>1360A</x:v>
      </x:c>
      <x:c r="D382" t="str">
        <x:v>1360</x:v>
      </x:c>
      <x:c r="E382" t="str">
        <x:v>Special Assistant I</x:v>
      </x:c>
      <x:c r="F382" t="str">
        <x:v>SFMTA</x:v>
      </x:c>
      <x:c r="G382" t="str">
        <x:v>27.8125</x:v>
      </x:c>
      <x:c r="H382" t="str">
        <x:v>29.15</x:v>
      </x:c>
      <x:c r="I382" t="str">
        <x:v>30.625</x:v>
      </x:c>
      <x:c r="J382" t="str">
        <x:v>32.1375</x:v>
      </x:c>
      <x:c r="K382" t="str">
        <x:v>33.7625</x:v>
      </x:c>
      <x:c r="L382" t="str"/>
      <x:c r="M382" t="str"/>
      <x:c r="N382" t="str"/>
      <x:c r="O382" t="str"/>
      <x:c r="P382" t="str"/>
      <x:c r="Q382" t="str"/>
      <x:c r="R382" t="str"/>
      <x:c r="S382" t="str"/>
      <x:c r="T382" t="str"/>
      <x:c r="U382" t="str"/>
      <x:c r="V382" t="str"/>
      <x:c r="W382" t="str"/>
      <x:c r="X382" t="str"/>
      <x:c r="Y382" t="str"/>
      <x:c r="Z382" t="str"/>
      <x:c r="AA382" t="str"/>
      <x:c r="AB382" t="str"/>
      <x:c r="AC382" t="str"/>
      <x:c r="AD382" t="str"/>
      <x:c r="AE382" t="str"/>
      <x:c r="AF382" t="str"/>
      <x:c r="AG382" t="str"/>
      <x:c r="AH382" t="str">
        <x:f>D382&amp;"|"&amp;UPPER(F382)&amp;"|"&amp;LEFT(B382,10)</x:f>
        <x:v>1360|SFMTA|2025-01-04</x:v>
      </x:c>
    </x:row>
    <x:row r="383">
      <x:c r="A383" s="22" t="n">
        <x:v>1906</x:v>
      </x:c>
      <x:c r="B383" t="str">
        <x:v>2025-07-01T00:00:00</x:v>
      </x:c>
      <x:c r="C383" t="str">
        <x:v>1360B</x:v>
      </x:c>
      <x:c r="D383" t="str">
        <x:v>1360</x:v>
      </x:c>
      <x:c r="E383" t="str">
        <x:v>Special Assistant 1</x:v>
      </x:c>
      <x:c r="F383" t="str">
        <x:v>COMMN</x:v>
      </x:c>
      <x:c r="G383" t="str">
        <x:v>28.375</x:v>
      </x:c>
      <x:c r="H383" t="str">
        <x:v>29.7375</x:v>
      </x:c>
      <x:c r="I383" t="str">
        <x:v>31.2375</x:v>
      </x:c>
      <x:c r="J383" t="str">
        <x:v>32.7875</x:v>
      </x:c>
      <x:c r="K383" t="str">
        <x:v>34.4375</x:v>
      </x:c>
      <x:c r="L383" t="str"/>
      <x:c r="M383" t="str"/>
      <x:c r="N383" t="str"/>
      <x:c r="O383" t="str"/>
      <x:c r="P383" t="str"/>
      <x:c r="Q383" t="str"/>
      <x:c r="R383" t="str"/>
      <x:c r="S383" t="str"/>
      <x:c r="T383" t="str"/>
      <x:c r="U383" t="str"/>
      <x:c r="V383" t="str"/>
      <x:c r="W383" t="str"/>
      <x:c r="X383" t="str"/>
      <x:c r="Y383" t="str"/>
      <x:c r="Z383" t="str"/>
      <x:c r="AA383" t="str"/>
      <x:c r="AB383" t="str"/>
      <x:c r="AC383" t="str"/>
      <x:c r="AD383" t="str"/>
      <x:c r="AE383" t="str"/>
      <x:c r="AF383" t="str"/>
      <x:c r="AG383" t="str"/>
      <x:c r="AH383" t="str">
        <x:f>D383&amp;"|"&amp;UPPER(F383)&amp;"|"&amp;LEFT(B383,10)</x:f>
        <x:v>1360|COMMN|2025-07-01</x:v>
      </x:c>
    </x:row>
    <x:row r="384">
      <x:c r="A384" s="22" t="n">
        <x:v>1918</x:v>
      </x:c>
      <x:c r="B384" t="str">
        <x:v>2025-07-01T00:00:00</x:v>
      </x:c>
      <x:c r="C384" t="str">
        <x:v>1360B</x:v>
      </x:c>
      <x:c r="D384" t="str">
        <x:v>1360</x:v>
      </x:c>
      <x:c r="E384" t="str">
        <x:v>Special Assistant 1</x:v>
      </x:c>
      <x:c r="F384" t="str">
        <x:v>SFMTA</x:v>
      </x:c>
      <x:c r="G384" t="str">
        <x:v>28.375</x:v>
      </x:c>
      <x:c r="H384" t="str">
        <x:v>29.7375</x:v>
      </x:c>
      <x:c r="I384" t="str">
        <x:v>31.2375</x:v>
      </x:c>
      <x:c r="J384" t="str">
        <x:v>32.7875</x:v>
      </x:c>
      <x:c r="K384" t="str">
        <x:v>34.4375</x:v>
      </x:c>
      <x:c r="L384" t="str"/>
      <x:c r="M384" t="str"/>
      <x:c r="N384" t="str"/>
      <x:c r="O384" t="str"/>
      <x:c r="P384" t="str"/>
      <x:c r="Q384" t="str"/>
      <x:c r="R384" t="str"/>
      <x:c r="S384" t="str"/>
      <x:c r="T384" t="str"/>
      <x:c r="U384" t="str"/>
      <x:c r="V384" t="str"/>
      <x:c r="W384" t="str"/>
      <x:c r="X384" t="str"/>
      <x:c r="Y384" t="str"/>
      <x:c r="Z384" t="str"/>
      <x:c r="AA384" t="str"/>
      <x:c r="AB384" t="str"/>
      <x:c r="AC384" t="str"/>
      <x:c r="AD384" t="str"/>
      <x:c r="AE384" t="str"/>
      <x:c r="AF384" t="str"/>
      <x:c r="AG384" t="str"/>
      <x:c r="AH384" t="str">
        <x:f>D384&amp;"|"&amp;UPPER(F384)&amp;"|"&amp;LEFT(B384,10)</x:f>
        <x:v>1360|SFMTA|2025-07-01</x:v>
      </x:c>
    </x:row>
    <x:row r="385">
      <x:c r="A385" s="22" t="n">
        <x:v>1907</x:v>
      </x:c>
      <x:c r="B385" t="str">
        <x:v>2026-01-03T00:00:00</x:v>
      </x:c>
      <x:c r="C385" t="str">
        <x:v>1360C</x:v>
      </x:c>
      <x:c r="D385" t="str">
        <x:v>1360</x:v>
      </x:c>
      <x:c r="E385" t="str">
        <x:v>Special Assistant 1</x:v>
      </x:c>
      <x:c r="F385" t="str">
        <x:v>COMMN</x:v>
      </x:c>
      <x:c r="G385" t="str">
        <x:v>28.8</x:v>
      </x:c>
      <x:c r="H385" t="str">
        <x:v>30.1875</x:v>
      </x:c>
      <x:c r="I385" t="str">
        <x:v>31.7</x:v>
      </x:c>
      <x:c r="J385" t="str">
        <x:v>33.275</x:v>
      </x:c>
      <x:c r="K385" t="str">
        <x:v>34.95</x:v>
      </x:c>
      <x:c r="L385" t="str"/>
      <x:c r="M385" t="str"/>
      <x:c r="N385" t="str"/>
      <x:c r="O385" t="str"/>
      <x:c r="P385" t="str"/>
      <x:c r="Q385" t="str"/>
      <x:c r="R385" t="str"/>
      <x:c r="S385" t="str"/>
      <x:c r="T385" t="str"/>
      <x:c r="U385" t="str"/>
      <x:c r="V385" t="str"/>
      <x:c r="W385" t="str"/>
      <x:c r="X385" t="str"/>
      <x:c r="Y385" t="str"/>
      <x:c r="Z385" t="str"/>
      <x:c r="AA385" t="str"/>
      <x:c r="AB385" t="str"/>
      <x:c r="AC385" t="str"/>
      <x:c r="AD385" t="str"/>
      <x:c r="AE385" t="str"/>
      <x:c r="AF385" t="str"/>
      <x:c r="AG385" t="str"/>
      <x:c r="AH385" t="str">
        <x:f>D385&amp;"|"&amp;UPPER(F385)&amp;"|"&amp;LEFT(B385,10)</x:f>
        <x:v>1360|COMMN|2026-01-03</x:v>
      </x:c>
    </x:row>
    <x:row r="386">
      <x:c r="A386" s="22" t="n">
        <x:v>1919</x:v>
      </x:c>
      <x:c r="B386" t="str">
        <x:v>2026-01-03T00:00:00</x:v>
      </x:c>
      <x:c r="C386" t="str">
        <x:v>1360C</x:v>
      </x:c>
      <x:c r="D386" t="str">
        <x:v>1360</x:v>
      </x:c>
      <x:c r="E386" t="str">
        <x:v>Special Assistant 1</x:v>
      </x:c>
      <x:c r="F386" t="str">
        <x:v>SFMTA</x:v>
      </x:c>
      <x:c r="G386" t="str">
        <x:v>28.8</x:v>
      </x:c>
      <x:c r="H386" t="str">
        <x:v>30.1875</x:v>
      </x:c>
      <x:c r="I386" t="str">
        <x:v>31.7</x:v>
      </x:c>
      <x:c r="J386" t="str">
        <x:v>33.275</x:v>
      </x:c>
      <x:c r="K386" t="str">
        <x:v>34.95</x:v>
      </x:c>
      <x:c r="L386" t="str"/>
      <x:c r="M386" t="str"/>
      <x:c r="N386" t="str"/>
      <x:c r="O386" t="str"/>
      <x:c r="P386" t="str"/>
      <x:c r="Q386" t="str"/>
      <x:c r="R386" t="str"/>
      <x:c r="S386" t="str"/>
      <x:c r="T386" t="str"/>
      <x:c r="U386" t="str"/>
      <x:c r="V386" t="str"/>
      <x:c r="W386" t="str"/>
      <x:c r="X386" t="str"/>
      <x:c r="Y386" t="str"/>
      <x:c r="Z386" t="str"/>
      <x:c r="AA386" t="str"/>
      <x:c r="AB386" t="str"/>
      <x:c r="AC386" t="str"/>
      <x:c r="AD386" t="str"/>
      <x:c r="AE386" t="str"/>
      <x:c r="AF386" t="str"/>
      <x:c r="AG386" t="str"/>
      <x:c r="AH386" t="str">
        <x:f>D386&amp;"|"&amp;UPPER(F386)&amp;"|"&amp;LEFT(B386,10)</x:f>
        <x:v>1360|SFMTA|2026-01-03</x:v>
      </x:c>
    </x:row>
    <x:row r="387">
      <x:c r="A387" s="22" t="n">
        <x:v>1908</x:v>
      </x:c>
      <x:c r="B387" t="str">
        <x:v>2026-07-01T00:00:00</x:v>
      </x:c>
      <x:c r="C387" t="str">
        <x:v>1360D</x:v>
      </x:c>
      <x:c r="D387" t="str">
        <x:v>1360</x:v>
      </x:c>
      <x:c r="E387" t="str">
        <x:v>Special Assistant 1</x:v>
      </x:c>
      <x:c r="F387" t="str">
        <x:v>COMMN</x:v>
      </x:c>
      <x:c r="G387" t="str">
        <x:v>29.375</x:v>
      </x:c>
      <x:c r="H387" t="str">
        <x:v>30.7875</x:v>
      </x:c>
      <x:c r="I387" t="str">
        <x:v>32.3375</x:v>
      </x:c>
      <x:c r="J387" t="str">
        <x:v>33.9375</x:v>
      </x:c>
      <x:c r="K387" t="str">
        <x:v>35.65</x:v>
      </x:c>
      <x:c r="L387" t="str"/>
      <x:c r="M387" t="str"/>
      <x:c r="N387" t="str"/>
      <x:c r="O387" t="str"/>
      <x:c r="P387" t="str"/>
      <x:c r="Q387" t="str"/>
      <x:c r="R387" t="str"/>
      <x:c r="S387" t="str"/>
      <x:c r="T387" t="str"/>
      <x:c r="U387" t="str"/>
      <x:c r="V387" t="str"/>
      <x:c r="W387" t="str"/>
      <x:c r="X387" t="str"/>
      <x:c r="Y387" t="str"/>
      <x:c r="Z387" t="str"/>
      <x:c r="AA387" t="str"/>
      <x:c r="AB387" t="str"/>
      <x:c r="AC387" t="str"/>
      <x:c r="AD387" t="str"/>
      <x:c r="AE387" t="str"/>
      <x:c r="AF387" t="str"/>
      <x:c r="AG387" t="str"/>
      <x:c r="AH387" t="str">
        <x:f>D387&amp;"|"&amp;UPPER(F387)&amp;"|"&amp;LEFT(B387,10)</x:f>
        <x:v>1360|COMMN|2026-07-01</x:v>
      </x:c>
    </x:row>
    <x:row r="388">
      <x:c r="A388" s="22" t="n">
        <x:v>1920</x:v>
      </x:c>
      <x:c r="B388" t="str">
        <x:v>2026-07-01T00:00:00</x:v>
      </x:c>
      <x:c r="C388" t="str">
        <x:v>1360D</x:v>
      </x:c>
      <x:c r="D388" t="str">
        <x:v>1360</x:v>
      </x:c>
      <x:c r="E388" t="str">
        <x:v>Special Assistant 1</x:v>
      </x:c>
      <x:c r="F388" t="str">
        <x:v>SFMTA</x:v>
      </x:c>
      <x:c r="G388" t="str">
        <x:v>29.375</x:v>
      </x:c>
      <x:c r="H388" t="str">
        <x:v>30.7875</x:v>
      </x:c>
      <x:c r="I388" t="str">
        <x:v>32.3375</x:v>
      </x:c>
      <x:c r="J388" t="str">
        <x:v>33.9375</x:v>
      </x:c>
      <x:c r="K388" t="str">
        <x:v>35.65</x:v>
      </x:c>
      <x:c r="L388" t="str"/>
      <x:c r="M388" t="str"/>
      <x:c r="N388" t="str"/>
      <x:c r="O388" t="str"/>
      <x:c r="P388" t="str"/>
      <x:c r="Q388" t="str"/>
      <x:c r="R388" t="str"/>
      <x:c r="S388" t="str"/>
      <x:c r="T388" t="str"/>
      <x:c r="U388" t="str"/>
      <x:c r="V388" t="str"/>
      <x:c r="W388" t="str"/>
      <x:c r="X388" t="str"/>
      <x:c r="Y388" t="str"/>
      <x:c r="Z388" t="str"/>
      <x:c r="AA388" t="str"/>
      <x:c r="AB388" t="str"/>
      <x:c r="AC388" t="str"/>
      <x:c r="AD388" t="str"/>
      <x:c r="AE388" t="str"/>
      <x:c r="AF388" t="str"/>
      <x:c r="AG388" t="str"/>
      <x:c r="AH388" t="str">
        <x:f>D388&amp;"|"&amp;UPPER(F388)&amp;"|"&amp;LEFT(B388,10)</x:f>
        <x:v>1360|SFMTA|2026-07-01</x:v>
      </x:c>
    </x:row>
    <x:row r="389">
      <x:c r="A389" s="22" t="n">
        <x:v>1927</x:v>
      </x:c>
      <x:c r="B389" t="str">
        <x:v>2024-01-06T00:00:00</x:v>
      </x:c>
      <x:c r="C389" t="str">
        <x:v>1361Y</x:v>
      </x:c>
      <x:c r="D389" t="str">
        <x:v>1361</x:v>
      </x:c>
      <x:c r="E389" t="str">
        <x:v>Special Assistant II</x:v>
      </x:c>
      <x:c r="F389" t="str">
        <x:v>COMMN</x:v>
      </x:c>
      <x:c r="G389" t="str">
        <x:v>28.975</x:v>
      </x:c>
      <x:c r="H389" t="str">
        <x:v>30.45</x:v>
      </x:c>
      <x:c r="I389" t="str">
        <x:v>31.9625</x:v>
      </x:c>
      <x:c r="J389" t="str">
        <x:v>33.575</x:v>
      </x:c>
      <x:c r="K389" t="str">
        <x:v>35.25</x:v>
      </x:c>
      <x:c r="L389" t="str"/>
      <x:c r="M389" t="str"/>
      <x:c r="N389" t="str"/>
      <x:c r="O389" t="str"/>
      <x:c r="P389" t="str"/>
      <x:c r="Q389" t="str"/>
      <x:c r="R389" t="str"/>
      <x:c r="S389" t="str"/>
      <x:c r="T389" t="str"/>
      <x:c r="U389" t="str"/>
      <x:c r="V389" t="str"/>
      <x:c r="W389" t="str"/>
      <x:c r="X389" t="str"/>
      <x:c r="Y389" t="str"/>
      <x:c r="Z389" t="str"/>
      <x:c r="AA389" t="str"/>
      <x:c r="AB389" t="str"/>
      <x:c r="AC389" t="str"/>
      <x:c r="AD389" t="str"/>
      <x:c r="AE389" t="str"/>
      <x:c r="AF389" t="str"/>
      <x:c r="AG389" t="str"/>
      <x:c r="AH389" t="str">
        <x:f>D389&amp;"|"&amp;UPPER(F389)&amp;"|"&amp;LEFT(B389,10)</x:f>
        <x:v>1361|COMMN|2024-01-06</x:v>
      </x:c>
    </x:row>
    <x:row r="390">
      <x:c r="A390" s="22" t="n">
        <x:v>1939</x:v>
      </x:c>
      <x:c r="B390" t="str">
        <x:v>2024-01-06T00:00:00</x:v>
      </x:c>
      <x:c r="C390" t="str">
        <x:v>1361Y</x:v>
      </x:c>
      <x:c r="D390" t="str">
        <x:v>1361</x:v>
      </x:c>
      <x:c r="E390" t="str">
        <x:v>Special Assistant II</x:v>
      </x:c>
      <x:c r="F390" t="str">
        <x:v>SFMTA</x:v>
      </x:c>
      <x:c r="G390" t="str">
        <x:v>28.975</x:v>
      </x:c>
      <x:c r="H390" t="str">
        <x:v>30.45</x:v>
      </x:c>
      <x:c r="I390" t="str">
        <x:v>31.9625</x:v>
      </x:c>
      <x:c r="J390" t="str">
        <x:v>33.575</x:v>
      </x:c>
      <x:c r="K390" t="str">
        <x:v>35.25</x:v>
      </x:c>
      <x:c r="L390" t="str"/>
      <x:c r="M390" t="str"/>
      <x:c r="N390" t="str"/>
      <x:c r="O390" t="str"/>
      <x:c r="P390" t="str"/>
      <x:c r="Q390" t="str"/>
      <x:c r="R390" t="str"/>
      <x:c r="S390" t="str"/>
      <x:c r="T390" t="str"/>
      <x:c r="U390" t="str"/>
      <x:c r="V390" t="str"/>
      <x:c r="W390" t="str"/>
      <x:c r="X390" t="str"/>
      <x:c r="Y390" t="str"/>
      <x:c r="Z390" t="str"/>
      <x:c r="AA390" t="str"/>
      <x:c r="AB390" t="str"/>
      <x:c r="AC390" t="str"/>
      <x:c r="AD390" t="str"/>
      <x:c r="AE390" t="str"/>
      <x:c r="AF390" t="str"/>
      <x:c r="AG390" t="str"/>
      <x:c r="AH390" t="str">
        <x:f>D390&amp;"|"&amp;UPPER(F390)&amp;"|"&amp;LEFT(B390,10)</x:f>
        <x:v>1361|SFMTA|2024-01-06</x:v>
      </x:c>
    </x:row>
    <x:row r="391">
      <x:c r="A391" s="22" t="n">
        <x:v>1928</x:v>
      </x:c>
      <x:c r="B391" t="str">
        <x:v>2024-07-01T00:00:00</x:v>
      </x:c>
      <x:c r="C391" t="str">
        <x:v>1361Z</x:v>
      </x:c>
      <x:c r="D391" t="str">
        <x:v>1361</x:v>
      </x:c>
      <x:c r="E391" t="str">
        <x:v>Special Assistant II</x:v>
      </x:c>
      <x:c r="F391" t="str">
        <x:v>COMMN</x:v>
      </x:c>
      <x:c r="G391" t="str">
        <x:v>29.4125</x:v>
      </x:c>
      <x:c r="H391" t="str">
        <x:v>30.9125</x:v>
      </x:c>
      <x:c r="I391" t="str">
        <x:v>32.4375</x:v>
      </x:c>
      <x:c r="J391" t="str">
        <x:v>34.075</x:v>
      </x:c>
      <x:c r="K391" t="str">
        <x:v>35.775</x:v>
      </x:c>
      <x:c r="L391" t="str"/>
      <x:c r="M391" t="str"/>
      <x:c r="N391" t="str"/>
      <x:c r="O391" t="str"/>
      <x:c r="P391" t="str"/>
      <x:c r="Q391" t="str"/>
      <x:c r="R391" t="str"/>
      <x:c r="S391" t="str"/>
      <x:c r="T391" t="str"/>
      <x:c r="U391" t="str"/>
      <x:c r="V391" t="str"/>
      <x:c r="W391" t="str"/>
      <x:c r="X391" t="str"/>
      <x:c r="Y391" t="str"/>
      <x:c r="Z391" t="str"/>
      <x:c r="AA391" t="str"/>
      <x:c r="AB391" t="str"/>
      <x:c r="AC391" t="str"/>
      <x:c r="AD391" t="str"/>
      <x:c r="AE391" t="str"/>
      <x:c r="AF391" t="str"/>
      <x:c r="AG391" t="str"/>
      <x:c r="AH391" t="str">
        <x:f>D391&amp;"|"&amp;UPPER(F391)&amp;"|"&amp;LEFT(B391,10)</x:f>
        <x:v>1361|COMMN|2024-07-01</x:v>
      </x:c>
    </x:row>
    <x:row r="392">
      <x:c r="A392" s="22" t="n">
        <x:v>1940</x:v>
      </x:c>
      <x:c r="B392" t="str">
        <x:v>2024-07-01T00:00:00</x:v>
      </x:c>
      <x:c r="C392" t="str">
        <x:v>1361Z</x:v>
      </x:c>
      <x:c r="D392" t="str">
        <x:v>1361</x:v>
      </x:c>
      <x:c r="E392" t="str">
        <x:v>Special Assistant II</x:v>
      </x:c>
      <x:c r="F392" t="str">
        <x:v>SFMTA</x:v>
      </x:c>
      <x:c r="G392" t="str">
        <x:v>29.4125</x:v>
      </x:c>
      <x:c r="H392" t="str">
        <x:v>30.9125</x:v>
      </x:c>
      <x:c r="I392" t="str">
        <x:v>32.4375</x:v>
      </x:c>
      <x:c r="J392" t="str">
        <x:v>34.075</x:v>
      </x:c>
      <x:c r="K392" t="str">
        <x:v>35.775</x:v>
      </x:c>
      <x:c r="L392" t="str"/>
      <x:c r="M392" t="str"/>
      <x:c r="N392" t="str"/>
      <x:c r="O392" t="str"/>
      <x:c r="P392" t="str"/>
      <x:c r="Q392" t="str"/>
      <x:c r="R392" t="str"/>
      <x:c r="S392" t="str"/>
      <x:c r="T392" t="str"/>
      <x:c r="U392" t="str"/>
      <x:c r="V392" t="str"/>
      <x:c r="W392" t="str"/>
      <x:c r="X392" t="str"/>
      <x:c r="Y392" t="str"/>
      <x:c r="Z392" t="str"/>
      <x:c r="AA392" t="str"/>
      <x:c r="AB392" t="str"/>
      <x:c r="AC392" t="str"/>
      <x:c r="AD392" t="str"/>
      <x:c r="AE392" t="str"/>
      <x:c r="AF392" t="str"/>
      <x:c r="AG392" t="str"/>
      <x:c r="AH392" t="str">
        <x:f>D392&amp;"|"&amp;UPPER(F392)&amp;"|"&amp;LEFT(B392,10)</x:f>
        <x:v>1361|SFMTA|2024-07-01</x:v>
      </x:c>
    </x:row>
    <x:row r="393">
      <x:c r="A393" s="22" t="n">
        <x:v>1929</x:v>
      </x:c>
      <x:c r="B393" t="str">
        <x:v>2025-01-04T00:00:00</x:v>
      </x:c>
      <x:c r="C393" t="str">
        <x:v>1361A</x:v>
      </x:c>
      <x:c r="D393" t="str">
        <x:v>1361</x:v>
      </x:c>
      <x:c r="E393" t="str">
        <x:v>Special Assistant II</x:v>
      </x:c>
      <x:c r="F393" t="str">
        <x:v>COMMN</x:v>
      </x:c>
      <x:c r="G393" t="str">
        <x:v>29.85</x:v>
      </x:c>
      <x:c r="H393" t="str">
        <x:v>31.375</x:v>
      </x:c>
      <x:c r="I393" t="str">
        <x:v>32.925</x:v>
      </x:c>
      <x:c r="J393" t="str">
        <x:v>34.5875</x:v>
      </x:c>
      <x:c r="K393" t="str">
        <x:v>36.3125</x:v>
      </x:c>
      <x:c r="L393" t="str"/>
      <x:c r="M393" t="str"/>
      <x:c r="N393" t="str"/>
      <x:c r="O393" t="str"/>
      <x:c r="P393" t="str"/>
      <x:c r="Q393" t="str"/>
      <x:c r="R393" t="str"/>
      <x:c r="S393" t="str"/>
      <x:c r="T393" t="str"/>
      <x:c r="U393" t="str"/>
      <x:c r="V393" t="str"/>
      <x:c r="W393" t="str"/>
      <x:c r="X393" t="str"/>
      <x:c r="Y393" t="str"/>
      <x:c r="Z393" t="str"/>
      <x:c r="AA393" t="str"/>
      <x:c r="AB393" t="str"/>
      <x:c r="AC393" t="str"/>
      <x:c r="AD393" t="str"/>
      <x:c r="AE393" t="str"/>
      <x:c r="AF393" t="str"/>
      <x:c r="AG393" t="str"/>
      <x:c r="AH393" t="str">
        <x:f>D393&amp;"|"&amp;UPPER(F393)&amp;"|"&amp;LEFT(B393,10)</x:f>
        <x:v>1361|COMMN|2025-01-04</x:v>
      </x:c>
    </x:row>
    <x:row r="394">
      <x:c r="A394" s="22" t="n">
        <x:v>1941</x:v>
      </x:c>
      <x:c r="B394" t="str">
        <x:v>2025-01-04T00:00:00</x:v>
      </x:c>
      <x:c r="C394" t="str">
        <x:v>1361A</x:v>
      </x:c>
      <x:c r="D394" t="str">
        <x:v>1361</x:v>
      </x:c>
      <x:c r="E394" t="str">
        <x:v>Special Assistant II</x:v>
      </x:c>
      <x:c r="F394" t="str">
        <x:v>SFMTA</x:v>
      </x:c>
      <x:c r="G394" t="str">
        <x:v>29.85</x:v>
      </x:c>
      <x:c r="H394" t="str">
        <x:v>31.375</x:v>
      </x:c>
      <x:c r="I394" t="str">
        <x:v>32.925</x:v>
      </x:c>
      <x:c r="J394" t="str">
        <x:v>34.5875</x:v>
      </x:c>
      <x:c r="K394" t="str">
        <x:v>36.3125</x:v>
      </x:c>
      <x:c r="L394" t="str"/>
      <x:c r="M394" t="str"/>
      <x:c r="N394" t="str"/>
      <x:c r="O394" t="str"/>
      <x:c r="P394" t="str"/>
      <x:c r="Q394" t="str"/>
      <x:c r="R394" t="str"/>
      <x:c r="S394" t="str"/>
      <x:c r="T394" t="str"/>
      <x:c r="U394" t="str"/>
      <x:c r="V394" t="str"/>
      <x:c r="W394" t="str"/>
      <x:c r="X394" t="str"/>
      <x:c r="Y394" t="str"/>
      <x:c r="Z394" t="str"/>
      <x:c r="AA394" t="str"/>
      <x:c r="AB394" t="str"/>
      <x:c r="AC394" t="str"/>
      <x:c r="AD394" t="str"/>
      <x:c r="AE394" t="str"/>
      <x:c r="AF394" t="str"/>
      <x:c r="AG394" t="str"/>
      <x:c r="AH394" t="str">
        <x:f>D394&amp;"|"&amp;UPPER(F394)&amp;"|"&amp;LEFT(B394,10)</x:f>
        <x:v>1361|SFMTA|2025-01-04</x:v>
      </x:c>
    </x:row>
    <x:row r="395">
      <x:c r="A395" s="22" t="n">
        <x:v>1930</x:v>
      </x:c>
      <x:c r="B395" t="str">
        <x:v>2025-07-01T00:00:00</x:v>
      </x:c>
      <x:c r="C395" t="str">
        <x:v>1361B</x:v>
      </x:c>
      <x:c r="D395" t="str">
        <x:v>1361</x:v>
      </x:c>
      <x:c r="E395" t="str">
        <x:v>Special Assistant 2</x:v>
      </x:c>
      <x:c r="F395" t="str">
        <x:v>COMMN</x:v>
      </x:c>
      <x:c r="G395" t="str">
        <x:v>30.45</x:v>
      </x:c>
      <x:c r="H395" t="str">
        <x:v>32</x:v>
      </x:c>
      <x:c r="I395" t="str">
        <x:v>33.5875</x:v>
      </x:c>
      <x:c r="J395" t="str">
        <x:v>35.2875</x:v>
      </x:c>
      <x:c r="K395" t="str">
        <x:v>37.0375</x:v>
      </x:c>
      <x:c r="L395" t="str"/>
      <x:c r="M395" t="str"/>
      <x:c r="N395" t="str"/>
      <x:c r="O395" t="str"/>
      <x:c r="P395" t="str"/>
      <x:c r="Q395" t="str"/>
      <x:c r="R395" t="str"/>
      <x:c r="S395" t="str"/>
      <x:c r="T395" t="str"/>
      <x:c r="U395" t="str"/>
      <x:c r="V395" t="str"/>
      <x:c r="W395" t="str"/>
      <x:c r="X395" t="str"/>
      <x:c r="Y395" t="str"/>
      <x:c r="Z395" t="str"/>
      <x:c r="AA395" t="str"/>
      <x:c r="AB395" t="str"/>
      <x:c r="AC395" t="str"/>
      <x:c r="AD395" t="str"/>
      <x:c r="AE395" t="str"/>
      <x:c r="AF395" t="str"/>
      <x:c r="AG395" t="str"/>
      <x:c r="AH395" t="str">
        <x:f>D395&amp;"|"&amp;UPPER(F395)&amp;"|"&amp;LEFT(B395,10)</x:f>
        <x:v>1361|COMMN|2025-07-01</x:v>
      </x:c>
    </x:row>
    <x:row r="396">
      <x:c r="A396" s="22" t="n">
        <x:v>1942</x:v>
      </x:c>
      <x:c r="B396" t="str">
        <x:v>2025-07-01T00:00:00</x:v>
      </x:c>
      <x:c r="C396" t="str">
        <x:v>1361B</x:v>
      </x:c>
      <x:c r="D396" t="str">
        <x:v>1361</x:v>
      </x:c>
      <x:c r="E396" t="str">
        <x:v>Special Assistant 2</x:v>
      </x:c>
      <x:c r="F396" t="str">
        <x:v>SFMTA</x:v>
      </x:c>
      <x:c r="G396" t="str">
        <x:v>30.45</x:v>
      </x:c>
      <x:c r="H396" t="str">
        <x:v>32</x:v>
      </x:c>
      <x:c r="I396" t="str">
        <x:v>33.5875</x:v>
      </x:c>
      <x:c r="J396" t="str">
        <x:v>35.2875</x:v>
      </x:c>
      <x:c r="K396" t="str">
        <x:v>37.0375</x:v>
      </x:c>
      <x:c r="L396" t="str"/>
      <x:c r="M396" t="str"/>
      <x:c r="N396" t="str"/>
      <x:c r="O396" t="str"/>
      <x:c r="P396" t="str"/>
      <x:c r="Q396" t="str"/>
      <x:c r="R396" t="str"/>
      <x:c r="S396" t="str"/>
      <x:c r="T396" t="str"/>
      <x:c r="U396" t="str"/>
      <x:c r="V396" t="str"/>
      <x:c r="W396" t="str"/>
      <x:c r="X396" t="str"/>
      <x:c r="Y396" t="str"/>
      <x:c r="Z396" t="str"/>
      <x:c r="AA396" t="str"/>
      <x:c r="AB396" t="str"/>
      <x:c r="AC396" t="str"/>
      <x:c r="AD396" t="str"/>
      <x:c r="AE396" t="str"/>
      <x:c r="AF396" t="str"/>
      <x:c r="AG396" t="str"/>
      <x:c r="AH396" t="str">
        <x:f>D396&amp;"|"&amp;UPPER(F396)&amp;"|"&amp;LEFT(B396,10)</x:f>
        <x:v>1361|SFMTA|2025-07-01</x:v>
      </x:c>
    </x:row>
    <x:row r="397">
      <x:c r="A397" s="22" t="n">
        <x:v>1931</x:v>
      </x:c>
      <x:c r="B397" t="str">
        <x:v>2026-01-03T00:00:00</x:v>
      </x:c>
      <x:c r="C397" t="str">
        <x:v>1361C</x:v>
      </x:c>
      <x:c r="D397" t="str">
        <x:v>1361</x:v>
      </x:c>
      <x:c r="E397" t="str">
        <x:v>Special Assistant 2</x:v>
      </x:c>
      <x:c r="F397" t="str">
        <x:v>COMMN</x:v>
      </x:c>
      <x:c r="G397" t="str">
        <x:v>30.9125</x:v>
      </x:c>
      <x:c r="H397" t="str">
        <x:v>32.475</x:v>
      </x:c>
      <x:c r="I397" t="str">
        <x:v>34.0875</x:v>
      </x:c>
      <x:c r="J397" t="str">
        <x:v>35.8125</x:v>
      </x:c>
      <x:c r="K397" t="str">
        <x:v>37.5875</x:v>
      </x:c>
      <x:c r="L397" t="str"/>
      <x:c r="M397" t="str"/>
      <x:c r="N397" t="str"/>
      <x:c r="O397" t="str"/>
      <x:c r="P397" t="str"/>
      <x:c r="Q397" t="str"/>
      <x:c r="R397" t="str"/>
      <x:c r="S397" t="str"/>
      <x:c r="T397" t="str"/>
      <x:c r="U397" t="str"/>
      <x:c r="V397" t="str"/>
      <x:c r="W397" t="str"/>
      <x:c r="X397" t="str"/>
      <x:c r="Y397" t="str"/>
      <x:c r="Z397" t="str"/>
      <x:c r="AA397" t="str"/>
      <x:c r="AB397" t="str"/>
      <x:c r="AC397" t="str"/>
      <x:c r="AD397" t="str"/>
      <x:c r="AE397" t="str"/>
      <x:c r="AF397" t="str"/>
      <x:c r="AG397" t="str"/>
      <x:c r="AH397" t="str">
        <x:f>D397&amp;"|"&amp;UPPER(F397)&amp;"|"&amp;LEFT(B397,10)</x:f>
        <x:v>1361|COMMN|2026-01-03</x:v>
      </x:c>
    </x:row>
    <x:row r="398">
      <x:c r="A398" s="22" t="n">
        <x:v>1943</x:v>
      </x:c>
      <x:c r="B398" t="str">
        <x:v>2026-01-03T00:00:00</x:v>
      </x:c>
      <x:c r="C398" t="str">
        <x:v>1361C</x:v>
      </x:c>
      <x:c r="D398" t="str">
        <x:v>1361</x:v>
      </x:c>
      <x:c r="E398" t="str">
        <x:v>Special Assistant 2</x:v>
      </x:c>
      <x:c r="F398" t="str">
        <x:v>SFMTA</x:v>
      </x:c>
      <x:c r="G398" t="str">
        <x:v>30.9125</x:v>
      </x:c>
      <x:c r="H398" t="str">
        <x:v>32.475</x:v>
      </x:c>
      <x:c r="I398" t="str">
        <x:v>34.0875</x:v>
      </x:c>
      <x:c r="J398" t="str">
        <x:v>35.8125</x:v>
      </x:c>
      <x:c r="K398" t="str">
        <x:v>37.5875</x:v>
      </x:c>
      <x:c r="L398" t="str"/>
      <x:c r="M398" t="str"/>
      <x:c r="N398" t="str"/>
      <x:c r="O398" t="str"/>
      <x:c r="P398" t="str"/>
      <x:c r="Q398" t="str"/>
      <x:c r="R398" t="str"/>
      <x:c r="S398" t="str"/>
      <x:c r="T398" t="str"/>
      <x:c r="U398" t="str"/>
      <x:c r="V398" t="str"/>
      <x:c r="W398" t="str"/>
      <x:c r="X398" t="str"/>
      <x:c r="Y398" t="str"/>
      <x:c r="Z398" t="str"/>
      <x:c r="AA398" t="str"/>
      <x:c r="AB398" t="str"/>
      <x:c r="AC398" t="str"/>
      <x:c r="AD398" t="str"/>
      <x:c r="AE398" t="str"/>
      <x:c r="AF398" t="str"/>
      <x:c r="AG398" t="str"/>
      <x:c r="AH398" t="str">
        <x:f>D398&amp;"|"&amp;UPPER(F398)&amp;"|"&amp;LEFT(B398,10)</x:f>
        <x:v>1361|SFMTA|2026-01-03</x:v>
      </x:c>
    </x:row>
    <x:row r="399">
      <x:c r="A399" s="22" t="n">
        <x:v>1932</x:v>
      </x:c>
      <x:c r="B399" t="str">
        <x:v>2026-07-01T00:00:00</x:v>
      </x:c>
      <x:c r="C399" t="str">
        <x:v>1361D</x:v>
      </x:c>
      <x:c r="D399" t="str">
        <x:v>1361</x:v>
      </x:c>
      <x:c r="E399" t="str">
        <x:v>Special Assistant 2</x:v>
      </x:c>
      <x:c r="F399" t="str">
        <x:v>COMMN</x:v>
      </x:c>
      <x:c r="G399" t="str">
        <x:v>31.525</x:v>
      </x:c>
      <x:c r="H399" t="str">
        <x:v>33.125</x:v>
      </x:c>
      <x:c r="I399" t="str">
        <x:v>34.775</x:v>
      </x:c>
      <x:c r="J399" t="str">
        <x:v>36.525</x:v>
      </x:c>
      <x:c r="K399" t="str">
        <x:v>38.3375</x:v>
      </x:c>
      <x:c r="L399" t="str"/>
      <x:c r="M399" t="str"/>
      <x:c r="N399" t="str"/>
      <x:c r="O399" t="str"/>
      <x:c r="P399" t="str"/>
      <x:c r="Q399" t="str"/>
      <x:c r="R399" t="str"/>
      <x:c r="S399" t="str"/>
      <x:c r="T399" t="str"/>
      <x:c r="U399" t="str"/>
      <x:c r="V399" t="str"/>
      <x:c r="W399" t="str"/>
      <x:c r="X399" t="str"/>
      <x:c r="Y399" t="str"/>
      <x:c r="Z399" t="str"/>
      <x:c r="AA399" t="str"/>
      <x:c r="AB399" t="str"/>
      <x:c r="AC399" t="str"/>
      <x:c r="AD399" t="str"/>
      <x:c r="AE399" t="str"/>
      <x:c r="AF399" t="str"/>
      <x:c r="AG399" t="str"/>
      <x:c r="AH399" t="str">
        <x:f>D399&amp;"|"&amp;UPPER(F399)&amp;"|"&amp;LEFT(B399,10)</x:f>
        <x:v>1361|COMMN|2026-07-01</x:v>
      </x:c>
    </x:row>
    <x:row r="400">
      <x:c r="A400" s="22" t="n">
        <x:v>1944</x:v>
      </x:c>
      <x:c r="B400" t="str">
        <x:v>2026-07-01T00:00:00</x:v>
      </x:c>
      <x:c r="C400" t="str">
        <x:v>1361D</x:v>
      </x:c>
      <x:c r="D400" t="str">
        <x:v>1361</x:v>
      </x:c>
      <x:c r="E400" t="str">
        <x:v>Special Assistant 2</x:v>
      </x:c>
      <x:c r="F400" t="str">
        <x:v>SFMTA</x:v>
      </x:c>
      <x:c r="G400" t="str">
        <x:v>31.525</x:v>
      </x:c>
      <x:c r="H400" t="str">
        <x:v>33.125</x:v>
      </x:c>
      <x:c r="I400" t="str">
        <x:v>34.775</x:v>
      </x:c>
      <x:c r="J400" t="str">
        <x:v>36.525</x:v>
      </x:c>
      <x:c r="K400" t="str">
        <x:v>38.3375</x:v>
      </x:c>
      <x:c r="L400" t="str"/>
      <x:c r="M400" t="str"/>
      <x:c r="N400" t="str"/>
      <x:c r="O400" t="str"/>
      <x:c r="P400" t="str"/>
      <x:c r="Q400" t="str"/>
      <x:c r="R400" t="str"/>
      <x:c r="S400" t="str"/>
      <x:c r="T400" t="str"/>
      <x:c r="U400" t="str"/>
      <x:c r="V400" t="str"/>
      <x:c r="W400" t="str"/>
      <x:c r="X400" t="str"/>
      <x:c r="Y400" t="str"/>
      <x:c r="Z400" t="str"/>
      <x:c r="AA400" t="str"/>
      <x:c r="AB400" t="str"/>
      <x:c r="AC400" t="str"/>
      <x:c r="AD400" t="str"/>
      <x:c r="AE400" t="str"/>
      <x:c r="AF400" t="str"/>
      <x:c r="AG400" t="str"/>
      <x:c r="AH400" t="str">
        <x:f>D400&amp;"|"&amp;UPPER(F400)&amp;"|"&amp;LEFT(B400,10)</x:f>
        <x:v>1361|SFMTA|2026-07-01</x:v>
      </x:c>
    </x:row>
    <x:row r="401">
      <x:c r="A401" s="22" t="n">
        <x:v>1951</x:v>
      </x:c>
      <x:c r="B401" t="str">
        <x:v>2024-01-06T00:00:00</x:v>
      </x:c>
      <x:c r="C401" t="str">
        <x:v>1362Y</x:v>
      </x:c>
      <x:c r="D401" t="str">
        <x:v>1362</x:v>
      </x:c>
      <x:c r="E401" t="str">
        <x:v>Special Assistant III</x:v>
      </x:c>
      <x:c r="F401" t="str">
        <x:v>COMMN</x:v>
      </x:c>
      <x:c r="G401" t="str">
        <x:v>31.2</x:v>
      </x:c>
      <x:c r="H401" t="str">
        <x:v>32.775</x:v>
      </x:c>
      <x:c r="I401" t="str">
        <x:v>34.4</x:v>
      </x:c>
      <x:c r="J401" t="str">
        <x:v>36.0875</x:v>
      </x:c>
      <x:c r="K401" t="str">
        <x:v>37.925</x:v>
      </x:c>
      <x:c r="L401" t="str"/>
      <x:c r="M401" t="str"/>
      <x:c r="N401" t="str"/>
      <x:c r="O401" t="str"/>
      <x:c r="P401" t="str"/>
      <x:c r="Q401" t="str"/>
      <x:c r="R401" t="str"/>
      <x:c r="S401" t="str"/>
      <x:c r="T401" t="str"/>
      <x:c r="U401" t="str"/>
      <x:c r="V401" t="str"/>
      <x:c r="W401" t="str"/>
      <x:c r="X401" t="str"/>
      <x:c r="Y401" t="str"/>
      <x:c r="Z401" t="str"/>
      <x:c r="AA401" t="str"/>
      <x:c r="AB401" t="str"/>
      <x:c r="AC401" t="str"/>
      <x:c r="AD401" t="str"/>
      <x:c r="AE401" t="str"/>
      <x:c r="AF401" t="str"/>
      <x:c r="AG401" t="str"/>
      <x:c r="AH401" t="str">
        <x:f>D401&amp;"|"&amp;UPPER(F401)&amp;"|"&amp;LEFT(B401,10)</x:f>
        <x:v>1362|COMMN|2024-01-06</x:v>
      </x:c>
    </x:row>
    <x:row r="402">
      <x:c r="A402" s="22" t="n">
        <x:v>1963</x:v>
      </x:c>
      <x:c r="B402" t="str">
        <x:v>2024-01-06T00:00:00</x:v>
      </x:c>
      <x:c r="C402" t="str">
        <x:v>1362Y</x:v>
      </x:c>
      <x:c r="D402" t="str">
        <x:v>1362</x:v>
      </x:c>
      <x:c r="E402" t="str">
        <x:v>Special Assistant III</x:v>
      </x:c>
      <x:c r="F402" t="str">
        <x:v>SFMTA</x:v>
      </x:c>
      <x:c r="G402" t="str">
        <x:v>31.2</x:v>
      </x:c>
      <x:c r="H402" t="str">
        <x:v>32.775</x:v>
      </x:c>
      <x:c r="I402" t="str">
        <x:v>34.4</x:v>
      </x:c>
      <x:c r="J402" t="str">
        <x:v>36.0875</x:v>
      </x:c>
      <x:c r="K402" t="str">
        <x:v>37.925</x:v>
      </x:c>
      <x:c r="L402" t="str"/>
      <x:c r="M402" t="str"/>
      <x:c r="N402" t="str"/>
      <x:c r="O402" t="str"/>
      <x:c r="P402" t="str"/>
      <x:c r="Q402" t="str"/>
      <x:c r="R402" t="str"/>
      <x:c r="S402" t="str"/>
      <x:c r="T402" t="str"/>
      <x:c r="U402" t="str"/>
      <x:c r="V402" t="str"/>
      <x:c r="W402" t="str"/>
      <x:c r="X402" t="str"/>
      <x:c r="Y402" t="str"/>
      <x:c r="Z402" t="str"/>
      <x:c r="AA402" t="str"/>
      <x:c r="AB402" t="str"/>
      <x:c r="AC402" t="str"/>
      <x:c r="AD402" t="str"/>
      <x:c r="AE402" t="str"/>
      <x:c r="AF402" t="str"/>
      <x:c r="AG402" t="str"/>
      <x:c r="AH402" t="str">
        <x:f>D402&amp;"|"&amp;UPPER(F402)&amp;"|"&amp;LEFT(B402,10)</x:f>
        <x:v>1362|SFMTA|2024-01-06</x:v>
      </x:c>
    </x:row>
    <x:row r="403">
      <x:c r="A403" s="22" t="n">
        <x:v>1952</x:v>
      </x:c>
      <x:c r="B403" t="str">
        <x:v>2024-07-01T00:00:00</x:v>
      </x:c>
      <x:c r="C403" t="str">
        <x:v>1362Z</x:v>
      </x:c>
      <x:c r="D403" t="str">
        <x:v>1362</x:v>
      </x:c>
      <x:c r="E403" t="str">
        <x:v>Special Assistant III</x:v>
      </x:c>
      <x:c r="F403" t="str">
        <x:v>COMMN</x:v>
      </x:c>
      <x:c r="G403" t="str">
        <x:v>31.6625</x:v>
      </x:c>
      <x:c r="H403" t="str">
        <x:v>33.2625</x:v>
      </x:c>
      <x:c r="I403" t="str">
        <x:v>34.9125</x:v>
      </x:c>
      <x:c r="J403" t="str">
        <x:v>36.625</x:v>
      </x:c>
      <x:c r="K403" t="str">
        <x:v>38.5</x:v>
      </x:c>
      <x:c r="L403" t="str"/>
      <x:c r="M403" t="str"/>
      <x:c r="N403" t="str"/>
      <x:c r="O403" t="str"/>
      <x:c r="P403" t="str"/>
      <x:c r="Q403" t="str"/>
      <x:c r="R403" t="str"/>
      <x:c r="S403" t="str"/>
      <x:c r="T403" t="str"/>
      <x:c r="U403" t="str"/>
      <x:c r="V403" t="str"/>
      <x:c r="W403" t="str"/>
      <x:c r="X403" t="str"/>
      <x:c r="Y403" t="str"/>
      <x:c r="Z403" t="str"/>
      <x:c r="AA403" t="str"/>
      <x:c r="AB403" t="str"/>
      <x:c r="AC403" t="str"/>
      <x:c r="AD403" t="str"/>
      <x:c r="AE403" t="str"/>
      <x:c r="AF403" t="str"/>
      <x:c r="AG403" t="str"/>
      <x:c r="AH403" t="str">
        <x:f>D403&amp;"|"&amp;UPPER(F403)&amp;"|"&amp;LEFT(B403,10)</x:f>
        <x:v>1362|COMMN|2024-07-01</x:v>
      </x:c>
    </x:row>
    <x:row r="404">
      <x:c r="A404" s="22" t="n">
        <x:v>1964</x:v>
      </x:c>
      <x:c r="B404" t="str">
        <x:v>2024-07-01T00:00:00</x:v>
      </x:c>
      <x:c r="C404" t="str">
        <x:v>1362Z</x:v>
      </x:c>
      <x:c r="D404" t="str">
        <x:v>1362</x:v>
      </x:c>
      <x:c r="E404" t="str">
        <x:v>Special Assistant III</x:v>
      </x:c>
      <x:c r="F404" t="str">
        <x:v>SFMTA</x:v>
      </x:c>
      <x:c r="G404" t="str">
        <x:v>31.6625</x:v>
      </x:c>
      <x:c r="H404" t="str">
        <x:v>33.2625</x:v>
      </x:c>
      <x:c r="I404" t="str">
        <x:v>34.9125</x:v>
      </x:c>
      <x:c r="J404" t="str">
        <x:v>36.625</x:v>
      </x:c>
      <x:c r="K404" t="str">
        <x:v>38.5</x:v>
      </x:c>
      <x:c r="L404" t="str"/>
      <x:c r="M404" t="str"/>
      <x:c r="N404" t="str"/>
      <x:c r="O404" t="str"/>
      <x:c r="P404" t="str"/>
      <x:c r="Q404" t="str"/>
      <x:c r="R404" t="str"/>
      <x:c r="S404" t="str"/>
      <x:c r="T404" t="str"/>
      <x:c r="U404" t="str"/>
      <x:c r="V404" t="str"/>
      <x:c r="W404" t="str"/>
      <x:c r="X404" t="str"/>
      <x:c r="Y404" t="str"/>
      <x:c r="Z404" t="str"/>
      <x:c r="AA404" t="str"/>
      <x:c r="AB404" t="str"/>
      <x:c r="AC404" t="str"/>
      <x:c r="AD404" t="str"/>
      <x:c r="AE404" t="str"/>
      <x:c r="AF404" t="str"/>
      <x:c r="AG404" t="str"/>
      <x:c r="AH404" t="str">
        <x:f>D404&amp;"|"&amp;UPPER(F404)&amp;"|"&amp;LEFT(B404,10)</x:f>
        <x:v>1362|SFMTA|2024-07-01</x:v>
      </x:c>
    </x:row>
    <x:row r="405">
      <x:c r="A405" s="22" t="n">
        <x:v>1953</x:v>
      </x:c>
      <x:c r="B405" t="str">
        <x:v>2025-01-04T00:00:00</x:v>
      </x:c>
      <x:c r="C405" t="str">
        <x:v>1362A</x:v>
      </x:c>
      <x:c r="D405" t="str">
        <x:v>1362</x:v>
      </x:c>
      <x:c r="E405" t="str">
        <x:v>Special Assistant III</x:v>
      </x:c>
      <x:c r="F405" t="str">
        <x:v>COMMN</x:v>
      </x:c>
      <x:c r="G405" t="str">
        <x:v>32.1375</x:v>
      </x:c>
      <x:c r="H405" t="str">
        <x:v>33.7625</x:v>
      </x:c>
      <x:c r="I405" t="str">
        <x:v>35.4375</x:v>
      </x:c>
      <x:c r="J405" t="str">
        <x:v>37.175</x:v>
      </x:c>
      <x:c r="K405" t="str">
        <x:v>39.075</x:v>
      </x:c>
      <x:c r="L405" t="str"/>
      <x:c r="M405" t="str"/>
      <x:c r="N405" t="str"/>
      <x:c r="O405" t="str"/>
      <x:c r="P405" t="str"/>
      <x:c r="Q405" t="str"/>
      <x:c r="R405" t="str"/>
      <x:c r="S405" t="str"/>
      <x:c r="T405" t="str"/>
      <x:c r="U405" t="str"/>
      <x:c r="V405" t="str"/>
      <x:c r="W405" t="str"/>
      <x:c r="X405" t="str"/>
      <x:c r="Y405" t="str"/>
      <x:c r="Z405" t="str"/>
      <x:c r="AA405" t="str"/>
      <x:c r="AB405" t="str"/>
      <x:c r="AC405" t="str"/>
      <x:c r="AD405" t="str"/>
      <x:c r="AE405" t="str"/>
      <x:c r="AF405" t="str"/>
      <x:c r="AG405" t="str"/>
      <x:c r="AH405" t="str">
        <x:f>D405&amp;"|"&amp;UPPER(F405)&amp;"|"&amp;LEFT(B405,10)</x:f>
        <x:v>1362|COMMN|2025-01-04</x:v>
      </x:c>
    </x:row>
    <x:row r="406">
      <x:c r="A406" s="22" t="n">
        <x:v>1965</x:v>
      </x:c>
      <x:c r="B406" t="str">
        <x:v>2025-01-04T00:00:00</x:v>
      </x:c>
      <x:c r="C406" t="str">
        <x:v>1362A</x:v>
      </x:c>
      <x:c r="D406" t="str">
        <x:v>1362</x:v>
      </x:c>
      <x:c r="E406" t="str">
        <x:v>Special Assistant III</x:v>
      </x:c>
      <x:c r="F406" t="str">
        <x:v>SFMTA</x:v>
      </x:c>
      <x:c r="G406" t="str">
        <x:v>32.1375</x:v>
      </x:c>
      <x:c r="H406" t="str">
        <x:v>33.7625</x:v>
      </x:c>
      <x:c r="I406" t="str">
        <x:v>35.4375</x:v>
      </x:c>
      <x:c r="J406" t="str">
        <x:v>37.175</x:v>
      </x:c>
      <x:c r="K406" t="str">
        <x:v>39.075</x:v>
      </x:c>
      <x:c r="L406" t="str"/>
      <x:c r="M406" t="str"/>
      <x:c r="N406" t="str"/>
      <x:c r="O406" t="str"/>
      <x:c r="P406" t="str"/>
      <x:c r="Q406" t="str"/>
      <x:c r="R406" t="str"/>
      <x:c r="S406" t="str"/>
      <x:c r="T406" t="str"/>
      <x:c r="U406" t="str"/>
      <x:c r="V406" t="str"/>
      <x:c r="W406" t="str"/>
      <x:c r="X406" t="str"/>
      <x:c r="Y406" t="str"/>
      <x:c r="Z406" t="str"/>
      <x:c r="AA406" t="str"/>
      <x:c r="AB406" t="str"/>
      <x:c r="AC406" t="str"/>
      <x:c r="AD406" t="str"/>
      <x:c r="AE406" t="str"/>
      <x:c r="AF406" t="str"/>
      <x:c r="AG406" t="str"/>
      <x:c r="AH406" t="str">
        <x:f>D406&amp;"|"&amp;UPPER(F406)&amp;"|"&amp;LEFT(B406,10)</x:f>
        <x:v>1362|SFMTA|2025-01-04</x:v>
      </x:c>
    </x:row>
    <x:row r="407">
      <x:c r="A407" s="22" t="n">
        <x:v>1954</x:v>
      </x:c>
      <x:c r="B407" t="str">
        <x:v>2025-07-01T00:00:00</x:v>
      </x:c>
      <x:c r="C407" t="str">
        <x:v>1362B</x:v>
      </x:c>
      <x:c r="D407" t="str">
        <x:v>1362</x:v>
      </x:c>
      <x:c r="E407" t="str">
        <x:v>Special Assistant 3</x:v>
      </x:c>
      <x:c r="F407" t="str">
        <x:v>COMMN</x:v>
      </x:c>
      <x:c r="G407" t="str">
        <x:v>32.7875</x:v>
      </x:c>
      <x:c r="H407" t="str">
        <x:v>34.4375</x:v>
      </x:c>
      <x:c r="I407" t="str">
        <x:v>36.15</x:v>
      </x:c>
      <x:c r="J407" t="str">
        <x:v>37.925</x:v>
      </x:c>
      <x:c r="K407" t="str">
        <x:v>39.8625</x:v>
      </x:c>
      <x:c r="L407" t="str"/>
      <x:c r="M407" t="str"/>
      <x:c r="N407" t="str"/>
      <x:c r="O407" t="str"/>
      <x:c r="P407" t="str"/>
      <x:c r="Q407" t="str"/>
      <x:c r="R407" t="str"/>
      <x:c r="S407" t="str"/>
      <x:c r="T407" t="str"/>
      <x:c r="U407" t="str"/>
      <x:c r="V407" t="str"/>
      <x:c r="W407" t="str"/>
      <x:c r="X407" t="str"/>
      <x:c r="Y407" t="str"/>
      <x:c r="Z407" t="str"/>
      <x:c r="AA407" t="str"/>
      <x:c r="AB407" t="str"/>
      <x:c r="AC407" t="str"/>
      <x:c r="AD407" t="str"/>
      <x:c r="AE407" t="str"/>
      <x:c r="AF407" t="str"/>
      <x:c r="AG407" t="str"/>
      <x:c r="AH407" t="str">
        <x:f>D407&amp;"|"&amp;UPPER(F407)&amp;"|"&amp;LEFT(B407,10)</x:f>
        <x:v>1362|COMMN|2025-07-01</x:v>
      </x:c>
    </x:row>
    <x:row r="408">
      <x:c r="A408" s="22" t="n">
        <x:v>1966</x:v>
      </x:c>
      <x:c r="B408" t="str">
        <x:v>2025-07-01T00:00:00</x:v>
      </x:c>
      <x:c r="C408" t="str">
        <x:v>1362B</x:v>
      </x:c>
      <x:c r="D408" t="str">
        <x:v>1362</x:v>
      </x:c>
      <x:c r="E408" t="str">
        <x:v>Special Assistant 3</x:v>
      </x:c>
      <x:c r="F408" t="str">
        <x:v>SFMTA</x:v>
      </x:c>
      <x:c r="G408" t="str">
        <x:v>32.7875</x:v>
      </x:c>
      <x:c r="H408" t="str">
        <x:v>34.4375</x:v>
      </x:c>
      <x:c r="I408" t="str">
        <x:v>36.15</x:v>
      </x:c>
      <x:c r="J408" t="str">
        <x:v>37.925</x:v>
      </x:c>
      <x:c r="K408" t="str">
        <x:v>39.8625</x:v>
      </x:c>
      <x:c r="L408" t="str"/>
      <x:c r="M408" t="str"/>
      <x:c r="N408" t="str"/>
      <x:c r="O408" t="str"/>
      <x:c r="P408" t="str"/>
      <x:c r="Q408" t="str"/>
      <x:c r="R408" t="str"/>
      <x:c r="S408" t="str"/>
      <x:c r="T408" t="str"/>
      <x:c r="U408" t="str"/>
      <x:c r="V408" t="str"/>
      <x:c r="W408" t="str"/>
      <x:c r="X408" t="str"/>
      <x:c r="Y408" t="str"/>
      <x:c r="Z408" t="str"/>
      <x:c r="AA408" t="str"/>
      <x:c r="AB408" t="str"/>
      <x:c r="AC408" t="str"/>
      <x:c r="AD408" t="str"/>
      <x:c r="AE408" t="str"/>
      <x:c r="AF408" t="str"/>
      <x:c r="AG408" t="str"/>
      <x:c r="AH408" t="str">
        <x:f>D408&amp;"|"&amp;UPPER(F408)&amp;"|"&amp;LEFT(B408,10)</x:f>
        <x:v>1362|SFMTA|2025-07-01</x:v>
      </x:c>
    </x:row>
    <x:row r="409">
      <x:c r="A409" s="22" t="n">
        <x:v>1955</x:v>
      </x:c>
      <x:c r="B409" t="str">
        <x:v>2026-01-03T00:00:00</x:v>
      </x:c>
      <x:c r="C409" t="str">
        <x:v>1362C</x:v>
      </x:c>
      <x:c r="D409" t="str">
        <x:v>1362</x:v>
      </x:c>
      <x:c r="E409" t="str">
        <x:v>Special Assistant 3</x:v>
      </x:c>
      <x:c r="F409" t="str">
        <x:v>COMMN</x:v>
      </x:c>
      <x:c r="G409" t="str">
        <x:v>33.275</x:v>
      </x:c>
      <x:c r="H409" t="str">
        <x:v>34.95</x:v>
      </x:c>
      <x:c r="I409" t="str">
        <x:v>36.6875</x:v>
      </x:c>
      <x:c r="J409" t="str">
        <x:v>38.5</x:v>
      </x:c>
      <x:c r="K409" t="str">
        <x:v>40.4625</x:v>
      </x:c>
      <x:c r="L409" t="str"/>
      <x:c r="M409" t="str"/>
      <x:c r="N409" t="str"/>
      <x:c r="O409" t="str"/>
      <x:c r="P409" t="str"/>
      <x:c r="Q409" t="str"/>
      <x:c r="R409" t="str"/>
      <x:c r="S409" t="str"/>
      <x:c r="T409" t="str"/>
      <x:c r="U409" t="str"/>
      <x:c r="V409" t="str"/>
      <x:c r="W409" t="str"/>
      <x:c r="X409" t="str"/>
      <x:c r="Y409" t="str"/>
      <x:c r="Z409" t="str"/>
      <x:c r="AA409" t="str"/>
      <x:c r="AB409" t="str"/>
      <x:c r="AC409" t="str"/>
      <x:c r="AD409" t="str"/>
      <x:c r="AE409" t="str"/>
      <x:c r="AF409" t="str"/>
      <x:c r="AG409" t="str"/>
      <x:c r="AH409" t="str">
        <x:f>D409&amp;"|"&amp;UPPER(F409)&amp;"|"&amp;LEFT(B409,10)</x:f>
        <x:v>1362|COMMN|2026-01-03</x:v>
      </x:c>
    </x:row>
    <x:row r="410">
      <x:c r="A410" s="22" t="n">
        <x:v>1967</x:v>
      </x:c>
      <x:c r="B410" t="str">
        <x:v>2026-01-03T00:00:00</x:v>
      </x:c>
      <x:c r="C410" t="str">
        <x:v>1362C</x:v>
      </x:c>
      <x:c r="D410" t="str">
        <x:v>1362</x:v>
      </x:c>
      <x:c r="E410" t="str">
        <x:v>Special Assistant 3</x:v>
      </x:c>
      <x:c r="F410" t="str">
        <x:v>SFMTA</x:v>
      </x:c>
      <x:c r="G410" t="str">
        <x:v>33.275</x:v>
      </x:c>
      <x:c r="H410" t="str">
        <x:v>34.95</x:v>
      </x:c>
      <x:c r="I410" t="str">
        <x:v>36.6875</x:v>
      </x:c>
      <x:c r="J410" t="str">
        <x:v>38.5</x:v>
      </x:c>
      <x:c r="K410" t="str">
        <x:v>40.4625</x:v>
      </x:c>
      <x:c r="L410" t="str"/>
      <x:c r="M410" t="str"/>
      <x:c r="N410" t="str"/>
      <x:c r="O410" t="str"/>
      <x:c r="P410" t="str"/>
      <x:c r="Q410" t="str"/>
      <x:c r="R410" t="str"/>
      <x:c r="S410" t="str"/>
      <x:c r="T410" t="str"/>
      <x:c r="U410" t="str"/>
      <x:c r="V410" t="str"/>
      <x:c r="W410" t="str"/>
      <x:c r="X410" t="str"/>
      <x:c r="Y410" t="str"/>
      <x:c r="Z410" t="str"/>
      <x:c r="AA410" t="str"/>
      <x:c r="AB410" t="str"/>
      <x:c r="AC410" t="str"/>
      <x:c r="AD410" t="str"/>
      <x:c r="AE410" t="str"/>
      <x:c r="AF410" t="str"/>
      <x:c r="AG410" t="str"/>
      <x:c r="AH410" t="str">
        <x:f>D410&amp;"|"&amp;UPPER(F410)&amp;"|"&amp;LEFT(B410,10)</x:f>
        <x:v>1362|SFMTA|2026-01-03</x:v>
      </x:c>
    </x:row>
    <x:row r="411">
      <x:c r="A411" s="22" t="n">
        <x:v>1956</x:v>
      </x:c>
      <x:c r="B411" t="str">
        <x:v>2026-07-01T00:00:00</x:v>
      </x:c>
      <x:c r="C411" t="str">
        <x:v>1362D</x:v>
      </x:c>
      <x:c r="D411" t="str">
        <x:v>1362</x:v>
      </x:c>
      <x:c r="E411" t="str">
        <x:v>Special Assistant 3</x:v>
      </x:c>
      <x:c r="F411" t="str">
        <x:v>COMMN</x:v>
      </x:c>
      <x:c r="G411" t="str">
        <x:v>33.9375</x:v>
      </x:c>
      <x:c r="H411" t="str">
        <x:v>35.65</x:v>
      </x:c>
      <x:c r="I411" t="str">
        <x:v>37.425</x:v>
      </x:c>
      <x:c r="J411" t="str">
        <x:v>39.275</x:v>
      </x:c>
      <x:c r="K411" t="str">
        <x:v>41.275</x:v>
      </x:c>
      <x:c r="L411" t="str"/>
      <x:c r="M411" t="str"/>
      <x:c r="N411" t="str"/>
      <x:c r="O411" t="str"/>
      <x:c r="P411" t="str"/>
      <x:c r="Q411" t="str"/>
      <x:c r="R411" t="str"/>
      <x:c r="S411" t="str"/>
      <x:c r="T411" t="str"/>
      <x:c r="U411" t="str"/>
      <x:c r="V411" t="str"/>
      <x:c r="W411" t="str"/>
      <x:c r="X411" t="str"/>
      <x:c r="Y411" t="str"/>
      <x:c r="Z411" t="str"/>
      <x:c r="AA411" t="str"/>
      <x:c r="AB411" t="str"/>
      <x:c r="AC411" t="str"/>
      <x:c r="AD411" t="str"/>
      <x:c r="AE411" t="str"/>
      <x:c r="AF411" t="str"/>
      <x:c r="AG411" t="str"/>
      <x:c r="AH411" t="str">
        <x:f>D411&amp;"|"&amp;UPPER(F411)&amp;"|"&amp;LEFT(B411,10)</x:f>
        <x:v>1362|COMMN|2026-07-01</x:v>
      </x:c>
    </x:row>
    <x:row r="412">
      <x:c r="A412" s="22" t="n">
        <x:v>1968</x:v>
      </x:c>
      <x:c r="B412" t="str">
        <x:v>2026-07-01T00:00:00</x:v>
      </x:c>
      <x:c r="C412" t="str">
        <x:v>1362D</x:v>
      </x:c>
      <x:c r="D412" t="str">
        <x:v>1362</x:v>
      </x:c>
      <x:c r="E412" t="str">
        <x:v>Special Assistant 3</x:v>
      </x:c>
      <x:c r="F412" t="str">
        <x:v>SFMTA</x:v>
      </x:c>
      <x:c r="G412" t="str">
        <x:v>33.9375</x:v>
      </x:c>
      <x:c r="H412" t="str">
        <x:v>35.65</x:v>
      </x:c>
      <x:c r="I412" t="str">
        <x:v>37.425</x:v>
      </x:c>
      <x:c r="J412" t="str">
        <x:v>39.275</x:v>
      </x:c>
      <x:c r="K412" t="str">
        <x:v>41.275</x:v>
      </x:c>
      <x:c r="L412" t="str"/>
      <x:c r="M412" t="str"/>
      <x:c r="N412" t="str"/>
      <x:c r="O412" t="str"/>
      <x:c r="P412" t="str"/>
      <x:c r="Q412" t="str"/>
      <x:c r="R412" t="str"/>
      <x:c r="S412" t="str"/>
      <x:c r="T412" t="str"/>
      <x:c r="U412" t="str"/>
      <x:c r="V412" t="str"/>
      <x:c r="W412" t="str"/>
      <x:c r="X412" t="str"/>
      <x:c r="Y412" t="str"/>
      <x:c r="Z412" t="str"/>
      <x:c r="AA412" t="str"/>
      <x:c r="AB412" t="str"/>
      <x:c r="AC412" t="str"/>
      <x:c r="AD412" t="str"/>
      <x:c r="AE412" t="str"/>
      <x:c r="AF412" t="str"/>
      <x:c r="AG412" t="str"/>
      <x:c r="AH412" t="str">
        <x:f>D412&amp;"|"&amp;UPPER(F412)&amp;"|"&amp;LEFT(B412,10)</x:f>
        <x:v>1362|SFMTA|2026-07-01</x:v>
      </x:c>
    </x:row>
    <x:row r="413">
      <x:c r="A413" s="22" t="n">
        <x:v>1975</x:v>
      </x:c>
      <x:c r="B413" t="str">
        <x:v>2024-01-06T00:00:00</x:v>
      </x:c>
      <x:c r="C413" t="str">
        <x:v>1363Y</x:v>
      </x:c>
      <x:c r="D413" t="str">
        <x:v>1363</x:v>
      </x:c>
      <x:c r="E413" t="str">
        <x:v>Special Assistant IV</x:v>
      </x:c>
      <x:c r="F413" t="str">
        <x:v>COMMN</x:v>
      </x:c>
      <x:c r="G413" t="str">
        <x:v>33.575</x:v>
      </x:c>
      <x:c r="H413" t="str">
        <x:v>35.25</x:v>
      </x:c>
      <x:c r="I413" t="str">
        <x:v>37</x:v>
      </x:c>
      <x:c r="J413" t="str">
        <x:v>38.85</x:v>
      </x:c>
      <x:c r="K413" t="str">
        <x:v>40.8</x:v>
      </x:c>
      <x:c r="L413" t="str"/>
      <x:c r="M413" t="str"/>
      <x:c r="N413" t="str"/>
      <x:c r="O413" t="str"/>
      <x:c r="P413" t="str"/>
      <x:c r="Q413" t="str"/>
      <x:c r="R413" t="str"/>
      <x:c r="S413" t="str"/>
      <x:c r="T413" t="str"/>
      <x:c r="U413" t="str"/>
      <x:c r="V413" t="str"/>
      <x:c r="W413" t="str"/>
      <x:c r="X413" t="str"/>
      <x:c r="Y413" t="str"/>
      <x:c r="Z413" t="str"/>
      <x:c r="AA413" t="str"/>
      <x:c r="AB413" t="str"/>
      <x:c r="AC413" t="str"/>
      <x:c r="AD413" t="str"/>
      <x:c r="AE413" t="str"/>
      <x:c r="AF413" t="str"/>
      <x:c r="AG413" t="str"/>
      <x:c r="AH413" t="str">
        <x:f>D413&amp;"|"&amp;UPPER(F413)&amp;"|"&amp;LEFT(B413,10)</x:f>
        <x:v>1363|COMMN|2024-01-06</x:v>
      </x:c>
    </x:row>
    <x:row r="414">
      <x:c r="A414" s="22" t="n">
        <x:v>1987</x:v>
      </x:c>
      <x:c r="B414" t="str">
        <x:v>2024-01-06T00:00:00</x:v>
      </x:c>
      <x:c r="C414" t="str">
        <x:v>1363Y</x:v>
      </x:c>
      <x:c r="D414" t="str">
        <x:v>1363</x:v>
      </x:c>
      <x:c r="E414" t="str">
        <x:v>Special Assistant IV</x:v>
      </x:c>
      <x:c r="F414" t="str">
        <x:v>SFMTA</x:v>
      </x:c>
      <x:c r="G414" t="str">
        <x:v>33.575</x:v>
      </x:c>
      <x:c r="H414" t="str">
        <x:v>35.25</x:v>
      </x:c>
      <x:c r="I414" t="str">
        <x:v>37</x:v>
      </x:c>
      <x:c r="J414" t="str">
        <x:v>38.85</x:v>
      </x:c>
      <x:c r="K414" t="str">
        <x:v>40.8</x:v>
      </x:c>
      <x:c r="L414" t="str"/>
      <x:c r="M414" t="str"/>
      <x:c r="N414" t="str"/>
      <x:c r="O414" t="str"/>
      <x:c r="P414" t="str"/>
      <x:c r="Q414" t="str"/>
      <x:c r="R414" t="str"/>
      <x:c r="S414" t="str"/>
      <x:c r="T414" t="str"/>
      <x:c r="U414" t="str"/>
      <x:c r="V414" t="str"/>
      <x:c r="W414" t="str"/>
      <x:c r="X414" t="str"/>
      <x:c r="Y414" t="str"/>
      <x:c r="Z414" t="str"/>
      <x:c r="AA414" t="str"/>
      <x:c r="AB414" t="str"/>
      <x:c r="AC414" t="str"/>
      <x:c r="AD414" t="str"/>
      <x:c r="AE414" t="str"/>
      <x:c r="AF414" t="str"/>
      <x:c r="AG414" t="str"/>
      <x:c r="AH414" t="str">
        <x:f>D414&amp;"|"&amp;UPPER(F414)&amp;"|"&amp;LEFT(B414,10)</x:f>
        <x:v>1363|SFMTA|2024-01-06</x:v>
      </x:c>
    </x:row>
    <x:row r="415">
      <x:c r="A415" s="22" t="n">
        <x:v>1976</x:v>
      </x:c>
      <x:c r="B415" t="str">
        <x:v>2024-07-01T00:00:00</x:v>
      </x:c>
      <x:c r="C415" t="str">
        <x:v>1363Z</x:v>
      </x:c>
      <x:c r="D415" t="str">
        <x:v>1363</x:v>
      </x:c>
      <x:c r="E415" t="str">
        <x:v>Special Assistant IV</x:v>
      </x:c>
      <x:c r="F415" t="str">
        <x:v>COMMN</x:v>
      </x:c>
      <x:c r="G415" t="str">
        <x:v>34.075</x:v>
      </x:c>
      <x:c r="H415" t="str">
        <x:v>35.775</x:v>
      </x:c>
      <x:c r="I415" t="str">
        <x:v>37.55</x:v>
      </x:c>
      <x:c r="J415" t="str">
        <x:v>39.4375</x:v>
      </x:c>
      <x:c r="K415" t="str">
        <x:v>41.4125</x:v>
      </x:c>
      <x:c r="L415" t="str"/>
      <x:c r="M415" t="str"/>
      <x:c r="N415" t="str"/>
      <x:c r="O415" t="str"/>
      <x:c r="P415" t="str"/>
      <x:c r="Q415" t="str"/>
      <x:c r="R415" t="str"/>
      <x:c r="S415" t="str"/>
      <x:c r="T415" t="str"/>
      <x:c r="U415" t="str"/>
      <x:c r="V415" t="str"/>
      <x:c r="W415" t="str"/>
      <x:c r="X415" t="str"/>
      <x:c r="Y415" t="str"/>
      <x:c r="Z415" t="str"/>
      <x:c r="AA415" t="str"/>
      <x:c r="AB415" t="str"/>
      <x:c r="AC415" t="str"/>
      <x:c r="AD415" t="str"/>
      <x:c r="AE415" t="str"/>
      <x:c r="AF415" t="str"/>
      <x:c r="AG415" t="str"/>
      <x:c r="AH415" t="str">
        <x:f>D415&amp;"|"&amp;UPPER(F415)&amp;"|"&amp;LEFT(B415,10)</x:f>
        <x:v>1363|COMMN|2024-07-01</x:v>
      </x:c>
    </x:row>
    <x:row r="416">
      <x:c r="A416" s="22" t="n">
        <x:v>1988</x:v>
      </x:c>
      <x:c r="B416" t="str">
        <x:v>2024-07-01T00:00:00</x:v>
      </x:c>
      <x:c r="C416" t="str">
        <x:v>1363Z</x:v>
      </x:c>
      <x:c r="D416" t="str">
        <x:v>1363</x:v>
      </x:c>
      <x:c r="E416" t="str">
        <x:v>Special Assistant IV</x:v>
      </x:c>
      <x:c r="F416" t="str">
        <x:v>SFMTA</x:v>
      </x:c>
      <x:c r="G416" t="str">
        <x:v>34.075</x:v>
      </x:c>
      <x:c r="H416" t="str">
        <x:v>35.775</x:v>
      </x:c>
      <x:c r="I416" t="str">
        <x:v>37.55</x:v>
      </x:c>
      <x:c r="J416" t="str">
        <x:v>39.4375</x:v>
      </x:c>
      <x:c r="K416" t="str">
        <x:v>41.4125</x:v>
      </x:c>
      <x:c r="L416" t="str"/>
      <x:c r="M416" t="str"/>
      <x:c r="N416" t="str"/>
      <x:c r="O416" t="str"/>
      <x:c r="P416" t="str"/>
      <x:c r="Q416" t="str"/>
      <x:c r="R416" t="str"/>
      <x:c r="S416" t="str"/>
      <x:c r="T416" t="str"/>
      <x:c r="U416" t="str"/>
      <x:c r="V416" t="str"/>
      <x:c r="W416" t="str"/>
      <x:c r="X416" t="str"/>
      <x:c r="Y416" t="str"/>
      <x:c r="Z416" t="str"/>
      <x:c r="AA416" t="str"/>
      <x:c r="AB416" t="str"/>
      <x:c r="AC416" t="str"/>
      <x:c r="AD416" t="str"/>
      <x:c r="AE416" t="str"/>
      <x:c r="AF416" t="str"/>
      <x:c r="AG416" t="str"/>
      <x:c r="AH416" t="str">
        <x:f>D416&amp;"|"&amp;UPPER(F416)&amp;"|"&amp;LEFT(B416,10)</x:f>
        <x:v>1363|SFMTA|2024-07-01</x:v>
      </x:c>
    </x:row>
    <x:row r="417">
      <x:c r="A417" s="22" t="n">
        <x:v>1977</x:v>
      </x:c>
      <x:c r="B417" t="str">
        <x:v>2025-01-04T00:00:00</x:v>
      </x:c>
      <x:c r="C417" t="str">
        <x:v>1363A</x:v>
      </x:c>
      <x:c r="D417" t="str">
        <x:v>1363</x:v>
      </x:c>
      <x:c r="E417" t="str">
        <x:v>Special Assistant IV</x:v>
      </x:c>
      <x:c r="F417" t="str">
        <x:v>COMMN</x:v>
      </x:c>
      <x:c r="G417" t="str">
        <x:v>34.5875</x:v>
      </x:c>
      <x:c r="H417" t="str">
        <x:v>36.3125</x:v>
      </x:c>
      <x:c r="I417" t="str">
        <x:v>38.1125</x:v>
      </x:c>
      <x:c r="J417" t="str">
        <x:v>40.025</x:v>
      </x:c>
      <x:c r="K417" t="str">
        <x:v>42.0375</x:v>
      </x:c>
      <x:c r="L417" t="str"/>
      <x:c r="M417" t="str"/>
      <x:c r="N417" t="str"/>
      <x:c r="O417" t="str"/>
      <x:c r="P417" t="str"/>
      <x:c r="Q417" t="str"/>
      <x:c r="R417" t="str"/>
      <x:c r="S417" t="str"/>
      <x:c r="T417" t="str"/>
      <x:c r="U417" t="str"/>
      <x:c r="V417" t="str"/>
      <x:c r="W417" t="str"/>
      <x:c r="X417" t="str"/>
      <x:c r="Y417" t="str"/>
      <x:c r="Z417" t="str"/>
      <x:c r="AA417" t="str"/>
      <x:c r="AB417" t="str"/>
      <x:c r="AC417" t="str"/>
      <x:c r="AD417" t="str"/>
      <x:c r="AE417" t="str"/>
      <x:c r="AF417" t="str"/>
      <x:c r="AG417" t="str"/>
      <x:c r="AH417" t="str">
        <x:f>D417&amp;"|"&amp;UPPER(F417)&amp;"|"&amp;LEFT(B417,10)</x:f>
        <x:v>1363|COMMN|2025-01-04</x:v>
      </x:c>
    </x:row>
    <x:row r="418">
      <x:c r="A418" s="22" t="n">
        <x:v>1989</x:v>
      </x:c>
      <x:c r="B418" t="str">
        <x:v>2025-01-04T00:00:00</x:v>
      </x:c>
      <x:c r="C418" t="str">
        <x:v>1363A</x:v>
      </x:c>
      <x:c r="D418" t="str">
        <x:v>1363</x:v>
      </x:c>
      <x:c r="E418" t="str">
        <x:v>Special Assistant IV</x:v>
      </x:c>
      <x:c r="F418" t="str">
        <x:v>SFMTA</x:v>
      </x:c>
      <x:c r="G418" t="str">
        <x:v>34.5875</x:v>
      </x:c>
      <x:c r="H418" t="str">
        <x:v>36.3125</x:v>
      </x:c>
      <x:c r="I418" t="str">
        <x:v>38.1125</x:v>
      </x:c>
      <x:c r="J418" t="str">
        <x:v>40.025</x:v>
      </x:c>
      <x:c r="K418" t="str">
        <x:v>42.0375</x:v>
      </x:c>
      <x:c r="L418" t="str"/>
      <x:c r="M418" t="str"/>
      <x:c r="N418" t="str"/>
      <x:c r="O418" t="str"/>
      <x:c r="P418" t="str"/>
      <x:c r="Q418" t="str"/>
      <x:c r="R418" t="str"/>
      <x:c r="S418" t="str"/>
      <x:c r="T418" t="str"/>
      <x:c r="U418" t="str"/>
      <x:c r="V418" t="str"/>
      <x:c r="W418" t="str"/>
      <x:c r="X418" t="str"/>
      <x:c r="Y418" t="str"/>
      <x:c r="Z418" t="str"/>
      <x:c r="AA418" t="str"/>
      <x:c r="AB418" t="str"/>
      <x:c r="AC418" t="str"/>
      <x:c r="AD418" t="str"/>
      <x:c r="AE418" t="str"/>
      <x:c r="AF418" t="str"/>
      <x:c r="AG418" t="str"/>
      <x:c r="AH418" t="str">
        <x:f>D418&amp;"|"&amp;UPPER(F418)&amp;"|"&amp;LEFT(B418,10)</x:f>
        <x:v>1363|SFMTA|2025-01-04</x:v>
      </x:c>
    </x:row>
    <x:row r="419">
      <x:c r="A419" s="22" t="n">
        <x:v>1978</x:v>
      </x:c>
      <x:c r="B419" t="str">
        <x:v>2025-07-01T00:00:00</x:v>
      </x:c>
      <x:c r="C419" t="str">
        <x:v>1363B</x:v>
      </x:c>
      <x:c r="D419" t="str">
        <x:v>1363</x:v>
      </x:c>
      <x:c r="E419" t="str">
        <x:v>Special Assistant 4</x:v>
      </x:c>
      <x:c r="F419" t="str">
        <x:v>COMMN</x:v>
      </x:c>
      <x:c r="G419" t="str">
        <x:v>35.2875</x:v>
      </x:c>
      <x:c r="H419" t="str">
        <x:v>37.0375</x:v>
      </x:c>
      <x:c r="I419" t="str">
        <x:v>38.875</x:v>
      </x:c>
      <x:c r="J419" t="str">
        <x:v>40.825</x:v>
      </x:c>
      <x:c r="K419" t="str">
        <x:v>42.8875</x:v>
      </x:c>
      <x:c r="L419" t="str"/>
      <x:c r="M419" t="str"/>
      <x:c r="N419" t="str"/>
      <x:c r="O419" t="str"/>
      <x:c r="P419" t="str"/>
      <x:c r="Q419" t="str"/>
      <x:c r="R419" t="str"/>
      <x:c r="S419" t="str"/>
      <x:c r="T419" t="str"/>
      <x:c r="U419" t="str"/>
      <x:c r="V419" t="str"/>
      <x:c r="W419" t="str"/>
      <x:c r="X419" t="str"/>
      <x:c r="Y419" t="str"/>
      <x:c r="Z419" t="str"/>
      <x:c r="AA419" t="str"/>
      <x:c r="AB419" t="str"/>
      <x:c r="AC419" t="str"/>
      <x:c r="AD419" t="str"/>
      <x:c r="AE419" t="str"/>
      <x:c r="AF419" t="str"/>
      <x:c r="AG419" t="str"/>
      <x:c r="AH419" t="str">
        <x:f>D419&amp;"|"&amp;UPPER(F419)&amp;"|"&amp;LEFT(B419,10)</x:f>
        <x:v>1363|COMMN|2025-07-01</x:v>
      </x:c>
    </x:row>
    <x:row r="420">
      <x:c r="A420" s="22" t="n">
        <x:v>1990</x:v>
      </x:c>
      <x:c r="B420" t="str">
        <x:v>2025-07-01T00:00:00</x:v>
      </x:c>
      <x:c r="C420" t="str">
        <x:v>1363B</x:v>
      </x:c>
      <x:c r="D420" t="str">
        <x:v>1363</x:v>
      </x:c>
      <x:c r="E420" t="str">
        <x:v>Special Assistant 4</x:v>
      </x:c>
      <x:c r="F420" t="str">
        <x:v>SFMTA</x:v>
      </x:c>
      <x:c r="G420" t="str">
        <x:v>35.2875</x:v>
      </x:c>
      <x:c r="H420" t="str">
        <x:v>37.0375</x:v>
      </x:c>
      <x:c r="I420" t="str">
        <x:v>38.875</x:v>
      </x:c>
      <x:c r="J420" t="str">
        <x:v>40.825</x:v>
      </x:c>
      <x:c r="K420" t="str">
        <x:v>42.8875</x:v>
      </x:c>
      <x:c r="L420" t="str"/>
      <x:c r="M420" t="str"/>
      <x:c r="N420" t="str"/>
      <x:c r="O420" t="str"/>
      <x:c r="P420" t="str"/>
      <x:c r="Q420" t="str"/>
      <x:c r="R420" t="str"/>
      <x:c r="S420" t="str"/>
      <x:c r="T420" t="str"/>
      <x:c r="U420" t="str"/>
      <x:c r="V420" t="str"/>
      <x:c r="W420" t="str"/>
      <x:c r="X420" t="str"/>
      <x:c r="Y420" t="str"/>
      <x:c r="Z420" t="str"/>
      <x:c r="AA420" t="str"/>
      <x:c r="AB420" t="str"/>
      <x:c r="AC420" t="str"/>
      <x:c r="AD420" t="str"/>
      <x:c r="AE420" t="str"/>
      <x:c r="AF420" t="str"/>
      <x:c r="AG420" t="str"/>
      <x:c r="AH420" t="str">
        <x:f>D420&amp;"|"&amp;UPPER(F420)&amp;"|"&amp;LEFT(B420,10)</x:f>
        <x:v>1363|SFMTA|2025-07-01</x:v>
      </x:c>
    </x:row>
    <x:row r="421">
      <x:c r="A421" s="22" t="n">
        <x:v>1979</x:v>
      </x:c>
      <x:c r="B421" t="str">
        <x:v>2026-01-03T00:00:00</x:v>
      </x:c>
      <x:c r="C421" t="str">
        <x:v>1363C</x:v>
      </x:c>
      <x:c r="D421" t="str">
        <x:v>1363</x:v>
      </x:c>
      <x:c r="E421" t="str">
        <x:v>Special Assistant 4</x:v>
      </x:c>
      <x:c r="F421" t="str">
        <x:v>COMMN</x:v>
      </x:c>
      <x:c r="G421" t="str">
        <x:v>35.8125</x:v>
      </x:c>
      <x:c r="H421" t="str">
        <x:v>37.5875</x:v>
      </x:c>
      <x:c r="I421" t="str">
        <x:v>39.4625</x:v>
      </x:c>
      <x:c r="J421" t="str">
        <x:v>41.4375</x:v>
      </x:c>
      <x:c r="K421" t="str">
        <x:v>43.525</x:v>
      </x:c>
      <x:c r="L421" t="str"/>
      <x:c r="M421" t="str"/>
      <x:c r="N421" t="str"/>
      <x:c r="O421" t="str"/>
      <x:c r="P421" t="str"/>
      <x:c r="Q421" t="str"/>
      <x:c r="R421" t="str"/>
      <x:c r="S421" t="str"/>
      <x:c r="T421" t="str"/>
      <x:c r="U421" t="str"/>
      <x:c r="V421" t="str"/>
      <x:c r="W421" t="str"/>
      <x:c r="X421" t="str"/>
      <x:c r="Y421" t="str"/>
      <x:c r="Z421" t="str"/>
      <x:c r="AA421" t="str"/>
      <x:c r="AB421" t="str"/>
      <x:c r="AC421" t="str"/>
      <x:c r="AD421" t="str"/>
      <x:c r="AE421" t="str"/>
      <x:c r="AF421" t="str"/>
      <x:c r="AG421" t="str"/>
      <x:c r="AH421" t="str">
        <x:f>D421&amp;"|"&amp;UPPER(F421)&amp;"|"&amp;LEFT(B421,10)</x:f>
        <x:v>1363|COMMN|2026-01-03</x:v>
      </x:c>
    </x:row>
    <x:row r="422">
      <x:c r="A422" s="22" t="n">
        <x:v>1991</x:v>
      </x:c>
      <x:c r="B422" t="str">
        <x:v>2026-01-03T00:00:00</x:v>
      </x:c>
      <x:c r="C422" t="str">
        <x:v>1363C</x:v>
      </x:c>
      <x:c r="D422" t="str">
        <x:v>1363</x:v>
      </x:c>
      <x:c r="E422" t="str">
        <x:v>Special Assistant 4</x:v>
      </x:c>
      <x:c r="F422" t="str">
        <x:v>SFMTA</x:v>
      </x:c>
      <x:c r="G422" t="str">
        <x:v>35.8125</x:v>
      </x:c>
      <x:c r="H422" t="str">
        <x:v>37.5875</x:v>
      </x:c>
      <x:c r="I422" t="str">
        <x:v>39.4625</x:v>
      </x:c>
      <x:c r="J422" t="str">
        <x:v>41.4375</x:v>
      </x:c>
      <x:c r="K422" t="str">
        <x:v>43.525</x:v>
      </x:c>
      <x:c r="L422" t="str"/>
      <x:c r="M422" t="str"/>
      <x:c r="N422" t="str"/>
      <x:c r="O422" t="str"/>
      <x:c r="P422" t="str"/>
      <x:c r="Q422" t="str"/>
      <x:c r="R422" t="str"/>
      <x:c r="S422" t="str"/>
      <x:c r="T422" t="str"/>
      <x:c r="U422" t="str"/>
      <x:c r="V422" t="str"/>
      <x:c r="W422" t="str"/>
      <x:c r="X422" t="str"/>
      <x:c r="Y422" t="str"/>
      <x:c r="Z422" t="str"/>
      <x:c r="AA422" t="str"/>
      <x:c r="AB422" t="str"/>
      <x:c r="AC422" t="str"/>
      <x:c r="AD422" t="str"/>
      <x:c r="AE422" t="str"/>
      <x:c r="AF422" t="str"/>
      <x:c r="AG422" t="str"/>
      <x:c r="AH422" t="str">
        <x:f>D422&amp;"|"&amp;UPPER(F422)&amp;"|"&amp;LEFT(B422,10)</x:f>
        <x:v>1363|SFMTA|2026-01-03</x:v>
      </x:c>
    </x:row>
    <x:row r="423">
      <x:c r="A423" s="22" t="n">
        <x:v>1980</x:v>
      </x:c>
      <x:c r="B423" t="str">
        <x:v>2026-07-01T00:00:00</x:v>
      </x:c>
      <x:c r="C423" t="str">
        <x:v>1363D</x:v>
      </x:c>
      <x:c r="D423" t="str">
        <x:v>1363</x:v>
      </x:c>
      <x:c r="E423" t="str">
        <x:v>Special Assistant 4</x:v>
      </x:c>
      <x:c r="F423" t="str">
        <x:v>COMMN</x:v>
      </x:c>
      <x:c r="G423" t="str">
        <x:v>36.525</x:v>
      </x:c>
      <x:c r="H423" t="str">
        <x:v>38.3375</x:v>
      </x:c>
      <x:c r="I423" t="str">
        <x:v>40.25</x:v>
      </x:c>
      <x:c r="J423" t="str">
        <x:v>42.2625</x:v>
      </x:c>
      <x:c r="K423" t="str">
        <x:v>44.4</x:v>
      </x:c>
      <x:c r="L423" t="str"/>
      <x:c r="M423" t="str"/>
      <x:c r="N423" t="str"/>
      <x:c r="O423" t="str"/>
      <x:c r="P423" t="str"/>
      <x:c r="Q423" t="str"/>
      <x:c r="R423" t="str"/>
      <x:c r="S423" t="str"/>
      <x:c r="T423" t="str"/>
      <x:c r="U423" t="str"/>
      <x:c r="V423" t="str"/>
      <x:c r="W423" t="str"/>
      <x:c r="X423" t="str"/>
      <x:c r="Y423" t="str"/>
      <x:c r="Z423" t="str"/>
      <x:c r="AA423" t="str"/>
      <x:c r="AB423" t="str"/>
      <x:c r="AC423" t="str"/>
      <x:c r="AD423" t="str"/>
      <x:c r="AE423" t="str"/>
      <x:c r="AF423" t="str"/>
      <x:c r="AG423" t="str"/>
      <x:c r="AH423" t="str">
        <x:f>D423&amp;"|"&amp;UPPER(F423)&amp;"|"&amp;LEFT(B423,10)</x:f>
        <x:v>1363|COMMN|2026-07-01</x:v>
      </x:c>
    </x:row>
    <x:row r="424">
      <x:c r="A424" s="22" t="n">
        <x:v>1992</x:v>
      </x:c>
      <x:c r="B424" t="str">
        <x:v>2026-07-01T00:00:00</x:v>
      </x:c>
      <x:c r="C424" t="str">
        <x:v>1363D</x:v>
      </x:c>
      <x:c r="D424" t="str">
        <x:v>1363</x:v>
      </x:c>
      <x:c r="E424" t="str">
        <x:v>Special Assistant 4</x:v>
      </x:c>
      <x:c r="F424" t="str">
        <x:v>SFMTA</x:v>
      </x:c>
      <x:c r="G424" t="str">
        <x:v>36.525</x:v>
      </x:c>
      <x:c r="H424" t="str">
        <x:v>38.3375</x:v>
      </x:c>
      <x:c r="I424" t="str">
        <x:v>40.25</x:v>
      </x:c>
      <x:c r="J424" t="str">
        <x:v>42.2625</x:v>
      </x:c>
      <x:c r="K424" t="str">
        <x:v>44.4</x:v>
      </x:c>
      <x:c r="L424" t="str"/>
      <x:c r="M424" t="str"/>
      <x:c r="N424" t="str"/>
      <x:c r="O424" t="str"/>
      <x:c r="P424" t="str"/>
      <x:c r="Q424" t="str"/>
      <x:c r="R424" t="str"/>
      <x:c r="S424" t="str"/>
      <x:c r="T424" t="str"/>
      <x:c r="U424" t="str"/>
      <x:c r="V424" t="str"/>
      <x:c r="W424" t="str"/>
      <x:c r="X424" t="str"/>
      <x:c r="Y424" t="str"/>
      <x:c r="Z424" t="str"/>
      <x:c r="AA424" t="str"/>
      <x:c r="AB424" t="str"/>
      <x:c r="AC424" t="str"/>
      <x:c r="AD424" t="str"/>
      <x:c r="AE424" t="str"/>
      <x:c r="AF424" t="str"/>
      <x:c r="AG424" t="str"/>
      <x:c r="AH424" t="str">
        <x:f>D424&amp;"|"&amp;UPPER(F424)&amp;"|"&amp;LEFT(B424,10)</x:f>
        <x:v>1363|SFMTA|2026-07-01</x:v>
      </x:c>
    </x:row>
    <x:row r="425">
      <x:c r="A425" s="22" t="n">
        <x:v>1999</x:v>
      </x:c>
      <x:c r="B425" t="str">
        <x:v>2024-01-06T00:00:00</x:v>
      </x:c>
      <x:c r="C425" t="str">
        <x:v>1364Y</x:v>
      </x:c>
      <x:c r="D425" t="str">
        <x:v>1364</x:v>
      </x:c>
      <x:c r="E425" t="str">
        <x:v>Special Assistant V</x:v>
      </x:c>
      <x:c r="F425" t="str">
        <x:v>COMMN</x:v>
      </x:c>
      <x:c r="G425" t="str">
        <x:v>36.0875</x:v>
      </x:c>
      <x:c r="H425" t="str">
        <x:v>37.925</x:v>
      </x:c>
      <x:c r="I425" t="str">
        <x:v>39.825</x:v>
      </x:c>
      <x:c r="J425" t="str">
        <x:v>41.8125</x:v>
      </x:c>
      <x:c r="K425" t="str">
        <x:v>43.9125</x:v>
      </x:c>
      <x:c r="L425" t="str"/>
      <x:c r="M425" t="str"/>
      <x:c r="N425" t="str"/>
      <x:c r="O425" t="str"/>
      <x:c r="P425" t="str"/>
      <x:c r="Q425" t="str"/>
      <x:c r="R425" t="str"/>
      <x:c r="S425" t="str"/>
      <x:c r="T425" t="str"/>
      <x:c r="U425" t="str"/>
      <x:c r="V425" t="str"/>
      <x:c r="W425" t="str"/>
      <x:c r="X425" t="str"/>
      <x:c r="Y425" t="str"/>
      <x:c r="Z425" t="str"/>
      <x:c r="AA425" t="str"/>
      <x:c r="AB425" t="str"/>
      <x:c r="AC425" t="str"/>
      <x:c r="AD425" t="str"/>
      <x:c r="AE425" t="str"/>
      <x:c r="AF425" t="str"/>
      <x:c r="AG425" t="str"/>
      <x:c r="AH425" t="str">
        <x:f>D425&amp;"|"&amp;UPPER(F425)&amp;"|"&amp;LEFT(B425,10)</x:f>
        <x:v>1364|COMMN|2024-01-06</x:v>
      </x:c>
    </x:row>
    <x:row r="426">
      <x:c r="A426" s="22" t="n">
        <x:v>2011</x:v>
      </x:c>
      <x:c r="B426" t="str">
        <x:v>2024-01-06T00:00:00</x:v>
      </x:c>
      <x:c r="C426" t="str">
        <x:v>1364Y</x:v>
      </x:c>
      <x:c r="D426" t="str">
        <x:v>1364</x:v>
      </x:c>
      <x:c r="E426" t="str">
        <x:v>Special Assistant V</x:v>
      </x:c>
      <x:c r="F426" t="str">
        <x:v>SFMTA</x:v>
      </x:c>
      <x:c r="G426" t="str">
        <x:v>36.0875</x:v>
      </x:c>
      <x:c r="H426" t="str">
        <x:v>37.925</x:v>
      </x:c>
      <x:c r="I426" t="str">
        <x:v>39.825</x:v>
      </x:c>
      <x:c r="J426" t="str">
        <x:v>41.8125</x:v>
      </x:c>
      <x:c r="K426" t="str">
        <x:v>43.9125</x:v>
      </x:c>
      <x:c r="L426" t="str"/>
      <x:c r="M426" t="str"/>
      <x:c r="N426" t="str"/>
      <x:c r="O426" t="str"/>
      <x:c r="P426" t="str"/>
      <x:c r="Q426" t="str"/>
      <x:c r="R426" t="str"/>
      <x:c r="S426" t="str"/>
      <x:c r="T426" t="str"/>
      <x:c r="U426" t="str"/>
      <x:c r="V426" t="str"/>
      <x:c r="W426" t="str"/>
      <x:c r="X426" t="str"/>
      <x:c r="Y426" t="str"/>
      <x:c r="Z426" t="str"/>
      <x:c r="AA426" t="str"/>
      <x:c r="AB426" t="str"/>
      <x:c r="AC426" t="str"/>
      <x:c r="AD426" t="str"/>
      <x:c r="AE426" t="str"/>
      <x:c r="AF426" t="str"/>
      <x:c r="AG426" t="str"/>
      <x:c r="AH426" t="str">
        <x:f>D426&amp;"|"&amp;UPPER(F426)&amp;"|"&amp;LEFT(B426,10)</x:f>
        <x:v>1364|SFMTA|2024-01-06</x:v>
      </x:c>
    </x:row>
    <x:row r="427">
      <x:c r="A427" s="22" t="n">
        <x:v>2000</x:v>
      </x:c>
      <x:c r="B427" t="str">
        <x:v>2024-07-01T00:00:00</x:v>
      </x:c>
      <x:c r="C427" t="str">
        <x:v>1364Z</x:v>
      </x:c>
      <x:c r="D427" t="str">
        <x:v>1364</x:v>
      </x:c>
      <x:c r="E427" t="str">
        <x:v>Special Assistant V</x:v>
      </x:c>
      <x:c r="F427" t="str">
        <x:v>COMMN</x:v>
      </x:c>
      <x:c r="G427" t="str">
        <x:v>36.625</x:v>
      </x:c>
      <x:c r="H427" t="str">
        <x:v>38.5</x:v>
      </x:c>
      <x:c r="I427" t="str">
        <x:v>40.425</x:v>
      </x:c>
      <x:c r="J427" t="str">
        <x:v>42.4375</x:v>
      </x:c>
      <x:c r="K427" t="str">
        <x:v>44.575</x:v>
      </x:c>
      <x:c r="L427" t="str"/>
      <x:c r="M427" t="str"/>
      <x:c r="N427" t="str"/>
      <x:c r="O427" t="str"/>
      <x:c r="P427" t="str"/>
      <x:c r="Q427" t="str"/>
      <x:c r="R427" t="str"/>
      <x:c r="S427" t="str"/>
      <x:c r="T427" t="str"/>
      <x:c r="U427" t="str"/>
      <x:c r="V427" t="str"/>
      <x:c r="W427" t="str"/>
      <x:c r="X427" t="str"/>
      <x:c r="Y427" t="str"/>
      <x:c r="Z427" t="str"/>
      <x:c r="AA427" t="str"/>
      <x:c r="AB427" t="str"/>
      <x:c r="AC427" t="str"/>
      <x:c r="AD427" t="str"/>
      <x:c r="AE427" t="str"/>
      <x:c r="AF427" t="str"/>
      <x:c r="AG427" t="str"/>
      <x:c r="AH427" t="str">
        <x:f>D427&amp;"|"&amp;UPPER(F427)&amp;"|"&amp;LEFT(B427,10)</x:f>
        <x:v>1364|COMMN|2024-07-01</x:v>
      </x:c>
    </x:row>
    <x:row r="428">
      <x:c r="A428" s="22" t="n">
        <x:v>2012</x:v>
      </x:c>
      <x:c r="B428" t="str">
        <x:v>2024-07-01T00:00:00</x:v>
      </x:c>
      <x:c r="C428" t="str">
        <x:v>1364Z</x:v>
      </x:c>
      <x:c r="D428" t="str">
        <x:v>1364</x:v>
      </x:c>
      <x:c r="E428" t="str">
        <x:v>Special Assistant V</x:v>
      </x:c>
      <x:c r="F428" t="str">
        <x:v>SFMTA</x:v>
      </x:c>
      <x:c r="G428" t="str">
        <x:v>36.625</x:v>
      </x:c>
      <x:c r="H428" t="str">
        <x:v>38.5</x:v>
      </x:c>
      <x:c r="I428" t="str">
        <x:v>40.425</x:v>
      </x:c>
      <x:c r="J428" t="str">
        <x:v>42.4375</x:v>
      </x:c>
      <x:c r="K428" t="str">
        <x:v>44.575</x:v>
      </x:c>
      <x:c r="L428" t="str"/>
      <x:c r="M428" t="str"/>
      <x:c r="N428" t="str"/>
      <x:c r="O428" t="str"/>
      <x:c r="P428" t="str"/>
      <x:c r="Q428" t="str"/>
      <x:c r="R428" t="str"/>
      <x:c r="S428" t="str"/>
      <x:c r="T428" t="str"/>
      <x:c r="U428" t="str"/>
      <x:c r="V428" t="str"/>
      <x:c r="W428" t="str"/>
      <x:c r="X428" t="str"/>
      <x:c r="Y428" t="str"/>
      <x:c r="Z428" t="str"/>
      <x:c r="AA428" t="str"/>
      <x:c r="AB428" t="str"/>
      <x:c r="AC428" t="str"/>
      <x:c r="AD428" t="str"/>
      <x:c r="AE428" t="str"/>
      <x:c r="AF428" t="str"/>
      <x:c r="AG428" t="str"/>
      <x:c r="AH428" t="str">
        <x:f>D428&amp;"|"&amp;UPPER(F428)&amp;"|"&amp;LEFT(B428,10)</x:f>
        <x:v>1364|SFMTA|2024-07-01</x:v>
      </x:c>
    </x:row>
    <x:row r="429">
      <x:c r="A429" s="22" t="n">
        <x:v>2001</x:v>
      </x:c>
      <x:c r="B429" t="str">
        <x:v>2025-01-04T00:00:00</x:v>
      </x:c>
      <x:c r="C429" t="str">
        <x:v>1364A</x:v>
      </x:c>
      <x:c r="D429" t="str">
        <x:v>1364</x:v>
      </x:c>
      <x:c r="E429" t="str">
        <x:v>Special Assistant V</x:v>
      </x:c>
      <x:c r="F429" t="str">
        <x:v>COMMN</x:v>
      </x:c>
      <x:c r="G429" t="str">
        <x:v>37.175</x:v>
      </x:c>
      <x:c r="H429" t="str">
        <x:v>39.075</x:v>
      </x:c>
      <x:c r="I429" t="str">
        <x:v>41.0375</x:v>
      </x:c>
      <x:c r="J429" t="str">
        <x:v>43.075</x:v>
      </x:c>
      <x:c r="K429" t="str">
        <x:v>45.2375</x:v>
      </x:c>
      <x:c r="L429" t="str"/>
      <x:c r="M429" t="str"/>
      <x:c r="N429" t="str"/>
      <x:c r="O429" t="str"/>
      <x:c r="P429" t="str"/>
      <x:c r="Q429" t="str"/>
      <x:c r="R429" t="str"/>
      <x:c r="S429" t="str"/>
      <x:c r="T429" t="str"/>
      <x:c r="U429" t="str"/>
      <x:c r="V429" t="str"/>
      <x:c r="W429" t="str"/>
      <x:c r="X429" t="str"/>
      <x:c r="Y429" t="str"/>
      <x:c r="Z429" t="str"/>
      <x:c r="AA429" t="str"/>
      <x:c r="AB429" t="str"/>
      <x:c r="AC429" t="str"/>
      <x:c r="AD429" t="str"/>
      <x:c r="AE429" t="str"/>
      <x:c r="AF429" t="str"/>
      <x:c r="AG429" t="str"/>
      <x:c r="AH429" t="str">
        <x:f>D429&amp;"|"&amp;UPPER(F429)&amp;"|"&amp;LEFT(B429,10)</x:f>
        <x:v>1364|COMMN|2025-01-04</x:v>
      </x:c>
    </x:row>
    <x:row r="430">
      <x:c r="A430" s="22" t="n">
        <x:v>2013</x:v>
      </x:c>
      <x:c r="B430" t="str">
        <x:v>2025-01-04T00:00:00</x:v>
      </x:c>
      <x:c r="C430" t="str">
        <x:v>1364A</x:v>
      </x:c>
      <x:c r="D430" t="str">
        <x:v>1364</x:v>
      </x:c>
      <x:c r="E430" t="str">
        <x:v>Special Assistant V</x:v>
      </x:c>
      <x:c r="F430" t="str">
        <x:v>SFMTA</x:v>
      </x:c>
      <x:c r="G430" t="str">
        <x:v>37.175</x:v>
      </x:c>
      <x:c r="H430" t="str">
        <x:v>39.075</x:v>
      </x:c>
      <x:c r="I430" t="str">
        <x:v>41.0375</x:v>
      </x:c>
      <x:c r="J430" t="str">
        <x:v>43.075</x:v>
      </x:c>
      <x:c r="K430" t="str">
        <x:v>45.2375</x:v>
      </x:c>
      <x:c r="L430" t="str"/>
      <x:c r="M430" t="str"/>
      <x:c r="N430" t="str"/>
      <x:c r="O430" t="str"/>
      <x:c r="P430" t="str"/>
      <x:c r="Q430" t="str"/>
      <x:c r="R430" t="str"/>
      <x:c r="S430" t="str"/>
      <x:c r="T430" t="str"/>
      <x:c r="U430" t="str"/>
      <x:c r="V430" t="str"/>
      <x:c r="W430" t="str"/>
      <x:c r="X430" t="str"/>
      <x:c r="Y430" t="str"/>
      <x:c r="Z430" t="str"/>
      <x:c r="AA430" t="str"/>
      <x:c r="AB430" t="str"/>
      <x:c r="AC430" t="str"/>
      <x:c r="AD430" t="str"/>
      <x:c r="AE430" t="str"/>
      <x:c r="AF430" t="str"/>
      <x:c r="AG430" t="str"/>
      <x:c r="AH430" t="str">
        <x:f>D430&amp;"|"&amp;UPPER(F430)&amp;"|"&amp;LEFT(B430,10)</x:f>
        <x:v>1364|SFMTA|2025-01-04</x:v>
      </x:c>
    </x:row>
    <x:row r="431">
      <x:c r="A431" s="22" t="n">
        <x:v>2002</x:v>
      </x:c>
      <x:c r="B431" t="str">
        <x:v>2025-07-01T00:00:00</x:v>
      </x:c>
      <x:c r="C431" t="str">
        <x:v>1364B</x:v>
      </x:c>
      <x:c r="D431" t="str">
        <x:v>1364</x:v>
      </x:c>
      <x:c r="E431" t="str">
        <x:v>Special Assistant 5</x:v>
      </x:c>
      <x:c r="F431" t="str">
        <x:v>COMMN</x:v>
      </x:c>
      <x:c r="G431" t="str">
        <x:v>37.925</x:v>
      </x:c>
      <x:c r="H431" t="str">
        <x:v>39.8625</x:v>
      </x:c>
      <x:c r="I431" t="str">
        <x:v>41.8625</x:v>
      </x:c>
      <x:c r="J431" t="str">
        <x:v>43.9375</x:v>
      </x:c>
      <x:c r="K431" t="str">
        <x:v>46.15</x:v>
      </x:c>
      <x:c r="L431" t="str"/>
      <x:c r="M431" t="str"/>
      <x:c r="N431" t="str"/>
      <x:c r="O431" t="str"/>
      <x:c r="P431" t="str"/>
      <x:c r="Q431" t="str"/>
      <x:c r="R431" t="str"/>
      <x:c r="S431" t="str"/>
      <x:c r="T431" t="str"/>
      <x:c r="U431" t="str"/>
      <x:c r="V431" t="str"/>
      <x:c r="W431" t="str"/>
      <x:c r="X431" t="str"/>
      <x:c r="Y431" t="str"/>
      <x:c r="Z431" t="str"/>
      <x:c r="AA431" t="str"/>
      <x:c r="AB431" t="str"/>
      <x:c r="AC431" t="str"/>
      <x:c r="AD431" t="str"/>
      <x:c r="AE431" t="str"/>
      <x:c r="AF431" t="str"/>
      <x:c r="AG431" t="str"/>
      <x:c r="AH431" t="str">
        <x:f>D431&amp;"|"&amp;UPPER(F431)&amp;"|"&amp;LEFT(B431,10)</x:f>
        <x:v>1364|COMMN|2025-07-01</x:v>
      </x:c>
    </x:row>
    <x:row r="432">
      <x:c r="A432" s="22" t="n">
        <x:v>2014</x:v>
      </x:c>
      <x:c r="B432" t="str">
        <x:v>2025-07-01T00:00:00</x:v>
      </x:c>
      <x:c r="C432" t="str">
        <x:v>1364B</x:v>
      </x:c>
      <x:c r="D432" t="str">
        <x:v>1364</x:v>
      </x:c>
      <x:c r="E432" t="str">
        <x:v>Special Assistant 5</x:v>
      </x:c>
      <x:c r="F432" t="str">
        <x:v>SFMTA</x:v>
      </x:c>
      <x:c r="G432" t="str">
        <x:v>37.925</x:v>
      </x:c>
      <x:c r="H432" t="str">
        <x:v>39.8625</x:v>
      </x:c>
      <x:c r="I432" t="str">
        <x:v>41.8625</x:v>
      </x:c>
      <x:c r="J432" t="str">
        <x:v>43.9375</x:v>
      </x:c>
      <x:c r="K432" t="str">
        <x:v>46.15</x:v>
      </x:c>
      <x:c r="L432" t="str"/>
      <x:c r="M432" t="str"/>
      <x:c r="N432" t="str"/>
      <x:c r="O432" t="str"/>
      <x:c r="P432" t="str"/>
      <x:c r="Q432" t="str"/>
      <x:c r="R432" t="str"/>
      <x:c r="S432" t="str"/>
      <x:c r="T432" t="str"/>
      <x:c r="U432" t="str"/>
      <x:c r="V432" t="str"/>
      <x:c r="W432" t="str"/>
      <x:c r="X432" t="str"/>
      <x:c r="Y432" t="str"/>
      <x:c r="Z432" t="str"/>
      <x:c r="AA432" t="str"/>
      <x:c r="AB432" t="str"/>
      <x:c r="AC432" t="str"/>
      <x:c r="AD432" t="str"/>
      <x:c r="AE432" t="str"/>
      <x:c r="AF432" t="str"/>
      <x:c r="AG432" t="str"/>
      <x:c r="AH432" t="str">
        <x:f>D432&amp;"|"&amp;UPPER(F432)&amp;"|"&amp;LEFT(B432,10)</x:f>
        <x:v>1364|SFMTA|2025-07-01</x:v>
      </x:c>
    </x:row>
    <x:row r="433">
      <x:c r="A433" s="22" t="n">
        <x:v>2003</x:v>
      </x:c>
      <x:c r="B433" t="str">
        <x:v>2026-01-03T00:00:00</x:v>
      </x:c>
      <x:c r="C433" t="str">
        <x:v>1364C</x:v>
      </x:c>
      <x:c r="D433" t="str">
        <x:v>1364</x:v>
      </x:c>
      <x:c r="E433" t="str">
        <x:v>Special Assistant 5</x:v>
      </x:c>
      <x:c r="F433" t="str">
        <x:v>COMMN</x:v>
      </x:c>
      <x:c r="G433" t="str">
        <x:v>38.5</x:v>
      </x:c>
      <x:c r="H433" t="str">
        <x:v>40.4625</x:v>
      </x:c>
      <x:c r="I433" t="str">
        <x:v>42.4875</x:v>
      </x:c>
      <x:c r="J433" t="str">
        <x:v>44.6</x:v>
      </x:c>
      <x:c r="K433" t="str">
        <x:v>46.8375</x:v>
      </x:c>
      <x:c r="L433" t="str"/>
      <x:c r="M433" t="str"/>
      <x:c r="N433" t="str"/>
      <x:c r="O433" t="str"/>
      <x:c r="P433" t="str"/>
      <x:c r="Q433" t="str"/>
      <x:c r="R433" t="str"/>
      <x:c r="S433" t="str"/>
      <x:c r="T433" t="str"/>
      <x:c r="U433" t="str"/>
      <x:c r="V433" t="str"/>
      <x:c r="W433" t="str"/>
      <x:c r="X433" t="str"/>
      <x:c r="Y433" t="str"/>
      <x:c r="Z433" t="str"/>
      <x:c r="AA433" t="str"/>
      <x:c r="AB433" t="str"/>
      <x:c r="AC433" t="str"/>
      <x:c r="AD433" t="str"/>
      <x:c r="AE433" t="str"/>
      <x:c r="AF433" t="str"/>
      <x:c r="AG433" t="str"/>
      <x:c r="AH433" t="str">
        <x:f>D433&amp;"|"&amp;UPPER(F433)&amp;"|"&amp;LEFT(B433,10)</x:f>
        <x:v>1364|COMMN|2026-01-03</x:v>
      </x:c>
    </x:row>
    <x:row r="434">
      <x:c r="A434" s="22" t="n">
        <x:v>2015</x:v>
      </x:c>
      <x:c r="B434" t="str">
        <x:v>2026-01-03T00:00:00</x:v>
      </x:c>
      <x:c r="C434" t="str">
        <x:v>1364C</x:v>
      </x:c>
      <x:c r="D434" t="str">
        <x:v>1364</x:v>
      </x:c>
      <x:c r="E434" t="str">
        <x:v>Special Assistant 5</x:v>
      </x:c>
      <x:c r="F434" t="str">
        <x:v>SFMTA</x:v>
      </x:c>
      <x:c r="G434" t="str">
        <x:v>38.5</x:v>
      </x:c>
      <x:c r="H434" t="str">
        <x:v>40.4625</x:v>
      </x:c>
      <x:c r="I434" t="str">
        <x:v>42.4875</x:v>
      </x:c>
      <x:c r="J434" t="str">
        <x:v>44.6</x:v>
      </x:c>
      <x:c r="K434" t="str">
        <x:v>46.8375</x:v>
      </x:c>
      <x:c r="L434" t="str"/>
      <x:c r="M434" t="str"/>
      <x:c r="N434" t="str"/>
      <x:c r="O434" t="str"/>
      <x:c r="P434" t="str"/>
      <x:c r="Q434" t="str"/>
      <x:c r="R434" t="str"/>
      <x:c r="S434" t="str"/>
      <x:c r="T434" t="str"/>
      <x:c r="U434" t="str"/>
      <x:c r="V434" t="str"/>
      <x:c r="W434" t="str"/>
      <x:c r="X434" t="str"/>
      <x:c r="Y434" t="str"/>
      <x:c r="Z434" t="str"/>
      <x:c r="AA434" t="str"/>
      <x:c r="AB434" t="str"/>
      <x:c r="AC434" t="str"/>
      <x:c r="AD434" t="str"/>
      <x:c r="AE434" t="str"/>
      <x:c r="AF434" t="str"/>
      <x:c r="AG434" t="str"/>
      <x:c r="AH434" t="str">
        <x:f>D434&amp;"|"&amp;UPPER(F434)&amp;"|"&amp;LEFT(B434,10)</x:f>
        <x:v>1364|SFMTA|2026-01-03</x:v>
      </x:c>
    </x:row>
    <x:row r="435">
      <x:c r="A435" s="22" t="n">
        <x:v>2004</x:v>
      </x:c>
      <x:c r="B435" t="str">
        <x:v>2026-07-01T00:00:00</x:v>
      </x:c>
      <x:c r="C435" t="str">
        <x:v>1364D</x:v>
      </x:c>
      <x:c r="D435" t="str">
        <x:v>1364</x:v>
      </x:c>
      <x:c r="E435" t="str">
        <x:v>Special Assistant 5</x:v>
      </x:c>
      <x:c r="F435" t="str">
        <x:v>COMMN</x:v>
      </x:c>
      <x:c r="G435" t="str">
        <x:v>39.275</x:v>
      </x:c>
      <x:c r="H435" t="str">
        <x:v>41.275</x:v>
      </x:c>
      <x:c r="I435" t="str">
        <x:v>43.3375</x:v>
      </x:c>
      <x:c r="J435" t="str">
        <x:v>45.4875</x:v>
      </x:c>
      <x:c r="K435" t="str">
        <x:v>47.775</x:v>
      </x:c>
      <x:c r="L435" t="str"/>
      <x:c r="M435" t="str"/>
      <x:c r="N435" t="str"/>
      <x:c r="O435" t="str"/>
      <x:c r="P435" t="str"/>
      <x:c r="Q435" t="str"/>
      <x:c r="R435" t="str"/>
      <x:c r="S435" t="str"/>
      <x:c r="T435" t="str"/>
      <x:c r="U435" t="str"/>
      <x:c r="V435" t="str"/>
      <x:c r="W435" t="str"/>
      <x:c r="X435" t="str"/>
      <x:c r="Y435" t="str"/>
      <x:c r="Z435" t="str"/>
      <x:c r="AA435" t="str"/>
      <x:c r="AB435" t="str"/>
      <x:c r="AC435" t="str"/>
      <x:c r="AD435" t="str"/>
      <x:c r="AE435" t="str"/>
      <x:c r="AF435" t="str"/>
      <x:c r="AG435" t="str"/>
      <x:c r="AH435" t="str">
        <x:f>D435&amp;"|"&amp;UPPER(F435)&amp;"|"&amp;LEFT(B435,10)</x:f>
        <x:v>1364|COMMN|2026-07-01</x:v>
      </x:c>
    </x:row>
    <x:row r="436">
      <x:c r="A436" s="22" t="n">
        <x:v>2016</x:v>
      </x:c>
      <x:c r="B436" t="str">
        <x:v>2026-07-01T00:00:00</x:v>
      </x:c>
      <x:c r="C436" t="str">
        <x:v>1364D</x:v>
      </x:c>
      <x:c r="D436" t="str">
        <x:v>1364</x:v>
      </x:c>
      <x:c r="E436" t="str">
        <x:v>Special Assistant 5</x:v>
      </x:c>
      <x:c r="F436" t="str">
        <x:v>SFMTA</x:v>
      </x:c>
      <x:c r="G436" t="str">
        <x:v>39.275</x:v>
      </x:c>
      <x:c r="H436" t="str">
        <x:v>41.275</x:v>
      </x:c>
      <x:c r="I436" t="str">
        <x:v>43.3375</x:v>
      </x:c>
      <x:c r="J436" t="str">
        <x:v>45.4875</x:v>
      </x:c>
      <x:c r="K436" t="str">
        <x:v>47.775</x:v>
      </x:c>
      <x:c r="L436" t="str"/>
      <x:c r="M436" t="str"/>
      <x:c r="N436" t="str"/>
      <x:c r="O436" t="str"/>
      <x:c r="P436" t="str"/>
      <x:c r="Q436" t="str"/>
      <x:c r="R436" t="str"/>
      <x:c r="S436" t="str"/>
      <x:c r="T436" t="str"/>
      <x:c r="U436" t="str"/>
      <x:c r="V436" t="str"/>
      <x:c r="W436" t="str"/>
      <x:c r="X436" t="str"/>
      <x:c r="Y436" t="str"/>
      <x:c r="Z436" t="str"/>
      <x:c r="AA436" t="str"/>
      <x:c r="AB436" t="str"/>
      <x:c r="AC436" t="str"/>
      <x:c r="AD436" t="str"/>
      <x:c r="AE436" t="str"/>
      <x:c r="AF436" t="str"/>
      <x:c r="AG436" t="str"/>
      <x:c r="AH436" t="str">
        <x:f>D436&amp;"|"&amp;UPPER(F436)&amp;"|"&amp;LEFT(B436,10)</x:f>
        <x:v>1364|SFMTA|2026-07-01</x:v>
      </x:c>
    </x:row>
    <x:row r="437">
      <x:c r="A437" s="22" t="n">
        <x:v>2023</x:v>
      </x:c>
      <x:c r="B437" t="str">
        <x:v>2024-01-06T00:00:00</x:v>
      </x:c>
      <x:c r="C437" t="str">
        <x:v>1365Y</x:v>
      </x:c>
      <x:c r="D437" t="str">
        <x:v>1365</x:v>
      </x:c>
      <x:c r="E437" t="str">
        <x:v>Special Assistant VI</x:v>
      </x:c>
      <x:c r="F437" t="str">
        <x:v>COMMN</x:v>
      </x:c>
      <x:c r="G437" t="str">
        <x:v>38.65</x:v>
      </x:c>
      <x:c r="H437" t="str">
        <x:v>40.5875</x:v>
      </x:c>
      <x:c r="I437" t="str">
        <x:v>42.6125</x:v>
      </x:c>
      <x:c r="J437" t="str">
        <x:v>44.75</x:v>
      </x:c>
      <x:c r="K437" t="str">
        <x:v>46.9875</x:v>
      </x:c>
      <x:c r="L437" t="str"/>
      <x:c r="M437" t="str"/>
      <x:c r="N437" t="str"/>
      <x:c r="O437" t="str"/>
      <x:c r="P437" t="str"/>
      <x:c r="Q437" t="str"/>
      <x:c r="R437" t="str"/>
      <x:c r="S437" t="str"/>
      <x:c r="T437" t="str"/>
      <x:c r="U437" t="str"/>
      <x:c r="V437" t="str"/>
      <x:c r="W437" t="str"/>
      <x:c r="X437" t="str"/>
      <x:c r="Y437" t="str"/>
      <x:c r="Z437" t="str"/>
      <x:c r="AA437" t="str"/>
      <x:c r="AB437" t="str"/>
      <x:c r="AC437" t="str"/>
      <x:c r="AD437" t="str"/>
      <x:c r="AE437" t="str"/>
      <x:c r="AF437" t="str"/>
      <x:c r="AG437" t="str"/>
      <x:c r="AH437" t="str">
        <x:f>D437&amp;"|"&amp;UPPER(F437)&amp;"|"&amp;LEFT(B437,10)</x:f>
        <x:v>1365|COMMN|2024-01-06</x:v>
      </x:c>
    </x:row>
    <x:row r="438">
      <x:c r="A438" s="22" t="n">
        <x:v>2035</x:v>
      </x:c>
      <x:c r="B438" t="str">
        <x:v>2024-01-06T00:00:00</x:v>
      </x:c>
      <x:c r="C438" t="str">
        <x:v>1365Y</x:v>
      </x:c>
      <x:c r="D438" t="str">
        <x:v>1365</x:v>
      </x:c>
      <x:c r="E438" t="str">
        <x:v>Special Assistant VI</x:v>
      </x:c>
      <x:c r="F438" t="str">
        <x:v>SFMTA</x:v>
      </x:c>
      <x:c r="G438" t="str">
        <x:v>38.65</x:v>
      </x:c>
      <x:c r="H438" t="str">
        <x:v>40.5875</x:v>
      </x:c>
      <x:c r="I438" t="str">
        <x:v>42.6125</x:v>
      </x:c>
      <x:c r="J438" t="str">
        <x:v>44.75</x:v>
      </x:c>
      <x:c r="K438" t="str">
        <x:v>46.9875</x:v>
      </x:c>
      <x:c r="L438" t="str"/>
      <x:c r="M438" t="str"/>
      <x:c r="N438" t="str"/>
      <x:c r="O438" t="str"/>
      <x:c r="P438" t="str"/>
      <x:c r="Q438" t="str"/>
      <x:c r="R438" t="str"/>
      <x:c r="S438" t="str"/>
      <x:c r="T438" t="str"/>
      <x:c r="U438" t="str"/>
      <x:c r="V438" t="str"/>
      <x:c r="W438" t="str"/>
      <x:c r="X438" t="str"/>
      <x:c r="Y438" t="str"/>
      <x:c r="Z438" t="str"/>
      <x:c r="AA438" t="str"/>
      <x:c r="AB438" t="str"/>
      <x:c r="AC438" t="str"/>
      <x:c r="AD438" t="str"/>
      <x:c r="AE438" t="str"/>
      <x:c r="AF438" t="str"/>
      <x:c r="AG438" t="str"/>
      <x:c r="AH438" t="str">
        <x:f>D438&amp;"|"&amp;UPPER(F438)&amp;"|"&amp;LEFT(B438,10)</x:f>
        <x:v>1365|SFMTA|2024-01-06</x:v>
      </x:c>
    </x:row>
    <x:row r="439">
      <x:c r="A439" s="22" t="n">
        <x:v>2024</x:v>
      </x:c>
      <x:c r="B439" t="str">
        <x:v>2024-07-01T00:00:00</x:v>
      </x:c>
      <x:c r="C439" t="str">
        <x:v>1365Z</x:v>
      </x:c>
      <x:c r="D439" t="str">
        <x:v>1365</x:v>
      </x:c>
      <x:c r="E439" t="str">
        <x:v>Special Assistant VI</x:v>
      </x:c>
      <x:c r="F439" t="str">
        <x:v>COMMN</x:v>
      </x:c>
      <x:c r="G439" t="str">
        <x:v>39.225</x:v>
      </x:c>
      <x:c r="H439" t="str">
        <x:v>41.2</x:v>
      </x:c>
      <x:c r="I439" t="str">
        <x:v>43.25</x:v>
      </x:c>
      <x:c r="J439" t="str">
        <x:v>45.425</x:v>
      </x:c>
      <x:c r="K439" t="str">
        <x:v>47.6875</x:v>
      </x:c>
      <x:c r="L439" t="str"/>
      <x:c r="M439" t="str"/>
      <x:c r="N439" t="str"/>
      <x:c r="O439" t="str"/>
      <x:c r="P439" t="str"/>
      <x:c r="Q439" t="str"/>
      <x:c r="R439" t="str"/>
      <x:c r="S439" t="str"/>
      <x:c r="T439" t="str"/>
      <x:c r="U439" t="str"/>
      <x:c r="V439" t="str"/>
      <x:c r="W439" t="str"/>
      <x:c r="X439" t="str"/>
      <x:c r="Y439" t="str"/>
      <x:c r="Z439" t="str"/>
      <x:c r="AA439" t="str"/>
      <x:c r="AB439" t="str"/>
      <x:c r="AC439" t="str"/>
      <x:c r="AD439" t="str"/>
      <x:c r="AE439" t="str"/>
      <x:c r="AF439" t="str"/>
      <x:c r="AG439" t="str"/>
      <x:c r="AH439" t="str">
        <x:f>D439&amp;"|"&amp;UPPER(F439)&amp;"|"&amp;LEFT(B439,10)</x:f>
        <x:v>1365|COMMN|2024-07-01</x:v>
      </x:c>
    </x:row>
    <x:row r="440">
      <x:c r="A440" s="22" t="n">
        <x:v>2036</x:v>
      </x:c>
      <x:c r="B440" t="str">
        <x:v>2024-07-01T00:00:00</x:v>
      </x:c>
      <x:c r="C440" t="str">
        <x:v>1365Z</x:v>
      </x:c>
      <x:c r="D440" t="str">
        <x:v>1365</x:v>
      </x:c>
      <x:c r="E440" t="str">
        <x:v>Special Assistant VI</x:v>
      </x:c>
      <x:c r="F440" t="str">
        <x:v>SFMTA</x:v>
      </x:c>
      <x:c r="G440" t="str">
        <x:v>39.225</x:v>
      </x:c>
      <x:c r="H440" t="str">
        <x:v>41.2</x:v>
      </x:c>
      <x:c r="I440" t="str">
        <x:v>43.25</x:v>
      </x:c>
      <x:c r="J440" t="str">
        <x:v>45.425</x:v>
      </x:c>
      <x:c r="K440" t="str">
        <x:v>47.6875</x:v>
      </x:c>
      <x:c r="L440" t="str"/>
      <x:c r="M440" t="str"/>
      <x:c r="N440" t="str"/>
      <x:c r="O440" t="str"/>
      <x:c r="P440" t="str"/>
      <x:c r="Q440" t="str"/>
      <x:c r="R440" t="str"/>
      <x:c r="S440" t="str"/>
      <x:c r="T440" t="str"/>
      <x:c r="U440" t="str"/>
      <x:c r="V440" t="str"/>
      <x:c r="W440" t="str"/>
      <x:c r="X440" t="str"/>
      <x:c r="Y440" t="str"/>
      <x:c r="Z440" t="str"/>
      <x:c r="AA440" t="str"/>
      <x:c r="AB440" t="str"/>
      <x:c r="AC440" t="str"/>
      <x:c r="AD440" t="str"/>
      <x:c r="AE440" t="str"/>
      <x:c r="AF440" t="str"/>
      <x:c r="AG440" t="str"/>
      <x:c r="AH440" t="str">
        <x:f>D440&amp;"|"&amp;UPPER(F440)&amp;"|"&amp;LEFT(B440,10)</x:f>
        <x:v>1365|SFMTA|2024-07-01</x:v>
      </x:c>
    </x:row>
    <x:row r="441">
      <x:c r="A441" s="22" t="n">
        <x:v>2025</x:v>
      </x:c>
      <x:c r="B441" t="str">
        <x:v>2025-01-04T00:00:00</x:v>
      </x:c>
      <x:c r="C441" t="str">
        <x:v>1365A</x:v>
      </x:c>
      <x:c r="D441" t="str">
        <x:v>1365</x:v>
      </x:c>
      <x:c r="E441" t="str">
        <x:v>Special Assistant VI</x:v>
      </x:c>
      <x:c r="F441" t="str">
        <x:v>COMMN</x:v>
      </x:c>
      <x:c r="G441" t="str">
        <x:v>39.8125</x:v>
      </x:c>
      <x:c r="H441" t="str">
        <x:v>41.8125</x:v>
      </x:c>
      <x:c r="I441" t="str">
        <x:v>43.9</x:v>
      </x:c>
      <x:c r="J441" t="str">
        <x:v>46.1125</x:v>
      </x:c>
      <x:c r="K441" t="str">
        <x:v>48.4</x:v>
      </x:c>
      <x:c r="L441" t="str"/>
      <x:c r="M441" t="str"/>
      <x:c r="N441" t="str"/>
      <x:c r="O441" t="str"/>
      <x:c r="P441" t="str"/>
      <x:c r="Q441" t="str"/>
      <x:c r="R441" t="str"/>
      <x:c r="S441" t="str"/>
      <x:c r="T441" t="str"/>
      <x:c r="U441" t="str"/>
      <x:c r="V441" t="str"/>
      <x:c r="W441" t="str"/>
      <x:c r="X441" t="str"/>
      <x:c r="Y441" t="str"/>
      <x:c r="Z441" t="str"/>
      <x:c r="AA441" t="str"/>
      <x:c r="AB441" t="str"/>
      <x:c r="AC441" t="str"/>
      <x:c r="AD441" t="str"/>
      <x:c r="AE441" t="str"/>
      <x:c r="AF441" t="str"/>
      <x:c r="AG441" t="str"/>
      <x:c r="AH441" t="str">
        <x:f>D441&amp;"|"&amp;UPPER(F441)&amp;"|"&amp;LEFT(B441,10)</x:f>
        <x:v>1365|COMMN|2025-01-04</x:v>
      </x:c>
    </x:row>
    <x:row r="442">
      <x:c r="A442" s="22" t="n">
        <x:v>2037</x:v>
      </x:c>
      <x:c r="B442" t="str">
        <x:v>2025-01-04T00:00:00</x:v>
      </x:c>
      <x:c r="C442" t="str">
        <x:v>1365A</x:v>
      </x:c>
      <x:c r="D442" t="str">
        <x:v>1365</x:v>
      </x:c>
      <x:c r="E442" t="str">
        <x:v>Special Assistant VI</x:v>
      </x:c>
      <x:c r="F442" t="str">
        <x:v>SFMTA</x:v>
      </x:c>
      <x:c r="G442" t="str">
        <x:v>39.8125</x:v>
      </x:c>
      <x:c r="H442" t="str">
        <x:v>41.8125</x:v>
      </x:c>
      <x:c r="I442" t="str">
        <x:v>43.9</x:v>
      </x:c>
      <x:c r="J442" t="str">
        <x:v>46.1125</x:v>
      </x:c>
      <x:c r="K442" t="str">
        <x:v>48.4</x:v>
      </x:c>
      <x:c r="L442" t="str"/>
      <x:c r="M442" t="str"/>
      <x:c r="N442" t="str"/>
      <x:c r="O442" t="str"/>
      <x:c r="P442" t="str"/>
      <x:c r="Q442" t="str"/>
      <x:c r="R442" t="str"/>
      <x:c r="S442" t="str"/>
      <x:c r="T442" t="str"/>
      <x:c r="U442" t="str"/>
      <x:c r="V442" t="str"/>
      <x:c r="W442" t="str"/>
      <x:c r="X442" t="str"/>
      <x:c r="Y442" t="str"/>
      <x:c r="Z442" t="str"/>
      <x:c r="AA442" t="str"/>
      <x:c r="AB442" t="str"/>
      <x:c r="AC442" t="str"/>
      <x:c r="AD442" t="str"/>
      <x:c r="AE442" t="str"/>
      <x:c r="AF442" t="str"/>
      <x:c r="AG442" t="str"/>
      <x:c r="AH442" t="str">
        <x:f>D442&amp;"|"&amp;UPPER(F442)&amp;"|"&amp;LEFT(B442,10)</x:f>
        <x:v>1365|SFMTA|2025-01-04</x:v>
      </x:c>
    </x:row>
    <x:row r="443">
      <x:c r="A443" s="22" t="n">
        <x:v>2026</x:v>
      </x:c>
      <x:c r="B443" t="str">
        <x:v>2025-07-01T00:00:00</x:v>
      </x:c>
      <x:c r="C443" t="str">
        <x:v>1365B</x:v>
      </x:c>
      <x:c r="D443" t="str">
        <x:v>1365</x:v>
      </x:c>
      <x:c r="E443" t="str">
        <x:v>Special Assistant 6</x:v>
      </x:c>
      <x:c r="F443" t="str">
        <x:v>COMMN</x:v>
      </x:c>
      <x:c r="G443" t="str">
        <x:v>40.6125</x:v>
      </x:c>
      <x:c r="H443" t="str">
        <x:v>42.65</x:v>
      </x:c>
      <x:c r="I443" t="str">
        <x:v>44.7875</x:v>
      </x:c>
      <x:c r="J443" t="str">
        <x:v>47.0375</x:v>
      </x:c>
      <x:c r="K443" t="str">
        <x:v>49.375</x:v>
      </x:c>
      <x:c r="L443" t="str"/>
      <x:c r="M443" t="str"/>
      <x:c r="N443" t="str"/>
      <x:c r="O443" t="str"/>
      <x:c r="P443" t="str"/>
      <x:c r="Q443" t="str"/>
      <x:c r="R443" t="str"/>
      <x:c r="S443" t="str"/>
      <x:c r="T443" t="str"/>
      <x:c r="U443" t="str"/>
      <x:c r="V443" t="str"/>
      <x:c r="W443" t="str"/>
      <x:c r="X443" t="str"/>
      <x:c r="Y443" t="str"/>
      <x:c r="Z443" t="str"/>
      <x:c r="AA443" t="str"/>
      <x:c r="AB443" t="str"/>
      <x:c r="AC443" t="str"/>
      <x:c r="AD443" t="str"/>
      <x:c r="AE443" t="str"/>
      <x:c r="AF443" t="str"/>
      <x:c r="AG443" t="str"/>
      <x:c r="AH443" t="str">
        <x:f>D443&amp;"|"&amp;UPPER(F443)&amp;"|"&amp;LEFT(B443,10)</x:f>
        <x:v>1365|COMMN|2025-07-01</x:v>
      </x:c>
    </x:row>
    <x:row r="444">
      <x:c r="A444" s="22" t="n">
        <x:v>2038</x:v>
      </x:c>
      <x:c r="B444" t="str">
        <x:v>2025-07-01T00:00:00</x:v>
      </x:c>
      <x:c r="C444" t="str">
        <x:v>1365B</x:v>
      </x:c>
      <x:c r="D444" t="str">
        <x:v>1365</x:v>
      </x:c>
      <x:c r="E444" t="str">
        <x:v>Special Assistant 6</x:v>
      </x:c>
      <x:c r="F444" t="str">
        <x:v>SFMTA</x:v>
      </x:c>
      <x:c r="G444" t="str">
        <x:v>40.6125</x:v>
      </x:c>
      <x:c r="H444" t="str">
        <x:v>42.65</x:v>
      </x:c>
      <x:c r="I444" t="str">
        <x:v>44.7875</x:v>
      </x:c>
      <x:c r="J444" t="str">
        <x:v>47.0375</x:v>
      </x:c>
      <x:c r="K444" t="str">
        <x:v>49.375</x:v>
      </x:c>
      <x:c r="L444" t="str"/>
      <x:c r="M444" t="str"/>
      <x:c r="N444" t="str"/>
      <x:c r="O444" t="str"/>
      <x:c r="P444" t="str"/>
      <x:c r="Q444" t="str"/>
      <x:c r="R444" t="str"/>
      <x:c r="S444" t="str"/>
      <x:c r="T444" t="str"/>
      <x:c r="U444" t="str"/>
      <x:c r="V444" t="str"/>
      <x:c r="W444" t="str"/>
      <x:c r="X444" t="str"/>
      <x:c r="Y444" t="str"/>
      <x:c r="Z444" t="str"/>
      <x:c r="AA444" t="str"/>
      <x:c r="AB444" t="str"/>
      <x:c r="AC444" t="str"/>
      <x:c r="AD444" t="str"/>
      <x:c r="AE444" t="str"/>
      <x:c r="AF444" t="str"/>
      <x:c r="AG444" t="str"/>
      <x:c r="AH444" t="str">
        <x:f>D444&amp;"|"&amp;UPPER(F444)&amp;"|"&amp;LEFT(B444,10)</x:f>
        <x:v>1365|SFMTA|2025-07-01</x:v>
      </x:c>
    </x:row>
    <x:row r="445">
      <x:c r="A445" s="22" t="n">
        <x:v>2027</x:v>
      </x:c>
      <x:c r="B445" t="str">
        <x:v>2026-01-03T00:00:00</x:v>
      </x:c>
      <x:c r="C445" t="str">
        <x:v>1365C</x:v>
      </x:c>
      <x:c r="D445" t="str">
        <x:v>1365</x:v>
      </x:c>
      <x:c r="E445" t="str">
        <x:v>Special Assistant 6</x:v>
      </x:c>
      <x:c r="F445" t="str">
        <x:v>COMMN</x:v>
      </x:c>
      <x:c r="G445" t="str">
        <x:v>41.225</x:v>
      </x:c>
      <x:c r="H445" t="str">
        <x:v>43.2875</x:v>
      </x:c>
      <x:c r="I445" t="str">
        <x:v>45.4625</x:v>
      </x:c>
      <x:c r="J445" t="str">
        <x:v>47.7375</x:v>
      </x:c>
      <x:c r="K445" t="str">
        <x:v>50.1125</x:v>
      </x:c>
      <x:c r="L445" t="str"/>
      <x:c r="M445" t="str"/>
      <x:c r="N445" t="str"/>
      <x:c r="O445" t="str"/>
      <x:c r="P445" t="str"/>
      <x:c r="Q445" t="str"/>
      <x:c r="R445" t="str"/>
      <x:c r="S445" t="str"/>
      <x:c r="T445" t="str"/>
      <x:c r="U445" t="str"/>
      <x:c r="V445" t="str"/>
      <x:c r="W445" t="str"/>
      <x:c r="X445" t="str"/>
      <x:c r="Y445" t="str"/>
      <x:c r="Z445" t="str"/>
      <x:c r="AA445" t="str"/>
      <x:c r="AB445" t="str"/>
      <x:c r="AC445" t="str"/>
      <x:c r="AD445" t="str"/>
      <x:c r="AE445" t="str"/>
      <x:c r="AF445" t="str"/>
      <x:c r="AG445" t="str"/>
      <x:c r="AH445" t="str">
        <x:f>D445&amp;"|"&amp;UPPER(F445)&amp;"|"&amp;LEFT(B445,10)</x:f>
        <x:v>1365|COMMN|2026-01-03</x:v>
      </x:c>
    </x:row>
    <x:row r="446">
      <x:c r="A446" s="22" t="n">
        <x:v>2039</x:v>
      </x:c>
      <x:c r="B446" t="str">
        <x:v>2026-01-03T00:00:00</x:v>
      </x:c>
      <x:c r="C446" t="str">
        <x:v>1365C</x:v>
      </x:c>
      <x:c r="D446" t="str">
        <x:v>1365</x:v>
      </x:c>
      <x:c r="E446" t="str">
        <x:v>Special Assistant 6</x:v>
      </x:c>
      <x:c r="F446" t="str">
        <x:v>SFMTA</x:v>
      </x:c>
      <x:c r="G446" t="str">
        <x:v>41.225</x:v>
      </x:c>
      <x:c r="H446" t="str">
        <x:v>43.2875</x:v>
      </x:c>
      <x:c r="I446" t="str">
        <x:v>45.4625</x:v>
      </x:c>
      <x:c r="J446" t="str">
        <x:v>47.7375</x:v>
      </x:c>
      <x:c r="K446" t="str">
        <x:v>50.1125</x:v>
      </x:c>
      <x:c r="L446" t="str"/>
      <x:c r="M446" t="str"/>
      <x:c r="N446" t="str"/>
      <x:c r="O446" t="str"/>
      <x:c r="P446" t="str"/>
      <x:c r="Q446" t="str"/>
      <x:c r="R446" t="str"/>
      <x:c r="S446" t="str"/>
      <x:c r="T446" t="str"/>
      <x:c r="U446" t="str"/>
      <x:c r="V446" t="str"/>
      <x:c r="W446" t="str"/>
      <x:c r="X446" t="str"/>
      <x:c r="Y446" t="str"/>
      <x:c r="Z446" t="str"/>
      <x:c r="AA446" t="str"/>
      <x:c r="AB446" t="str"/>
      <x:c r="AC446" t="str"/>
      <x:c r="AD446" t="str"/>
      <x:c r="AE446" t="str"/>
      <x:c r="AF446" t="str"/>
      <x:c r="AG446" t="str"/>
      <x:c r="AH446" t="str">
        <x:f>D446&amp;"|"&amp;UPPER(F446)&amp;"|"&amp;LEFT(B446,10)</x:f>
        <x:v>1365|SFMTA|2026-01-03</x:v>
      </x:c>
    </x:row>
    <x:row r="447">
      <x:c r="A447" s="22" t="n">
        <x:v>2028</x:v>
      </x:c>
      <x:c r="B447" t="str">
        <x:v>2026-07-01T00:00:00</x:v>
      </x:c>
      <x:c r="C447" t="str">
        <x:v>1365D</x:v>
      </x:c>
      <x:c r="D447" t="str">
        <x:v>1365</x:v>
      </x:c>
      <x:c r="E447" t="str">
        <x:v>Special Assistant 6</x:v>
      </x:c>
      <x:c r="F447" t="str">
        <x:v>COMMN</x:v>
      </x:c>
      <x:c r="G447" t="str">
        <x:v>42.05</x:v>
      </x:c>
      <x:c r="H447" t="str">
        <x:v>44.15</x:v>
      </x:c>
      <x:c r="I447" t="str">
        <x:v>46.375</x:v>
      </x:c>
      <x:c r="J447" t="str">
        <x:v>48.6875</x:v>
      </x:c>
      <x:c r="K447" t="str">
        <x:v>51.1125</x:v>
      </x:c>
      <x:c r="L447" t="str"/>
      <x:c r="M447" t="str"/>
      <x:c r="N447" t="str"/>
      <x:c r="O447" t="str"/>
      <x:c r="P447" t="str"/>
      <x:c r="Q447" t="str"/>
      <x:c r="R447" t="str"/>
      <x:c r="S447" t="str"/>
      <x:c r="T447" t="str"/>
      <x:c r="U447" t="str"/>
      <x:c r="V447" t="str"/>
      <x:c r="W447" t="str"/>
      <x:c r="X447" t="str"/>
      <x:c r="Y447" t="str"/>
      <x:c r="Z447" t="str"/>
      <x:c r="AA447" t="str"/>
      <x:c r="AB447" t="str"/>
      <x:c r="AC447" t="str"/>
      <x:c r="AD447" t="str"/>
      <x:c r="AE447" t="str"/>
      <x:c r="AF447" t="str"/>
      <x:c r="AG447" t="str"/>
      <x:c r="AH447" t="str">
        <x:f>D447&amp;"|"&amp;UPPER(F447)&amp;"|"&amp;LEFT(B447,10)</x:f>
        <x:v>1365|COMMN|2026-07-01</x:v>
      </x:c>
    </x:row>
    <x:row r="448">
      <x:c r="A448" s="22" t="n">
        <x:v>2040</x:v>
      </x:c>
      <x:c r="B448" t="str">
        <x:v>2026-07-01T00:00:00</x:v>
      </x:c>
      <x:c r="C448" t="str">
        <x:v>1365D</x:v>
      </x:c>
      <x:c r="D448" t="str">
        <x:v>1365</x:v>
      </x:c>
      <x:c r="E448" t="str">
        <x:v>Special Assistant 6</x:v>
      </x:c>
      <x:c r="F448" t="str">
        <x:v>SFMTA</x:v>
      </x:c>
      <x:c r="G448" t="str">
        <x:v>42.05</x:v>
      </x:c>
      <x:c r="H448" t="str">
        <x:v>44.15</x:v>
      </x:c>
      <x:c r="I448" t="str">
        <x:v>46.375</x:v>
      </x:c>
      <x:c r="J448" t="str">
        <x:v>48.6875</x:v>
      </x:c>
      <x:c r="K448" t="str">
        <x:v>51.1125</x:v>
      </x:c>
      <x:c r="L448" t="str"/>
      <x:c r="M448" t="str"/>
      <x:c r="N448" t="str"/>
      <x:c r="O448" t="str"/>
      <x:c r="P448" t="str"/>
      <x:c r="Q448" t="str"/>
      <x:c r="R448" t="str"/>
      <x:c r="S448" t="str"/>
      <x:c r="T448" t="str"/>
      <x:c r="U448" t="str"/>
      <x:c r="V448" t="str"/>
      <x:c r="W448" t="str"/>
      <x:c r="X448" t="str"/>
      <x:c r="Y448" t="str"/>
      <x:c r="Z448" t="str"/>
      <x:c r="AA448" t="str"/>
      <x:c r="AB448" t="str"/>
      <x:c r="AC448" t="str"/>
      <x:c r="AD448" t="str"/>
      <x:c r="AE448" t="str"/>
      <x:c r="AF448" t="str"/>
      <x:c r="AG448" t="str"/>
      <x:c r="AH448" t="str">
        <x:f>D448&amp;"|"&amp;UPPER(F448)&amp;"|"&amp;LEFT(B448,10)</x:f>
        <x:v>1365|SFMTA|2026-07-01</x:v>
      </x:c>
    </x:row>
    <x:row r="449">
      <x:c r="A449" s="22" t="n">
        <x:v>2047</x:v>
      </x:c>
      <x:c r="B449" t="str">
        <x:v>2024-01-06T00:00:00</x:v>
      </x:c>
      <x:c r="C449" t="str">
        <x:v>1366Y</x:v>
      </x:c>
      <x:c r="D449" t="str">
        <x:v>1366</x:v>
      </x:c>
      <x:c r="E449" t="str">
        <x:v>Special Assistant VII</x:v>
      </x:c>
      <x:c r="F449" t="str">
        <x:v>COMMN</x:v>
      </x:c>
      <x:c r="G449" t="str">
        <x:v>41.5875</x:v>
      </x:c>
      <x:c r="H449" t="str">
        <x:v>43.675</x:v>
      </x:c>
      <x:c r="I449" t="str">
        <x:v>45.8875</x:v>
      </x:c>
      <x:c r="J449" t="str">
        <x:v>48.15</x:v>
      </x:c>
      <x:c r="K449" t="str">
        <x:v>50.5875</x:v>
      </x:c>
      <x:c r="L449" t="str"/>
      <x:c r="M449" t="str"/>
      <x:c r="N449" t="str"/>
      <x:c r="O449" t="str"/>
      <x:c r="P449" t="str"/>
      <x:c r="Q449" t="str"/>
      <x:c r="R449" t="str"/>
      <x:c r="S449" t="str"/>
      <x:c r="T449" t="str"/>
      <x:c r="U449" t="str"/>
      <x:c r="V449" t="str"/>
      <x:c r="W449" t="str"/>
      <x:c r="X449" t="str"/>
      <x:c r="Y449" t="str"/>
      <x:c r="Z449" t="str"/>
      <x:c r="AA449" t="str"/>
      <x:c r="AB449" t="str"/>
      <x:c r="AC449" t="str"/>
      <x:c r="AD449" t="str"/>
      <x:c r="AE449" t="str"/>
      <x:c r="AF449" t="str"/>
      <x:c r="AG449" t="str"/>
      <x:c r="AH449" t="str">
        <x:f>D449&amp;"|"&amp;UPPER(F449)&amp;"|"&amp;LEFT(B449,10)</x:f>
        <x:v>1366|COMMN|2024-01-06</x:v>
      </x:c>
    </x:row>
    <x:row r="450">
      <x:c r="A450" s="22" t="n">
        <x:v>2059</x:v>
      </x:c>
      <x:c r="B450" t="str">
        <x:v>2024-01-06T00:00:00</x:v>
      </x:c>
      <x:c r="C450" t="str">
        <x:v>1366Y</x:v>
      </x:c>
      <x:c r="D450" t="str">
        <x:v>1366</x:v>
      </x:c>
      <x:c r="E450" t="str">
        <x:v>Special Assistant VII</x:v>
      </x:c>
      <x:c r="F450" t="str">
        <x:v>SFMTA</x:v>
      </x:c>
      <x:c r="G450" t="str">
        <x:v>41.5875</x:v>
      </x:c>
      <x:c r="H450" t="str">
        <x:v>43.675</x:v>
      </x:c>
      <x:c r="I450" t="str">
        <x:v>45.8875</x:v>
      </x:c>
      <x:c r="J450" t="str">
        <x:v>48.15</x:v>
      </x:c>
      <x:c r="K450" t="str">
        <x:v>50.5875</x:v>
      </x:c>
      <x:c r="L450" t="str"/>
      <x:c r="M450" t="str"/>
      <x:c r="N450" t="str"/>
      <x:c r="O450" t="str"/>
      <x:c r="P450" t="str"/>
      <x:c r="Q450" t="str"/>
      <x:c r="R450" t="str"/>
      <x:c r="S450" t="str"/>
      <x:c r="T450" t="str"/>
      <x:c r="U450" t="str"/>
      <x:c r="V450" t="str"/>
      <x:c r="W450" t="str"/>
      <x:c r="X450" t="str"/>
      <x:c r="Y450" t="str"/>
      <x:c r="Z450" t="str"/>
      <x:c r="AA450" t="str"/>
      <x:c r="AB450" t="str"/>
      <x:c r="AC450" t="str"/>
      <x:c r="AD450" t="str"/>
      <x:c r="AE450" t="str"/>
      <x:c r="AF450" t="str"/>
      <x:c r="AG450" t="str"/>
      <x:c r="AH450" t="str">
        <x:f>D450&amp;"|"&amp;UPPER(F450)&amp;"|"&amp;LEFT(B450,10)</x:f>
        <x:v>1366|SFMTA|2024-01-06</x:v>
      </x:c>
    </x:row>
    <x:row r="451">
      <x:c r="A451" s="22" t="n">
        <x:v>2048</x:v>
      </x:c>
      <x:c r="B451" t="str">
        <x:v>2024-07-01T00:00:00</x:v>
      </x:c>
      <x:c r="C451" t="str">
        <x:v>1366Z</x:v>
      </x:c>
      <x:c r="D451" t="str">
        <x:v>1366</x:v>
      </x:c>
      <x:c r="E451" t="str">
        <x:v>Special Assistant VII</x:v>
      </x:c>
      <x:c r="F451" t="str">
        <x:v>COMMN</x:v>
      </x:c>
      <x:c r="G451" t="str">
        <x:v>42.2125</x:v>
      </x:c>
      <x:c r="H451" t="str">
        <x:v>44.325</x:v>
      </x:c>
      <x:c r="I451" t="str">
        <x:v>46.575</x:v>
      </x:c>
      <x:c r="J451" t="str">
        <x:v>48.875</x:v>
      </x:c>
      <x:c r="K451" t="str">
        <x:v>51.35</x:v>
      </x:c>
      <x:c r="L451" t="str"/>
      <x:c r="M451" t="str"/>
      <x:c r="N451" t="str"/>
      <x:c r="O451" t="str"/>
      <x:c r="P451" t="str"/>
      <x:c r="Q451" t="str"/>
      <x:c r="R451" t="str"/>
      <x:c r="S451" t="str"/>
      <x:c r="T451" t="str"/>
      <x:c r="U451" t="str"/>
      <x:c r="V451" t="str"/>
      <x:c r="W451" t="str"/>
      <x:c r="X451" t="str"/>
      <x:c r="Y451" t="str"/>
      <x:c r="Z451" t="str"/>
      <x:c r="AA451" t="str"/>
      <x:c r="AB451" t="str"/>
      <x:c r="AC451" t="str"/>
      <x:c r="AD451" t="str"/>
      <x:c r="AE451" t="str"/>
      <x:c r="AF451" t="str"/>
      <x:c r="AG451" t="str"/>
      <x:c r="AH451" t="str">
        <x:f>D451&amp;"|"&amp;UPPER(F451)&amp;"|"&amp;LEFT(B451,10)</x:f>
        <x:v>1366|COMMN|2024-07-01</x:v>
      </x:c>
    </x:row>
    <x:row r="452">
      <x:c r="A452" s="22" t="n">
        <x:v>2060</x:v>
      </x:c>
      <x:c r="B452" t="str">
        <x:v>2024-07-01T00:00:00</x:v>
      </x:c>
      <x:c r="C452" t="str">
        <x:v>1366Z</x:v>
      </x:c>
      <x:c r="D452" t="str">
        <x:v>1366</x:v>
      </x:c>
      <x:c r="E452" t="str">
        <x:v>Special Assistant VII</x:v>
      </x:c>
      <x:c r="F452" t="str">
        <x:v>SFMTA</x:v>
      </x:c>
      <x:c r="G452" t="str">
        <x:v>42.2125</x:v>
      </x:c>
      <x:c r="H452" t="str">
        <x:v>44.325</x:v>
      </x:c>
      <x:c r="I452" t="str">
        <x:v>46.575</x:v>
      </x:c>
      <x:c r="J452" t="str">
        <x:v>48.875</x:v>
      </x:c>
      <x:c r="K452" t="str">
        <x:v>51.35</x:v>
      </x:c>
      <x:c r="L452" t="str"/>
      <x:c r="M452" t="str"/>
      <x:c r="N452" t="str"/>
      <x:c r="O452" t="str"/>
      <x:c r="P452" t="str"/>
      <x:c r="Q452" t="str"/>
      <x:c r="R452" t="str"/>
      <x:c r="S452" t="str"/>
      <x:c r="T452" t="str"/>
      <x:c r="U452" t="str"/>
      <x:c r="V452" t="str"/>
      <x:c r="W452" t="str"/>
      <x:c r="X452" t="str"/>
      <x:c r="Y452" t="str"/>
      <x:c r="Z452" t="str"/>
      <x:c r="AA452" t="str"/>
      <x:c r="AB452" t="str"/>
      <x:c r="AC452" t="str"/>
      <x:c r="AD452" t="str"/>
      <x:c r="AE452" t="str"/>
      <x:c r="AF452" t="str"/>
      <x:c r="AG452" t="str"/>
      <x:c r="AH452" t="str">
        <x:f>D452&amp;"|"&amp;UPPER(F452)&amp;"|"&amp;LEFT(B452,10)</x:f>
        <x:v>1366|SFMTA|2024-07-01</x:v>
      </x:c>
    </x:row>
    <x:row r="453">
      <x:c r="A453" s="22" t="n">
        <x:v>2049</x:v>
      </x:c>
      <x:c r="B453" t="str">
        <x:v>2025-01-04T00:00:00</x:v>
      </x:c>
      <x:c r="C453" t="str">
        <x:v>1366A</x:v>
      </x:c>
      <x:c r="D453" t="str">
        <x:v>1366</x:v>
      </x:c>
      <x:c r="E453" t="str">
        <x:v>Special Assistant VII</x:v>
      </x:c>
      <x:c r="F453" t="str">
        <x:v>COMMN</x:v>
      </x:c>
      <x:c r="G453" t="str">
        <x:v>42.85</x:v>
      </x:c>
      <x:c r="H453" t="str">
        <x:v>44.9875</x:v>
      </x:c>
      <x:c r="I453" t="str">
        <x:v>47.275</x:v>
      </x:c>
      <x:c r="J453" t="str">
        <x:v>49.6125</x:v>
      </x:c>
      <x:c r="K453" t="str">
        <x:v>52.125</x:v>
      </x:c>
      <x:c r="L453" t="str"/>
      <x:c r="M453" t="str"/>
      <x:c r="N453" t="str"/>
      <x:c r="O453" t="str"/>
      <x:c r="P453" t="str"/>
      <x:c r="Q453" t="str"/>
      <x:c r="R453" t="str"/>
      <x:c r="S453" t="str"/>
      <x:c r="T453" t="str"/>
      <x:c r="U453" t="str"/>
      <x:c r="V453" t="str"/>
      <x:c r="W453" t="str"/>
      <x:c r="X453" t="str"/>
      <x:c r="Y453" t="str"/>
      <x:c r="Z453" t="str"/>
      <x:c r="AA453" t="str"/>
      <x:c r="AB453" t="str"/>
      <x:c r="AC453" t="str"/>
      <x:c r="AD453" t="str"/>
      <x:c r="AE453" t="str"/>
      <x:c r="AF453" t="str"/>
      <x:c r="AG453" t="str"/>
      <x:c r="AH453" t="str">
        <x:f>D453&amp;"|"&amp;UPPER(F453)&amp;"|"&amp;LEFT(B453,10)</x:f>
        <x:v>1366|COMMN|2025-01-04</x:v>
      </x:c>
    </x:row>
    <x:row r="454">
      <x:c r="A454" s="22" t="n">
        <x:v>2061</x:v>
      </x:c>
      <x:c r="B454" t="str">
        <x:v>2025-01-04T00:00:00</x:v>
      </x:c>
      <x:c r="C454" t="str">
        <x:v>1366A</x:v>
      </x:c>
      <x:c r="D454" t="str">
        <x:v>1366</x:v>
      </x:c>
      <x:c r="E454" t="str">
        <x:v>Special Assistant VII</x:v>
      </x:c>
      <x:c r="F454" t="str">
        <x:v>SFMTA</x:v>
      </x:c>
      <x:c r="G454" t="str">
        <x:v>42.85</x:v>
      </x:c>
      <x:c r="H454" t="str">
        <x:v>44.9875</x:v>
      </x:c>
      <x:c r="I454" t="str">
        <x:v>47.275</x:v>
      </x:c>
      <x:c r="J454" t="str">
        <x:v>49.6125</x:v>
      </x:c>
      <x:c r="K454" t="str">
        <x:v>52.125</x:v>
      </x:c>
      <x:c r="L454" t="str"/>
      <x:c r="M454" t="str"/>
      <x:c r="N454" t="str"/>
      <x:c r="O454" t="str"/>
      <x:c r="P454" t="str"/>
      <x:c r="Q454" t="str"/>
      <x:c r="R454" t="str"/>
      <x:c r="S454" t="str"/>
      <x:c r="T454" t="str"/>
      <x:c r="U454" t="str"/>
      <x:c r="V454" t="str"/>
      <x:c r="W454" t="str"/>
      <x:c r="X454" t="str"/>
      <x:c r="Y454" t="str"/>
      <x:c r="Z454" t="str"/>
      <x:c r="AA454" t="str"/>
      <x:c r="AB454" t="str"/>
      <x:c r="AC454" t="str"/>
      <x:c r="AD454" t="str"/>
      <x:c r="AE454" t="str"/>
      <x:c r="AF454" t="str"/>
      <x:c r="AG454" t="str"/>
      <x:c r="AH454" t="str">
        <x:f>D454&amp;"|"&amp;UPPER(F454)&amp;"|"&amp;LEFT(B454,10)</x:f>
        <x:v>1366|SFMTA|2025-01-04</x:v>
      </x:c>
    </x:row>
    <x:row r="455">
      <x:c r="A455" s="22" t="n">
        <x:v>2050</x:v>
      </x:c>
      <x:c r="B455" t="str">
        <x:v>2025-07-01T00:00:00</x:v>
      </x:c>
      <x:c r="C455" t="str">
        <x:v>1366B</x:v>
      </x:c>
      <x:c r="D455" t="str">
        <x:v>1366</x:v>
      </x:c>
      <x:c r="E455" t="str">
        <x:v>Special Assistant 7</x:v>
      </x:c>
      <x:c r="F455" t="str">
        <x:v>COMMN</x:v>
      </x:c>
      <x:c r="G455" t="str">
        <x:v>43.7125</x:v>
      </x:c>
      <x:c r="H455" t="str">
        <x:v>45.8875</x:v>
      </x:c>
      <x:c r="I455" t="str">
        <x:v>48.225</x:v>
      </x:c>
      <x:c r="J455" t="str">
        <x:v>50.6125</x:v>
      </x:c>
      <x:c r="K455" t="str">
        <x:v>53.175</x:v>
      </x:c>
      <x:c r="L455" t="str"/>
      <x:c r="M455" t="str"/>
      <x:c r="N455" t="str"/>
      <x:c r="O455" t="str"/>
      <x:c r="P455" t="str"/>
      <x:c r="Q455" t="str"/>
      <x:c r="R455" t="str"/>
      <x:c r="S455" t="str"/>
      <x:c r="T455" t="str"/>
      <x:c r="U455" t="str"/>
      <x:c r="V455" t="str"/>
      <x:c r="W455" t="str"/>
      <x:c r="X455" t="str"/>
      <x:c r="Y455" t="str"/>
      <x:c r="Z455" t="str"/>
      <x:c r="AA455" t="str"/>
      <x:c r="AB455" t="str"/>
      <x:c r="AC455" t="str"/>
      <x:c r="AD455" t="str"/>
      <x:c r="AE455" t="str"/>
      <x:c r="AF455" t="str"/>
      <x:c r="AG455" t="str"/>
      <x:c r="AH455" t="str">
        <x:f>D455&amp;"|"&amp;UPPER(F455)&amp;"|"&amp;LEFT(B455,10)</x:f>
        <x:v>1366|COMMN|2025-07-01</x:v>
      </x:c>
    </x:row>
    <x:row r="456">
      <x:c r="A456" s="22" t="n">
        <x:v>2062</x:v>
      </x:c>
      <x:c r="B456" t="str">
        <x:v>2025-07-01T00:00:00</x:v>
      </x:c>
      <x:c r="C456" t="str">
        <x:v>1366B</x:v>
      </x:c>
      <x:c r="D456" t="str">
        <x:v>1366</x:v>
      </x:c>
      <x:c r="E456" t="str">
        <x:v>Special Assistant 7</x:v>
      </x:c>
      <x:c r="F456" t="str">
        <x:v>SFMTA</x:v>
      </x:c>
      <x:c r="G456" t="str">
        <x:v>43.7125</x:v>
      </x:c>
      <x:c r="H456" t="str">
        <x:v>45.8875</x:v>
      </x:c>
      <x:c r="I456" t="str">
        <x:v>48.225</x:v>
      </x:c>
      <x:c r="J456" t="str">
        <x:v>50.6125</x:v>
      </x:c>
      <x:c r="K456" t="str">
        <x:v>53.175</x:v>
      </x:c>
      <x:c r="L456" t="str"/>
      <x:c r="M456" t="str"/>
      <x:c r="N456" t="str"/>
      <x:c r="O456" t="str"/>
      <x:c r="P456" t="str"/>
      <x:c r="Q456" t="str"/>
      <x:c r="R456" t="str"/>
      <x:c r="S456" t="str"/>
      <x:c r="T456" t="str"/>
      <x:c r="U456" t="str"/>
      <x:c r="V456" t="str"/>
      <x:c r="W456" t="str"/>
      <x:c r="X456" t="str"/>
      <x:c r="Y456" t="str"/>
      <x:c r="Z456" t="str"/>
      <x:c r="AA456" t="str"/>
      <x:c r="AB456" t="str"/>
      <x:c r="AC456" t="str"/>
      <x:c r="AD456" t="str"/>
      <x:c r="AE456" t="str"/>
      <x:c r="AF456" t="str"/>
      <x:c r="AG456" t="str"/>
      <x:c r="AH456" t="str">
        <x:f>D456&amp;"|"&amp;UPPER(F456)&amp;"|"&amp;LEFT(B456,10)</x:f>
        <x:v>1366|SFMTA|2025-07-01</x:v>
      </x:c>
    </x:row>
    <x:row r="457">
      <x:c r="A457" s="22" t="n">
        <x:v>2051</x:v>
      </x:c>
      <x:c r="B457" t="str">
        <x:v>2026-01-03T00:00:00</x:v>
      </x:c>
      <x:c r="C457" t="str">
        <x:v>1366C</x:v>
      </x:c>
      <x:c r="D457" t="str">
        <x:v>1366</x:v>
      </x:c>
      <x:c r="E457" t="str">
        <x:v>Special Assistant 7</x:v>
      </x:c>
      <x:c r="F457" t="str">
        <x:v>COMMN</x:v>
      </x:c>
      <x:c r="G457" t="str">
        <x:v>44.3625</x:v>
      </x:c>
      <x:c r="H457" t="str">
        <x:v>46.575</x:v>
      </x:c>
      <x:c r="I457" t="str">
        <x:v>48.95</x:v>
      </x:c>
      <x:c r="J457" t="str">
        <x:v>51.375</x:v>
      </x:c>
      <x:c r="K457" t="str">
        <x:v>53.975</x:v>
      </x:c>
      <x:c r="L457" t="str"/>
      <x:c r="M457" t="str"/>
      <x:c r="N457" t="str"/>
      <x:c r="O457" t="str"/>
      <x:c r="P457" t="str"/>
      <x:c r="Q457" t="str"/>
      <x:c r="R457" t="str"/>
      <x:c r="S457" t="str"/>
      <x:c r="T457" t="str"/>
      <x:c r="U457" t="str"/>
      <x:c r="V457" t="str"/>
      <x:c r="W457" t="str"/>
      <x:c r="X457" t="str"/>
      <x:c r="Y457" t="str"/>
      <x:c r="Z457" t="str"/>
      <x:c r="AA457" t="str"/>
      <x:c r="AB457" t="str"/>
      <x:c r="AC457" t="str"/>
      <x:c r="AD457" t="str"/>
      <x:c r="AE457" t="str"/>
      <x:c r="AF457" t="str"/>
      <x:c r="AG457" t="str"/>
      <x:c r="AH457" t="str">
        <x:f>D457&amp;"|"&amp;UPPER(F457)&amp;"|"&amp;LEFT(B457,10)</x:f>
        <x:v>1366|COMMN|2026-01-03</x:v>
      </x:c>
    </x:row>
    <x:row r="458">
      <x:c r="A458" s="22" t="n">
        <x:v>2063</x:v>
      </x:c>
      <x:c r="B458" t="str">
        <x:v>2026-01-03T00:00:00</x:v>
      </x:c>
      <x:c r="C458" t="str">
        <x:v>1366C</x:v>
      </x:c>
      <x:c r="D458" t="str">
        <x:v>1366</x:v>
      </x:c>
      <x:c r="E458" t="str">
        <x:v>Special Assistant 7</x:v>
      </x:c>
      <x:c r="F458" t="str">
        <x:v>SFMTA</x:v>
      </x:c>
      <x:c r="G458" t="str">
        <x:v>44.3625</x:v>
      </x:c>
      <x:c r="H458" t="str">
        <x:v>46.575</x:v>
      </x:c>
      <x:c r="I458" t="str">
        <x:v>48.95</x:v>
      </x:c>
      <x:c r="J458" t="str">
        <x:v>51.375</x:v>
      </x:c>
      <x:c r="K458" t="str">
        <x:v>53.975</x:v>
      </x:c>
      <x:c r="L458" t="str"/>
      <x:c r="M458" t="str"/>
      <x:c r="N458" t="str"/>
      <x:c r="O458" t="str"/>
      <x:c r="P458" t="str"/>
      <x:c r="Q458" t="str"/>
      <x:c r="R458" t="str"/>
      <x:c r="S458" t="str"/>
      <x:c r="T458" t="str"/>
      <x:c r="U458" t="str"/>
      <x:c r="V458" t="str"/>
      <x:c r="W458" t="str"/>
      <x:c r="X458" t="str"/>
      <x:c r="Y458" t="str"/>
      <x:c r="Z458" t="str"/>
      <x:c r="AA458" t="str"/>
      <x:c r="AB458" t="str"/>
      <x:c r="AC458" t="str"/>
      <x:c r="AD458" t="str"/>
      <x:c r="AE458" t="str"/>
      <x:c r="AF458" t="str"/>
      <x:c r="AG458" t="str"/>
      <x:c r="AH458" t="str">
        <x:f>D458&amp;"|"&amp;UPPER(F458)&amp;"|"&amp;LEFT(B458,10)</x:f>
        <x:v>1366|SFMTA|2026-01-03</x:v>
      </x:c>
    </x:row>
    <x:row r="459">
      <x:c r="A459" s="22" t="n">
        <x:v>2052</x:v>
      </x:c>
      <x:c r="B459" t="str">
        <x:v>2026-07-01T00:00:00</x:v>
      </x:c>
      <x:c r="C459" t="str">
        <x:v>1366D</x:v>
      </x:c>
      <x:c r="D459" t="str">
        <x:v>1366</x:v>
      </x:c>
      <x:c r="E459" t="str">
        <x:v>Special Assistant 7</x:v>
      </x:c>
      <x:c r="F459" t="str">
        <x:v>COMMN</x:v>
      </x:c>
      <x:c r="G459" t="str">
        <x:v>45.25</x:v>
      </x:c>
      <x:c r="H459" t="str">
        <x:v>47.5125</x:v>
      </x:c>
      <x:c r="I459" t="str">
        <x:v>49.925</x:v>
      </x:c>
      <x:c r="J459" t="str">
        <x:v>52.4</x:v>
      </x:c>
      <x:c r="K459" t="str">
        <x:v>55.05</x:v>
      </x:c>
      <x:c r="L459" t="str"/>
      <x:c r="M459" t="str"/>
      <x:c r="N459" t="str"/>
      <x:c r="O459" t="str"/>
      <x:c r="P459" t="str"/>
      <x:c r="Q459" t="str"/>
      <x:c r="R459" t="str"/>
      <x:c r="S459" t="str"/>
      <x:c r="T459" t="str"/>
      <x:c r="U459" t="str"/>
      <x:c r="V459" t="str"/>
      <x:c r="W459" t="str"/>
      <x:c r="X459" t="str"/>
      <x:c r="Y459" t="str"/>
      <x:c r="Z459" t="str"/>
      <x:c r="AA459" t="str"/>
      <x:c r="AB459" t="str"/>
      <x:c r="AC459" t="str"/>
      <x:c r="AD459" t="str"/>
      <x:c r="AE459" t="str"/>
      <x:c r="AF459" t="str"/>
      <x:c r="AG459" t="str"/>
      <x:c r="AH459" t="str">
        <x:f>D459&amp;"|"&amp;UPPER(F459)&amp;"|"&amp;LEFT(B459,10)</x:f>
        <x:v>1366|COMMN|2026-07-01</x:v>
      </x:c>
    </x:row>
    <x:row r="460">
      <x:c r="A460" s="22" t="n">
        <x:v>2064</x:v>
      </x:c>
      <x:c r="B460" t="str">
        <x:v>2026-07-01T00:00:00</x:v>
      </x:c>
      <x:c r="C460" t="str">
        <x:v>1366D</x:v>
      </x:c>
      <x:c r="D460" t="str">
        <x:v>1366</x:v>
      </x:c>
      <x:c r="E460" t="str">
        <x:v>Special Assistant 7</x:v>
      </x:c>
      <x:c r="F460" t="str">
        <x:v>SFMTA</x:v>
      </x:c>
      <x:c r="G460" t="str">
        <x:v>45.25</x:v>
      </x:c>
      <x:c r="H460" t="str">
        <x:v>47.5125</x:v>
      </x:c>
      <x:c r="I460" t="str">
        <x:v>49.925</x:v>
      </x:c>
      <x:c r="J460" t="str">
        <x:v>52.4</x:v>
      </x:c>
      <x:c r="K460" t="str">
        <x:v>55.05</x:v>
      </x:c>
      <x:c r="L460" t="str"/>
      <x:c r="M460" t="str"/>
      <x:c r="N460" t="str"/>
      <x:c r="O460" t="str"/>
      <x:c r="P460" t="str"/>
      <x:c r="Q460" t="str"/>
      <x:c r="R460" t="str"/>
      <x:c r="S460" t="str"/>
      <x:c r="T460" t="str"/>
      <x:c r="U460" t="str"/>
      <x:c r="V460" t="str"/>
      <x:c r="W460" t="str"/>
      <x:c r="X460" t="str"/>
      <x:c r="Y460" t="str"/>
      <x:c r="Z460" t="str"/>
      <x:c r="AA460" t="str"/>
      <x:c r="AB460" t="str"/>
      <x:c r="AC460" t="str"/>
      <x:c r="AD460" t="str"/>
      <x:c r="AE460" t="str"/>
      <x:c r="AF460" t="str"/>
      <x:c r="AG460" t="str"/>
      <x:c r="AH460" t="str">
        <x:f>D460&amp;"|"&amp;UPPER(F460)&amp;"|"&amp;LEFT(B460,10)</x:f>
        <x:v>1366|SFMTA|2026-07-01</x:v>
      </x:c>
    </x:row>
    <x:row r="461">
      <x:c r="A461" s="22" t="n">
        <x:v>2071</x:v>
      </x:c>
      <x:c r="B461" t="str">
        <x:v>2024-01-06T00:00:00</x:v>
      </x:c>
      <x:c r="C461" t="str">
        <x:v>1367Y</x:v>
      </x:c>
      <x:c r="D461" t="str">
        <x:v>1367</x:v>
      </x:c>
      <x:c r="E461" t="str">
        <x:v>Special Assistant VIII</x:v>
      </x:c>
      <x:c r="F461" t="str">
        <x:v>COMMN</x:v>
      </x:c>
      <x:c r="G461" t="str">
        <x:v>44.75</x:v>
      </x:c>
      <x:c r="H461" t="str">
        <x:v>46.9875</x:v>
      </x:c>
      <x:c r="I461" t="str">
        <x:v>49.3625</x:v>
      </x:c>
      <x:c r="J461" t="str">
        <x:v>51.8125</x:v>
      </x:c>
      <x:c r="K461" t="str">
        <x:v>54.4</x:v>
      </x:c>
      <x:c r="L461" t="str"/>
      <x:c r="M461" t="str"/>
      <x:c r="N461" t="str"/>
      <x:c r="O461" t="str"/>
      <x:c r="P461" t="str"/>
      <x:c r="Q461" t="str"/>
      <x:c r="R461" t="str"/>
      <x:c r="S461" t="str"/>
      <x:c r="T461" t="str"/>
      <x:c r="U461" t="str"/>
      <x:c r="V461" t="str"/>
      <x:c r="W461" t="str"/>
      <x:c r="X461" t="str"/>
      <x:c r="Y461" t="str"/>
      <x:c r="Z461" t="str"/>
      <x:c r="AA461" t="str"/>
      <x:c r="AB461" t="str"/>
      <x:c r="AC461" t="str"/>
      <x:c r="AD461" t="str"/>
      <x:c r="AE461" t="str"/>
      <x:c r="AF461" t="str"/>
      <x:c r="AG461" t="str"/>
      <x:c r="AH461" t="str">
        <x:f>D461&amp;"|"&amp;UPPER(F461)&amp;"|"&amp;LEFT(B461,10)</x:f>
        <x:v>1367|COMMN|2024-01-06</x:v>
      </x:c>
    </x:row>
    <x:row r="462">
      <x:c r="A462" s="22" t="n">
        <x:v>2083</x:v>
      </x:c>
      <x:c r="B462" t="str">
        <x:v>2024-01-06T00:00:00</x:v>
      </x:c>
      <x:c r="C462" t="str">
        <x:v>1367Y</x:v>
      </x:c>
      <x:c r="D462" t="str">
        <x:v>1367</x:v>
      </x:c>
      <x:c r="E462" t="str">
        <x:v>Special Assistant VIII</x:v>
      </x:c>
      <x:c r="F462" t="str">
        <x:v>SFMTA</x:v>
      </x:c>
      <x:c r="G462" t="str">
        <x:v>44.75</x:v>
      </x:c>
      <x:c r="H462" t="str">
        <x:v>46.9875</x:v>
      </x:c>
      <x:c r="I462" t="str">
        <x:v>49.3625</x:v>
      </x:c>
      <x:c r="J462" t="str">
        <x:v>51.8125</x:v>
      </x:c>
      <x:c r="K462" t="str">
        <x:v>54.4</x:v>
      </x:c>
      <x:c r="L462" t="str"/>
      <x:c r="M462" t="str"/>
      <x:c r="N462" t="str"/>
      <x:c r="O462" t="str"/>
      <x:c r="P462" t="str"/>
      <x:c r="Q462" t="str"/>
      <x:c r="R462" t="str"/>
      <x:c r="S462" t="str"/>
      <x:c r="T462" t="str"/>
      <x:c r="U462" t="str"/>
      <x:c r="V462" t="str"/>
      <x:c r="W462" t="str"/>
      <x:c r="X462" t="str"/>
      <x:c r="Y462" t="str"/>
      <x:c r="Z462" t="str"/>
      <x:c r="AA462" t="str"/>
      <x:c r="AB462" t="str"/>
      <x:c r="AC462" t="str"/>
      <x:c r="AD462" t="str"/>
      <x:c r="AE462" t="str"/>
      <x:c r="AF462" t="str"/>
      <x:c r="AG462" t="str"/>
      <x:c r="AH462" t="str">
        <x:f>D462&amp;"|"&amp;UPPER(F462)&amp;"|"&amp;LEFT(B462,10)</x:f>
        <x:v>1367|SFMTA|2024-01-06</x:v>
      </x:c>
    </x:row>
    <x:row r="463">
      <x:c r="A463" s="22" t="n">
        <x:v>2072</x:v>
      </x:c>
      <x:c r="B463" t="str">
        <x:v>2024-07-01T00:00:00</x:v>
      </x:c>
      <x:c r="C463" t="str">
        <x:v>1367Z</x:v>
      </x:c>
      <x:c r="D463" t="str">
        <x:v>1367</x:v>
      </x:c>
      <x:c r="E463" t="str">
        <x:v>Special Assistant VIII</x:v>
      </x:c>
      <x:c r="F463" t="str">
        <x:v>COMMN</x:v>
      </x:c>
      <x:c r="G463" t="str">
        <x:v>45.425</x:v>
      </x:c>
      <x:c r="H463" t="str">
        <x:v>47.6875</x:v>
      </x:c>
      <x:c r="I463" t="str">
        <x:v>50.1</x:v>
      </x:c>
      <x:c r="J463" t="str">
        <x:v>52.5875</x:v>
      </x:c>
      <x:c r="K463" t="str">
        <x:v>55.2125</x:v>
      </x:c>
      <x:c r="L463" t="str"/>
      <x:c r="M463" t="str"/>
      <x:c r="N463" t="str"/>
      <x:c r="O463" t="str"/>
      <x:c r="P463" t="str"/>
      <x:c r="Q463" t="str"/>
      <x:c r="R463" t="str"/>
      <x:c r="S463" t="str"/>
      <x:c r="T463" t="str"/>
      <x:c r="U463" t="str"/>
      <x:c r="V463" t="str"/>
      <x:c r="W463" t="str"/>
      <x:c r="X463" t="str"/>
      <x:c r="Y463" t="str"/>
      <x:c r="Z463" t="str"/>
      <x:c r="AA463" t="str"/>
      <x:c r="AB463" t="str"/>
      <x:c r="AC463" t="str"/>
      <x:c r="AD463" t="str"/>
      <x:c r="AE463" t="str"/>
      <x:c r="AF463" t="str"/>
      <x:c r="AG463" t="str"/>
      <x:c r="AH463" t="str">
        <x:f>D463&amp;"|"&amp;UPPER(F463)&amp;"|"&amp;LEFT(B463,10)</x:f>
        <x:v>1367|COMMN|2024-07-01</x:v>
      </x:c>
    </x:row>
    <x:row r="464">
      <x:c r="A464" s="22" t="n">
        <x:v>2084</x:v>
      </x:c>
      <x:c r="B464" t="str">
        <x:v>2024-07-01T00:00:00</x:v>
      </x:c>
      <x:c r="C464" t="str">
        <x:v>1367Z</x:v>
      </x:c>
      <x:c r="D464" t="str">
        <x:v>1367</x:v>
      </x:c>
      <x:c r="E464" t="str">
        <x:v>Special Assistant VIII</x:v>
      </x:c>
      <x:c r="F464" t="str">
        <x:v>SFMTA</x:v>
      </x:c>
      <x:c r="G464" t="str">
        <x:v>45.425</x:v>
      </x:c>
      <x:c r="H464" t="str">
        <x:v>47.6875</x:v>
      </x:c>
      <x:c r="I464" t="str">
        <x:v>50.1</x:v>
      </x:c>
      <x:c r="J464" t="str">
        <x:v>52.5875</x:v>
      </x:c>
      <x:c r="K464" t="str">
        <x:v>55.2125</x:v>
      </x:c>
      <x:c r="L464" t="str"/>
      <x:c r="M464" t="str"/>
      <x:c r="N464" t="str"/>
      <x:c r="O464" t="str"/>
      <x:c r="P464" t="str"/>
      <x:c r="Q464" t="str"/>
      <x:c r="R464" t="str"/>
      <x:c r="S464" t="str"/>
      <x:c r="T464" t="str"/>
      <x:c r="U464" t="str"/>
      <x:c r="V464" t="str"/>
      <x:c r="W464" t="str"/>
      <x:c r="X464" t="str"/>
      <x:c r="Y464" t="str"/>
      <x:c r="Z464" t="str"/>
      <x:c r="AA464" t="str"/>
      <x:c r="AB464" t="str"/>
      <x:c r="AC464" t="str"/>
      <x:c r="AD464" t="str"/>
      <x:c r="AE464" t="str"/>
      <x:c r="AF464" t="str"/>
      <x:c r="AG464" t="str"/>
      <x:c r="AH464" t="str">
        <x:f>D464&amp;"|"&amp;UPPER(F464)&amp;"|"&amp;LEFT(B464,10)</x:f>
        <x:v>1367|SFMTA|2024-07-01</x:v>
      </x:c>
    </x:row>
    <x:row r="465">
      <x:c r="A465" s="22" t="n">
        <x:v>2073</x:v>
      </x:c>
      <x:c r="B465" t="str">
        <x:v>2025-01-04T00:00:00</x:v>
      </x:c>
      <x:c r="C465" t="str">
        <x:v>1367A</x:v>
      </x:c>
      <x:c r="D465" t="str">
        <x:v>1367</x:v>
      </x:c>
      <x:c r="E465" t="str">
        <x:v>Special Assistant VIII</x:v>
      </x:c>
      <x:c r="F465" t="str">
        <x:v>COMMN</x:v>
      </x:c>
      <x:c r="G465" t="str">
        <x:v>46.1125</x:v>
      </x:c>
      <x:c r="H465" t="str">
        <x:v>48.4</x:v>
      </x:c>
      <x:c r="I465" t="str">
        <x:v>50.85</x:v>
      </x:c>
      <x:c r="J465" t="str">
        <x:v>53.375</x:v>
      </x:c>
      <x:c r="K465" t="str">
        <x:v>56.0375</x:v>
      </x:c>
      <x:c r="L465" t="str"/>
      <x:c r="M465" t="str"/>
      <x:c r="N465" t="str"/>
      <x:c r="O465" t="str"/>
      <x:c r="P465" t="str"/>
      <x:c r="Q465" t="str"/>
      <x:c r="R465" t="str"/>
      <x:c r="S465" t="str"/>
      <x:c r="T465" t="str"/>
      <x:c r="U465" t="str"/>
      <x:c r="V465" t="str"/>
      <x:c r="W465" t="str"/>
      <x:c r="X465" t="str"/>
      <x:c r="Y465" t="str"/>
      <x:c r="Z465" t="str"/>
      <x:c r="AA465" t="str"/>
      <x:c r="AB465" t="str"/>
      <x:c r="AC465" t="str"/>
      <x:c r="AD465" t="str"/>
      <x:c r="AE465" t="str"/>
      <x:c r="AF465" t="str"/>
      <x:c r="AG465" t="str"/>
      <x:c r="AH465" t="str">
        <x:f>D465&amp;"|"&amp;UPPER(F465)&amp;"|"&amp;LEFT(B465,10)</x:f>
        <x:v>1367|COMMN|2025-01-04</x:v>
      </x:c>
    </x:row>
    <x:row r="466">
      <x:c r="A466" s="22" t="n">
        <x:v>2085</x:v>
      </x:c>
      <x:c r="B466" t="str">
        <x:v>2025-01-04T00:00:00</x:v>
      </x:c>
      <x:c r="C466" t="str">
        <x:v>1367A</x:v>
      </x:c>
      <x:c r="D466" t="str">
        <x:v>1367</x:v>
      </x:c>
      <x:c r="E466" t="str">
        <x:v>Special Assistant VIII</x:v>
      </x:c>
      <x:c r="F466" t="str">
        <x:v>SFMTA</x:v>
      </x:c>
      <x:c r="G466" t="str">
        <x:v>46.1125</x:v>
      </x:c>
      <x:c r="H466" t="str">
        <x:v>48.4</x:v>
      </x:c>
      <x:c r="I466" t="str">
        <x:v>50.85</x:v>
      </x:c>
      <x:c r="J466" t="str">
        <x:v>53.375</x:v>
      </x:c>
      <x:c r="K466" t="str">
        <x:v>56.0375</x:v>
      </x:c>
      <x:c r="L466" t="str"/>
      <x:c r="M466" t="str"/>
      <x:c r="N466" t="str"/>
      <x:c r="O466" t="str"/>
      <x:c r="P466" t="str"/>
      <x:c r="Q466" t="str"/>
      <x:c r="R466" t="str"/>
      <x:c r="S466" t="str"/>
      <x:c r="T466" t="str"/>
      <x:c r="U466" t="str"/>
      <x:c r="V466" t="str"/>
      <x:c r="W466" t="str"/>
      <x:c r="X466" t="str"/>
      <x:c r="Y466" t="str"/>
      <x:c r="Z466" t="str"/>
      <x:c r="AA466" t="str"/>
      <x:c r="AB466" t="str"/>
      <x:c r="AC466" t="str"/>
      <x:c r="AD466" t="str"/>
      <x:c r="AE466" t="str"/>
      <x:c r="AF466" t="str"/>
      <x:c r="AG466" t="str"/>
      <x:c r="AH466" t="str">
        <x:f>D466&amp;"|"&amp;UPPER(F466)&amp;"|"&amp;LEFT(B466,10)</x:f>
        <x:v>1367|SFMTA|2025-01-04</x:v>
      </x:c>
    </x:row>
    <x:row r="467">
      <x:c r="A467" s="22" t="n">
        <x:v>2074</x:v>
      </x:c>
      <x:c r="B467" t="str">
        <x:v>2025-07-01T00:00:00</x:v>
      </x:c>
      <x:c r="C467" t="str">
        <x:v>1367B</x:v>
      </x:c>
      <x:c r="D467" t="str">
        <x:v>1367</x:v>
      </x:c>
      <x:c r="E467" t="str">
        <x:v>Special Assistant 8</x:v>
      </x:c>
      <x:c r="F467" t="str">
        <x:v>COMMN</x:v>
      </x:c>
      <x:c r="G467" t="str">
        <x:v>47.0375</x:v>
      </x:c>
      <x:c r="H467" t="str">
        <x:v>49.375</x:v>
      </x:c>
      <x:c r="I467" t="str">
        <x:v>51.875</x:v>
      </x:c>
      <x:c r="J467" t="str">
        <x:v>54.45</x:v>
      </x:c>
      <x:c r="K467" t="str">
        <x:v>57.1625</x:v>
      </x:c>
      <x:c r="L467" t="str"/>
      <x:c r="M467" t="str"/>
      <x:c r="N467" t="str"/>
      <x:c r="O467" t="str"/>
      <x:c r="P467" t="str"/>
      <x:c r="Q467" t="str"/>
      <x:c r="R467" t="str"/>
      <x:c r="S467" t="str"/>
      <x:c r="T467" t="str"/>
      <x:c r="U467" t="str"/>
      <x:c r="V467" t="str"/>
      <x:c r="W467" t="str"/>
      <x:c r="X467" t="str"/>
      <x:c r="Y467" t="str"/>
      <x:c r="Z467" t="str"/>
      <x:c r="AA467" t="str"/>
      <x:c r="AB467" t="str"/>
      <x:c r="AC467" t="str"/>
      <x:c r="AD467" t="str"/>
      <x:c r="AE467" t="str"/>
      <x:c r="AF467" t="str"/>
      <x:c r="AG467" t="str"/>
      <x:c r="AH467" t="str">
        <x:f>D467&amp;"|"&amp;UPPER(F467)&amp;"|"&amp;LEFT(B467,10)</x:f>
        <x:v>1367|COMMN|2025-07-01</x:v>
      </x:c>
    </x:row>
    <x:row r="468">
      <x:c r="A468" s="22" t="n">
        <x:v>2086</x:v>
      </x:c>
      <x:c r="B468" t="str">
        <x:v>2025-07-01T00:00:00</x:v>
      </x:c>
      <x:c r="C468" t="str">
        <x:v>1367B</x:v>
      </x:c>
      <x:c r="D468" t="str">
        <x:v>1367</x:v>
      </x:c>
      <x:c r="E468" t="str">
        <x:v>Special Assistant 8</x:v>
      </x:c>
      <x:c r="F468" t="str">
        <x:v>SFMTA</x:v>
      </x:c>
      <x:c r="G468" t="str">
        <x:v>47.0375</x:v>
      </x:c>
      <x:c r="H468" t="str">
        <x:v>49.375</x:v>
      </x:c>
      <x:c r="I468" t="str">
        <x:v>51.875</x:v>
      </x:c>
      <x:c r="J468" t="str">
        <x:v>54.45</x:v>
      </x:c>
      <x:c r="K468" t="str">
        <x:v>57.1625</x:v>
      </x:c>
      <x:c r="L468" t="str"/>
      <x:c r="M468" t="str"/>
      <x:c r="N468" t="str"/>
      <x:c r="O468" t="str"/>
      <x:c r="P468" t="str"/>
      <x:c r="Q468" t="str"/>
      <x:c r="R468" t="str"/>
      <x:c r="S468" t="str"/>
      <x:c r="T468" t="str"/>
      <x:c r="U468" t="str"/>
      <x:c r="V468" t="str"/>
      <x:c r="W468" t="str"/>
      <x:c r="X468" t="str"/>
      <x:c r="Y468" t="str"/>
      <x:c r="Z468" t="str"/>
      <x:c r="AA468" t="str"/>
      <x:c r="AB468" t="str"/>
      <x:c r="AC468" t="str"/>
      <x:c r="AD468" t="str"/>
      <x:c r="AE468" t="str"/>
      <x:c r="AF468" t="str"/>
      <x:c r="AG468" t="str"/>
      <x:c r="AH468" t="str">
        <x:f>D468&amp;"|"&amp;UPPER(F468)&amp;"|"&amp;LEFT(B468,10)</x:f>
        <x:v>1367|SFMTA|2025-07-01</x:v>
      </x:c>
    </x:row>
    <x:row r="469">
      <x:c r="A469" s="22" t="n">
        <x:v>2075</x:v>
      </x:c>
      <x:c r="B469" t="str">
        <x:v>2026-01-03T00:00:00</x:v>
      </x:c>
      <x:c r="C469" t="str">
        <x:v>1367C</x:v>
      </x:c>
      <x:c r="D469" t="str">
        <x:v>1367</x:v>
      </x:c>
      <x:c r="E469" t="str">
        <x:v>Special Assistant 8</x:v>
      </x:c>
      <x:c r="F469" t="str">
        <x:v>COMMN</x:v>
      </x:c>
      <x:c r="G469" t="str">
        <x:v>47.7375</x:v>
      </x:c>
      <x:c r="H469" t="str">
        <x:v>50.1125</x:v>
      </x:c>
      <x:c r="I469" t="str">
        <x:v>52.65</x:v>
      </x:c>
      <x:c r="J469" t="str">
        <x:v>55.2625</x:v>
      </x:c>
      <x:c r="K469" t="str">
        <x:v>58.025</x:v>
      </x:c>
      <x:c r="L469" t="str"/>
      <x:c r="M469" t="str"/>
      <x:c r="N469" t="str"/>
      <x:c r="O469" t="str"/>
      <x:c r="P469" t="str"/>
      <x:c r="Q469" t="str"/>
      <x:c r="R469" t="str"/>
      <x:c r="S469" t="str"/>
      <x:c r="T469" t="str"/>
      <x:c r="U469" t="str"/>
      <x:c r="V469" t="str"/>
      <x:c r="W469" t="str"/>
      <x:c r="X469" t="str"/>
      <x:c r="Y469" t="str"/>
      <x:c r="Z469" t="str"/>
      <x:c r="AA469" t="str"/>
      <x:c r="AB469" t="str"/>
      <x:c r="AC469" t="str"/>
      <x:c r="AD469" t="str"/>
      <x:c r="AE469" t="str"/>
      <x:c r="AF469" t="str"/>
      <x:c r="AG469" t="str"/>
      <x:c r="AH469" t="str">
        <x:f>D469&amp;"|"&amp;UPPER(F469)&amp;"|"&amp;LEFT(B469,10)</x:f>
        <x:v>1367|COMMN|2026-01-03</x:v>
      </x:c>
    </x:row>
    <x:row r="470">
      <x:c r="A470" s="22" t="n">
        <x:v>2087</x:v>
      </x:c>
      <x:c r="B470" t="str">
        <x:v>2026-01-03T00:00:00</x:v>
      </x:c>
      <x:c r="C470" t="str">
        <x:v>1367C</x:v>
      </x:c>
      <x:c r="D470" t="str">
        <x:v>1367</x:v>
      </x:c>
      <x:c r="E470" t="str">
        <x:v>Special Assistant 8</x:v>
      </x:c>
      <x:c r="F470" t="str">
        <x:v>SFMTA</x:v>
      </x:c>
      <x:c r="G470" t="str">
        <x:v>47.7375</x:v>
      </x:c>
      <x:c r="H470" t="str">
        <x:v>50.1125</x:v>
      </x:c>
      <x:c r="I470" t="str">
        <x:v>52.65</x:v>
      </x:c>
      <x:c r="J470" t="str">
        <x:v>55.2625</x:v>
      </x:c>
      <x:c r="K470" t="str">
        <x:v>58.025</x:v>
      </x:c>
      <x:c r="L470" t="str"/>
      <x:c r="M470" t="str"/>
      <x:c r="N470" t="str"/>
      <x:c r="O470" t="str"/>
      <x:c r="P470" t="str"/>
      <x:c r="Q470" t="str"/>
      <x:c r="R470" t="str"/>
      <x:c r="S470" t="str"/>
      <x:c r="T470" t="str"/>
      <x:c r="U470" t="str"/>
      <x:c r="V470" t="str"/>
      <x:c r="W470" t="str"/>
      <x:c r="X470" t="str"/>
      <x:c r="Y470" t="str"/>
      <x:c r="Z470" t="str"/>
      <x:c r="AA470" t="str"/>
      <x:c r="AB470" t="str"/>
      <x:c r="AC470" t="str"/>
      <x:c r="AD470" t="str"/>
      <x:c r="AE470" t="str"/>
      <x:c r="AF470" t="str"/>
      <x:c r="AG470" t="str"/>
      <x:c r="AH470" t="str">
        <x:f>D470&amp;"|"&amp;UPPER(F470)&amp;"|"&amp;LEFT(B470,10)</x:f>
        <x:v>1367|SFMTA|2026-01-03</x:v>
      </x:c>
    </x:row>
    <x:row r="471">
      <x:c r="A471" s="22" t="n">
        <x:v>2076</x:v>
      </x:c>
      <x:c r="B471" t="str">
        <x:v>2026-07-01T00:00:00</x:v>
      </x:c>
      <x:c r="C471" t="str">
        <x:v>1367D</x:v>
      </x:c>
      <x:c r="D471" t="str">
        <x:v>1367</x:v>
      </x:c>
      <x:c r="E471" t="str">
        <x:v>Special Assistant 8</x:v>
      </x:c>
      <x:c r="F471" t="str">
        <x:v>COMMN</x:v>
      </x:c>
      <x:c r="G471" t="str">
        <x:v>48.6875</x:v>
      </x:c>
      <x:c r="H471" t="str">
        <x:v>51.1125</x:v>
      </x:c>
      <x:c r="I471" t="str">
        <x:v>53.7</x:v>
      </x:c>
      <x:c r="J471" t="str">
        <x:v>56.3625</x:v>
      </x:c>
      <x:c r="K471" t="str">
        <x:v>59.1875</x:v>
      </x:c>
      <x:c r="L471" t="str"/>
      <x:c r="M471" t="str"/>
      <x:c r="N471" t="str"/>
      <x:c r="O471" t="str"/>
      <x:c r="P471" t="str"/>
      <x:c r="Q471" t="str"/>
      <x:c r="R471" t="str"/>
      <x:c r="S471" t="str"/>
      <x:c r="T471" t="str"/>
      <x:c r="U471" t="str"/>
      <x:c r="V471" t="str"/>
      <x:c r="W471" t="str"/>
      <x:c r="X471" t="str"/>
      <x:c r="Y471" t="str"/>
      <x:c r="Z471" t="str"/>
      <x:c r="AA471" t="str"/>
      <x:c r="AB471" t="str"/>
      <x:c r="AC471" t="str"/>
      <x:c r="AD471" t="str"/>
      <x:c r="AE471" t="str"/>
      <x:c r="AF471" t="str"/>
      <x:c r="AG471" t="str"/>
      <x:c r="AH471" t="str">
        <x:f>D471&amp;"|"&amp;UPPER(F471)&amp;"|"&amp;LEFT(B471,10)</x:f>
        <x:v>1367|COMMN|2026-07-01</x:v>
      </x:c>
    </x:row>
    <x:row r="472">
      <x:c r="A472" s="22" t="n">
        <x:v>2088</x:v>
      </x:c>
      <x:c r="B472" t="str">
        <x:v>2026-07-01T00:00:00</x:v>
      </x:c>
      <x:c r="C472" t="str">
        <x:v>1367D</x:v>
      </x:c>
      <x:c r="D472" t="str">
        <x:v>1367</x:v>
      </x:c>
      <x:c r="E472" t="str">
        <x:v>Special Assistant 8</x:v>
      </x:c>
      <x:c r="F472" t="str">
        <x:v>SFMTA</x:v>
      </x:c>
      <x:c r="G472" t="str">
        <x:v>48.6875</x:v>
      </x:c>
      <x:c r="H472" t="str">
        <x:v>51.1125</x:v>
      </x:c>
      <x:c r="I472" t="str">
        <x:v>53.7</x:v>
      </x:c>
      <x:c r="J472" t="str">
        <x:v>56.3625</x:v>
      </x:c>
      <x:c r="K472" t="str">
        <x:v>59.1875</x:v>
      </x:c>
      <x:c r="L472" t="str"/>
      <x:c r="M472" t="str"/>
      <x:c r="N472" t="str"/>
      <x:c r="O472" t="str"/>
      <x:c r="P472" t="str"/>
      <x:c r="Q472" t="str"/>
      <x:c r="R472" t="str"/>
      <x:c r="S472" t="str"/>
      <x:c r="T472" t="str"/>
      <x:c r="U472" t="str"/>
      <x:c r="V472" t="str"/>
      <x:c r="W472" t="str"/>
      <x:c r="X472" t="str"/>
      <x:c r="Y472" t="str"/>
      <x:c r="Z472" t="str"/>
      <x:c r="AA472" t="str"/>
      <x:c r="AB472" t="str"/>
      <x:c r="AC472" t="str"/>
      <x:c r="AD472" t="str"/>
      <x:c r="AE472" t="str"/>
      <x:c r="AF472" t="str"/>
      <x:c r="AG472" t="str"/>
      <x:c r="AH472" t="str">
        <x:f>D472&amp;"|"&amp;UPPER(F472)&amp;"|"&amp;LEFT(B472,10)</x:f>
        <x:v>1367|SFMTA|2026-07-01</x:v>
      </x:c>
    </x:row>
    <x:row r="473">
      <x:c r="A473" s="22" t="n">
        <x:v>2095</x:v>
      </x:c>
      <x:c r="B473" t="str">
        <x:v>2024-01-06T00:00:00</x:v>
      </x:c>
      <x:c r="C473" t="str">
        <x:v>1368Y</x:v>
      </x:c>
      <x:c r="D473" t="str">
        <x:v>1368</x:v>
      </x:c>
      <x:c r="E473" t="str">
        <x:v>Special Assistant IX</x:v>
      </x:c>
      <x:c r="F473" t="str">
        <x:v>COMMN</x:v>
      </x:c>
      <x:c r="G473" t="str">
        <x:v>48.15</x:v>
      </x:c>
      <x:c r="H473" t="str">
        <x:v>50.5875</x:v>
      </x:c>
      <x:c r="I473" t="str">
        <x:v>53.1</x:v>
      </x:c>
      <x:c r="J473" t="str">
        <x:v>55.7375</x:v>
      </x:c>
      <x:c r="K473" t="str">
        <x:v>58.525</x:v>
      </x:c>
      <x:c r="L473" t="str"/>
      <x:c r="M473" t="str"/>
      <x:c r="N473" t="str"/>
      <x:c r="O473" t="str"/>
      <x:c r="P473" t="str"/>
      <x:c r="Q473" t="str"/>
      <x:c r="R473" t="str"/>
      <x:c r="S473" t="str"/>
      <x:c r="T473" t="str"/>
      <x:c r="U473" t="str"/>
      <x:c r="V473" t="str"/>
      <x:c r="W473" t="str"/>
      <x:c r="X473" t="str"/>
      <x:c r="Y473" t="str"/>
      <x:c r="Z473" t="str"/>
      <x:c r="AA473" t="str"/>
      <x:c r="AB473" t="str"/>
      <x:c r="AC473" t="str"/>
      <x:c r="AD473" t="str"/>
      <x:c r="AE473" t="str"/>
      <x:c r="AF473" t="str"/>
      <x:c r="AG473" t="str"/>
      <x:c r="AH473" t="str">
        <x:f>D473&amp;"|"&amp;UPPER(F473)&amp;"|"&amp;LEFT(B473,10)</x:f>
        <x:v>1368|COMMN|2024-01-06</x:v>
      </x:c>
    </x:row>
    <x:row r="474">
      <x:c r="A474" s="22" t="n">
        <x:v>2107</x:v>
      </x:c>
      <x:c r="B474" t="str">
        <x:v>2024-01-06T00:00:00</x:v>
      </x:c>
      <x:c r="C474" t="str">
        <x:v>1368Y</x:v>
      </x:c>
      <x:c r="D474" t="str">
        <x:v>1368</x:v>
      </x:c>
      <x:c r="E474" t="str">
        <x:v>Special Assistant IX</x:v>
      </x:c>
      <x:c r="F474" t="str">
        <x:v>SFMTA</x:v>
      </x:c>
      <x:c r="G474" t="str">
        <x:v>48.15</x:v>
      </x:c>
      <x:c r="H474" t="str">
        <x:v>50.5875</x:v>
      </x:c>
      <x:c r="I474" t="str">
        <x:v>53.1</x:v>
      </x:c>
      <x:c r="J474" t="str">
        <x:v>55.7375</x:v>
      </x:c>
      <x:c r="K474" t="str">
        <x:v>58.525</x:v>
      </x:c>
      <x:c r="L474" t="str"/>
      <x:c r="M474" t="str"/>
      <x:c r="N474" t="str"/>
      <x:c r="O474" t="str"/>
      <x:c r="P474" t="str"/>
      <x:c r="Q474" t="str"/>
      <x:c r="R474" t="str"/>
      <x:c r="S474" t="str"/>
      <x:c r="T474" t="str"/>
      <x:c r="U474" t="str"/>
      <x:c r="V474" t="str"/>
      <x:c r="W474" t="str"/>
      <x:c r="X474" t="str"/>
      <x:c r="Y474" t="str"/>
      <x:c r="Z474" t="str"/>
      <x:c r="AA474" t="str"/>
      <x:c r="AB474" t="str"/>
      <x:c r="AC474" t="str"/>
      <x:c r="AD474" t="str"/>
      <x:c r="AE474" t="str"/>
      <x:c r="AF474" t="str"/>
      <x:c r="AG474" t="str"/>
      <x:c r="AH474" t="str">
        <x:f>D474&amp;"|"&amp;UPPER(F474)&amp;"|"&amp;LEFT(B474,10)</x:f>
        <x:v>1368|SFMTA|2024-01-06</x:v>
      </x:c>
    </x:row>
    <x:row r="475">
      <x:c r="A475" s="22" t="n">
        <x:v>2096</x:v>
      </x:c>
      <x:c r="B475" t="str">
        <x:v>2024-07-01T00:00:00</x:v>
      </x:c>
      <x:c r="C475" t="str">
        <x:v>1368Z</x:v>
      </x:c>
      <x:c r="D475" t="str">
        <x:v>1368</x:v>
      </x:c>
      <x:c r="E475" t="str">
        <x:v>Special Assistant IX</x:v>
      </x:c>
      <x:c r="F475" t="str">
        <x:v>COMMN</x:v>
      </x:c>
      <x:c r="G475" t="str">
        <x:v>48.875</x:v>
      </x:c>
      <x:c r="H475" t="str">
        <x:v>51.35</x:v>
      </x:c>
      <x:c r="I475" t="str">
        <x:v>53.9</x:v>
      </x:c>
      <x:c r="J475" t="str">
        <x:v>56.575</x:v>
      </x:c>
      <x:c r="K475" t="str">
        <x:v>59.4</x:v>
      </x:c>
      <x:c r="L475" t="str"/>
      <x:c r="M475" t="str"/>
      <x:c r="N475" t="str"/>
      <x:c r="O475" t="str"/>
      <x:c r="P475" t="str"/>
      <x:c r="Q475" t="str"/>
      <x:c r="R475" t="str"/>
      <x:c r="S475" t="str"/>
      <x:c r="T475" t="str"/>
      <x:c r="U475" t="str"/>
      <x:c r="V475" t="str"/>
      <x:c r="W475" t="str"/>
      <x:c r="X475" t="str"/>
      <x:c r="Y475" t="str"/>
      <x:c r="Z475" t="str"/>
      <x:c r="AA475" t="str"/>
      <x:c r="AB475" t="str"/>
      <x:c r="AC475" t="str"/>
      <x:c r="AD475" t="str"/>
      <x:c r="AE475" t="str"/>
      <x:c r="AF475" t="str"/>
      <x:c r="AG475" t="str"/>
      <x:c r="AH475" t="str">
        <x:f>D475&amp;"|"&amp;UPPER(F475)&amp;"|"&amp;LEFT(B475,10)</x:f>
        <x:v>1368|COMMN|2024-07-01</x:v>
      </x:c>
    </x:row>
    <x:row r="476">
      <x:c r="A476" s="22" t="n">
        <x:v>2108</x:v>
      </x:c>
      <x:c r="B476" t="str">
        <x:v>2024-07-01T00:00:00</x:v>
      </x:c>
      <x:c r="C476" t="str">
        <x:v>1368Z</x:v>
      </x:c>
      <x:c r="D476" t="str">
        <x:v>1368</x:v>
      </x:c>
      <x:c r="E476" t="str">
        <x:v>Special Assistant IX</x:v>
      </x:c>
      <x:c r="F476" t="str">
        <x:v>SFMTA</x:v>
      </x:c>
      <x:c r="G476" t="str">
        <x:v>48.875</x:v>
      </x:c>
      <x:c r="H476" t="str">
        <x:v>51.35</x:v>
      </x:c>
      <x:c r="I476" t="str">
        <x:v>53.9</x:v>
      </x:c>
      <x:c r="J476" t="str">
        <x:v>56.575</x:v>
      </x:c>
      <x:c r="K476" t="str">
        <x:v>59.4</x:v>
      </x:c>
      <x:c r="L476" t="str"/>
      <x:c r="M476" t="str"/>
      <x:c r="N476" t="str"/>
      <x:c r="O476" t="str"/>
      <x:c r="P476" t="str"/>
      <x:c r="Q476" t="str"/>
      <x:c r="R476" t="str"/>
      <x:c r="S476" t="str"/>
      <x:c r="T476" t="str"/>
      <x:c r="U476" t="str"/>
      <x:c r="V476" t="str"/>
      <x:c r="W476" t="str"/>
      <x:c r="X476" t="str"/>
      <x:c r="Y476" t="str"/>
      <x:c r="Z476" t="str"/>
      <x:c r="AA476" t="str"/>
      <x:c r="AB476" t="str"/>
      <x:c r="AC476" t="str"/>
      <x:c r="AD476" t="str"/>
      <x:c r="AE476" t="str"/>
      <x:c r="AF476" t="str"/>
      <x:c r="AG476" t="str"/>
      <x:c r="AH476" t="str">
        <x:f>D476&amp;"|"&amp;UPPER(F476)&amp;"|"&amp;LEFT(B476,10)</x:f>
        <x:v>1368|SFMTA|2024-07-01</x:v>
      </x:c>
    </x:row>
    <x:row r="477">
      <x:c r="A477" s="22" t="n">
        <x:v>2097</x:v>
      </x:c>
      <x:c r="B477" t="str">
        <x:v>2025-01-04T00:00:00</x:v>
      </x:c>
      <x:c r="C477" t="str">
        <x:v>1368A</x:v>
      </x:c>
      <x:c r="D477" t="str">
        <x:v>1368</x:v>
      </x:c>
      <x:c r="E477" t="str">
        <x:v>Special Assistant IX</x:v>
      </x:c>
      <x:c r="F477" t="str">
        <x:v>COMMN</x:v>
      </x:c>
      <x:c r="G477" t="str">
        <x:v>49.6125</x:v>
      </x:c>
      <x:c r="H477" t="str">
        <x:v>52.125</x:v>
      </x:c>
      <x:c r="I477" t="str">
        <x:v>54.7125</x:v>
      </x:c>
      <x:c r="J477" t="str">
        <x:v>57.425</x:v>
      </x:c>
      <x:c r="K477" t="str">
        <x:v>60.2875</x:v>
      </x:c>
      <x:c r="L477" t="str"/>
      <x:c r="M477" t="str"/>
      <x:c r="N477" t="str"/>
      <x:c r="O477" t="str"/>
      <x:c r="P477" t="str"/>
      <x:c r="Q477" t="str"/>
      <x:c r="R477" t="str"/>
      <x:c r="S477" t="str"/>
      <x:c r="T477" t="str"/>
      <x:c r="U477" t="str"/>
      <x:c r="V477" t="str"/>
      <x:c r="W477" t="str"/>
      <x:c r="X477" t="str"/>
      <x:c r="Y477" t="str"/>
      <x:c r="Z477" t="str"/>
      <x:c r="AA477" t="str"/>
      <x:c r="AB477" t="str"/>
      <x:c r="AC477" t="str"/>
      <x:c r="AD477" t="str"/>
      <x:c r="AE477" t="str"/>
      <x:c r="AF477" t="str"/>
      <x:c r="AG477" t="str"/>
      <x:c r="AH477" t="str">
        <x:f>D477&amp;"|"&amp;UPPER(F477)&amp;"|"&amp;LEFT(B477,10)</x:f>
        <x:v>1368|COMMN|2025-01-04</x:v>
      </x:c>
    </x:row>
    <x:row r="478">
      <x:c r="A478" s="22" t="n">
        <x:v>2109</x:v>
      </x:c>
      <x:c r="B478" t="str">
        <x:v>2025-01-04T00:00:00</x:v>
      </x:c>
      <x:c r="C478" t="str">
        <x:v>1368A</x:v>
      </x:c>
      <x:c r="D478" t="str">
        <x:v>1368</x:v>
      </x:c>
      <x:c r="E478" t="str">
        <x:v>Special Assistant IX</x:v>
      </x:c>
      <x:c r="F478" t="str">
        <x:v>SFMTA</x:v>
      </x:c>
      <x:c r="G478" t="str">
        <x:v>49.6125</x:v>
      </x:c>
      <x:c r="H478" t="str">
        <x:v>52.125</x:v>
      </x:c>
      <x:c r="I478" t="str">
        <x:v>54.7125</x:v>
      </x:c>
      <x:c r="J478" t="str">
        <x:v>57.425</x:v>
      </x:c>
      <x:c r="K478" t="str">
        <x:v>60.2875</x:v>
      </x:c>
      <x:c r="L478" t="str"/>
      <x:c r="M478" t="str"/>
      <x:c r="N478" t="str"/>
      <x:c r="O478" t="str"/>
      <x:c r="P478" t="str"/>
      <x:c r="Q478" t="str"/>
      <x:c r="R478" t="str"/>
      <x:c r="S478" t="str"/>
      <x:c r="T478" t="str"/>
      <x:c r="U478" t="str"/>
      <x:c r="V478" t="str"/>
      <x:c r="W478" t="str"/>
      <x:c r="X478" t="str"/>
      <x:c r="Y478" t="str"/>
      <x:c r="Z478" t="str"/>
      <x:c r="AA478" t="str"/>
      <x:c r="AB478" t="str"/>
      <x:c r="AC478" t="str"/>
      <x:c r="AD478" t="str"/>
      <x:c r="AE478" t="str"/>
      <x:c r="AF478" t="str"/>
      <x:c r="AG478" t="str"/>
      <x:c r="AH478" t="str">
        <x:f>D478&amp;"|"&amp;UPPER(F478)&amp;"|"&amp;LEFT(B478,10)</x:f>
        <x:v>1368|SFMTA|2025-01-04</x:v>
      </x:c>
    </x:row>
    <x:row r="479">
      <x:c r="A479" s="22" t="n">
        <x:v>2098</x:v>
      </x:c>
      <x:c r="B479" t="str">
        <x:v>2025-07-01T00:00:00</x:v>
      </x:c>
      <x:c r="C479" t="str">
        <x:v>1368B</x:v>
      </x:c>
      <x:c r="D479" t="str">
        <x:v>1368</x:v>
      </x:c>
      <x:c r="E479" t="str">
        <x:v>Special Assistant 9</x:v>
      </x:c>
      <x:c r="F479" t="str">
        <x:v>COMMN</x:v>
      </x:c>
      <x:c r="G479" t="str">
        <x:v>50.6125</x:v>
      </x:c>
      <x:c r="H479" t="str">
        <x:v>53.175</x:v>
      </x:c>
      <x:c r="I479" t="str">
        <x:v>55.8125</x:v>
      </x:c>
      <x:c r="J479" t="str">
        <x:v>58.575</x:v>
      </x:c>
      <x:c r="K479" t="str">
        <x:v>61.5</x:v>
      </x:c>
      <x:c r="L479" t="str"/>
      <x:c r="M479" t="str"/>
      <x:c r="N479" t="str"/>
      <x:c r="O479" t="str"/>
      <x:c r="P479" t="str"/>
      <x:c r="Q479" t="str"/>
      <x:c r="R479" t="str"/>
      <x:c r="S479" t="str"/>
      <x:c r="T479" t="str"/>
      <x:c r="U479" t="str"/>
      <x:c r="V479" t="str"/>
      <x:c r="W479" t="str"/>
      <x:c r="X479" t="str"/>
      <x:c r="Y479" t="str"/>
      <x:c r="Z479" t="str"/>
      <x:c r="AA479" t="str"/>
      <x:c r="AB479" t="str"/>
      <x:c r="AC479" t="str"/>
      <x:c r="AD479" t="str"/>
      <x:c r="AE479" t="str"/>
      <x:c r="AF479" t="str"/>
      <x:c r="AG479" t="str"/>
      <x:c r="AH479" t="str">
        <x:f>D479&amp;"|"&amp;UPPER(F479)&amp;"|"&amp;LEFT(B479,10)</x:f>
        <x:v>1368|COMMN|2025-07-01</x:v>
      </x:c>
    </x:row>
    <x:row r="480">
      <x:c r="A480" s="22" t="n">
        <x:v>2110</x:v>
      </x:c>
      <x:c r="B480" t="str">
        <x:v>2025-07-01T00:00:00</x:v>
      </x:c>
      <x:c r="C480" t="str">
        <x:v>1368B</x:v>
      </x:c>
      <x:c r="D480" t="str">
        <x:v>1368</x:v>
      </x:c>
      <x:c r="E480" t="str">
        <x:v>Special Assistant 9</x:v>
      </x:c>
      <x:c r="F480" t="str">
        <x:v>SFMTA</x:v>
      </x:c>
      <x:c r="G480" t="str">
        <x:v>50.6125</x:v>
      </x:c>
      <x:c r="H480" t="str">
        <x:v>53.175</x:v>
      </x:c>
      <x:c r="I480" t="str">
        <x:v>55.8125</x:v>
      </x:c>
      <x:c r="J480" t="str">
        <x:v>58.575</x:v>
      </x:c>
      <x:c r="K480" t="str">
        <x:v>61.5</x:v>
      </x:c>
      <x:c r="L480" t="str"/>
      <x:c r="M480" t="str"/>
      <x:c r="N480" t="str"/>
      <x:c r="O480" t="str"/>
      <x:c r="P480" t="str"/>
      <x:c r="Q480" t="str"/>
      <x:c r="R480" t="str"/>
      <x:c r="S480" t="str"/>
      <x:c r="T480" t="str"/>
      <x:c r="U480" t="str"/>
      <x:c r="V480" t="str"/>
      <x:c r="W480" t="str"/>
      <x:c r="X480" t="str"/>
      <x:c r="Y480" t="str"/>
      <x:c r="Z480" t="str"/>
      <x:c r="AA480" t="str"/>
      <x:c r="AB480" t="str"/>
      <x:c r="AC480" t="str"/>
      <x:c r="AD480" t="str"/>
      <x:c r="AE480" t="str"/>
      <x:c r="AF480" t="str"/>
      <x:c r="AG480" t="str"/>
      <x:c r="AH480" t="str">
        <x:f>D480&amp;"|"&amp;UPPER(F480)&amp;"|"&amp;LEFT(B480,10)</x:f>
        <x:v>1368|SFMTA|2025-07-01</x:v>
      </x:c>
    </x:row>
    <x:row r="481">
      <x:c r="A481" s="22" t="n">
        <x:v>2099</x:v>
      </x:c>
      <x:c r="B481" t="str">
        <x:v>2026-01-03T00:00:00</x:v>
      </x:c>
      <x:c r="C481" t="str">
        <x:v>1368C</x:v>
      </x:c>
      <x:c r="D481" t="str">
        <x:v>1368</x:v>
      </x:c>
      <x:c r="E481" t="str">
        <x:v>Special Assistant 9</x:v>
      </x:c>
      <x:c r="F481" t="str">
        <x:v>COMMN</x:v>
      </x:c>
      <x:c r="G481" t="str">
        <x:v>51.375</x:v>
      </x:c>
      <x:c r="H481" t="str">
        <x:v>53.975</x:v>
      </x:c>
      <x:c r="I481" t="str">
        <x:v>56.65</x:v>
      </x:c>
      <x:c r="J481" t="str">
        <x:v>59.45</x:v>
      </x:c>
      <x:c r="K481" t="str">
        <x:v>62.425</x:v>
      </x:c>
      <x:c r="L481" t="str"/>
      <x:c r="M481" t="str"/>
      <x:c r="N481" t="str"/>
      <x:c r="O481" t="str"/>
      <x:c r="P481" t="str"/>
      <x:c r="Q481" t="str"/>
      <x:c r="R481" t="str"/>
      <x:c r="S481" t="str"/>
      <x:c r="T481" t="str"/>
      <x:c r="U481" t="str"/>
      <x:c r="V481" t="str"/>
      <x:c r="W481" t="str"/>
      <x:c r="X481" t="str"/>
      <x:c r="Y481" t="str"/>
      <x:c r="Z481" t="str"/>
      <x:c r="AA481" t="str"/>
      <x:c r="AB481" t="str"/>
      <x:c r="AC481" t="str"/>
      <x:c r="AD481" t="str"/>
      <x:c r="AE481" t="str"/>
      <x:c r="AF481" t="str"/>
      <x:c r="AG481" t="str"/>
      <x:c r="AH481" t="str">
        <x:f>D481&amp;"|"&amp;UPPER(F481)&amp;"|"&amp;LEFT(B481,10)</x:f>
        <x:v>1368|COMMN|2026-01-03</x:v>
      </x:c>
    </x:row>
    <x:row r="482">
      <x:c r="A482" s="22" t="n">
        <x:v>2111</x:v>
      </x:c>
      <x:c r="B482" t="str">
        <x:v>2026-01-03T00:00:00</x:v>
      </x:c>
      <x:c r="C482" t="str">
        <x:v>1368C</x:v>
      </x:c>
      <x:c r="D482" t="str">
        <x:v>1368</x:v>
      </x:c>
      <x:c r="E482" t="str">
        <x:v>Special Assistant 9</x:v>
      </x:c>
      <x:c r="F482" t="str">
        <x:v>SFMTA</x:v>
      </x:c>
      <x:c r="G482" t="str">
        <x:v>51.375</x:v>
      </x:c>
      <x:c r="H482" t="str">
        <x:v>53.975</x:v>
      </x:c>
      <x:c r="I482" t="str">
        <x:v>56.65</x:v>
      </x:c>
      <x:c r="J482" t="str">
        <x:v>59.45</x:v>
      </x:c>
      <x:c r="K482" t="str">
        <x:v>62.425</x:v>
      </x:c>
      <x:c r="L482" t="str"/>
      <x:c r="M482" t="str"/>
      <x:c r="N482" t="str"/>
      <x:c r="O482" t="str"/>
      <x:c r="P482" t="str"/>
      <x:c r="Q482" t="str"/>
      <x:c r="R482" t="str"/>
      <x:c r="S482" t="str"/>
      <x:c r="T482" t="str"/>
      <x:c r="U482" t="str"/>
      <x:c r="V482" t="str"/>
      <x:c r="W482" t="str"/>
      <x:c r="X482" t="str"/>
      <x:c r="Y482" t="str"/>
      <x:c r="Z482" t="str"/>
      <x:c r="AA482" t="str"/>
      <x:c r="AB482" t="str"/>
      <x:c r="AC482" t="str"/>
      <x:c r="AD482" t="str"/>
      <x:c r="AE482" t="str"/>
      <x:c r="AF482" t="str"/>
      <x:c r="AG482" t="str"/>
      <x:c r="AH482" t="str">
        <x:f>D482&amp;"|"&amp;UPPER(F482)&amp;"|"&amp;LEFT(B482,10)</x:f>
        <x:v>1368|SFMTA|2026-01-03</x:v>
      </x:c>
    </x:row>
    <x:row r="483">
      <x:c r="A483" s="22" t="n">
        <x:v>2100</x:v>
      </x:c>
      <x:c r="B483" t="str">
        <x:v>2026-07-01T00:00:00</x:v>
      </x:c>
      <x:c r="C483" t="str">
        <x:v>1368D</x:v>
      </x:c>
      <x:c r="D483" t="str">
        <x:v>1368</x:v>
      </x:c>
      <x:c r="E483" t="str">
        <x:v>Special Assistant 9</x:v>
      </x:c>
      <x:c r="F483" t="str">
        <x:v>COMMN</x:v>
      </x:c>
      <x:c r="G483" t="str">
        <x:v>52.4</x:v>
      </x:c>
      <x:c r="H483" t="str">
        <x:v>55.05</x:v>
      </x:c>
      <x:c r="I483" t="str">
        <x:v>57.7875</x:v>
      </x:c>
      <x:c r="J483" t="str">
        <x:v>60.6375</x:v>
      </x:c>
      <x:c r="K483" t="str">
        <x:v>63.675</x:v>
      </x:c>
      <x:c r="L483" t="str"/>
      <x:c r="M483" t="str"/>
      <x:c r="N483" t="str"/>
      <x:c r="O483" t="str"/>
      <x:c r="P483" t="str"/>
      <x:c r="Q483" t="str"/>
      <x:c r="R483" t="str"/>
      <x:c r="S483" t="str"/>
      <x:c r="T483" t="str"/>
      <x:c r="U483" t="str"/>
      <x:c r="V483" t="str"/>
      <x:c r="W483" t="str"/>
      <x:c r="X483" t="str"/>
      <x:c r="Y483" t="str"/>
      <x:c r="Z483" t="str"/>
      <x:c r="AA483" t="str"/>
      <x:c r="AB483" t="str"/>
      <x:c r="AC483" t="str"/>
      <x:c r="AD483" t="str"/>
      <x:c r="AE483" t="str"/>
      <x:c r="AF483" t="str"/>
      <x:c r="AG483" t="str"/>
      <x:c r="AH483" t="str">
        <x:f>D483&amp;"|"&amp;UPPER(F483)&amp;"|"&amp;LEFT(B483,10)</x:f>
        <x:v>1368|COMMN|2026-07-01</x:v>
      </x:c>
    </x:row>
    <x:row r="484">
      <x:c r="A484" s="22" t="n">
        <x:v>2112</x:v>
      </x:c>
      <x:c r="B484" t="str">
        <x:v>2026-07-01T00:00:00</x:v>
      </x:c>
      <x:c r="C484" t="str">
        <x:v>1368D</x:v>
      </x:c>
      <x:c r="D484" t="str">
        <x:v>1368</x:v>
      </x:c>
      <x:c r="E484" t="str">
        <x:v>Special Assistant 9</x:v>
      </x:c>
      <x:c r="F484" t="str">
        <x:v>SFMTA</x:v>
      </x:c>
      <x:c r="G484" t="str">
        <x:v>52.4</x:v>
      </x:c>
      <x:c r="H484" t="str">
        <x:v>55.05</x:v>
      </x:c>
      <x:c r="I484" t="str">
        <x:v>57.7875</x:v>
      </x:c>
      <x:c r="J484" t="str">
        <x:v>60.6375</x:v>
      </x:c>
      <x:c r="K484" t="str">
        <x:v>63.675</x:v>
      </x:c>
      <x:c r="L484" t="str"/>
      <x:c r="M484" t="str"/>
      <x:c r="N484" t="str"/>
      <x:c r="O484" t="str"/>
      <x:c r="P484" t="str"/>
      <x:c r="Q484" t="str"/>
      <x:c r="R484" t="str"/>
      <x:c r="S484" t="str"/>
      <x:c r="T484" t="str"/>
      <x:c r="U484" t="str"/>
      <x:c r="V484" t="str"/>
      <x:c r="W484" t="str"/>
      <x:c r="X484" t="str"/>
      <x:c r="Y484" t="str"/>
      <x:c r="Z484" t="str"/>
      <x:c r="AA484" t="str"/>
      <x:c r="AB484" t="str"/>
      <x:c r="AC484" t="str"/>
      <x:c r="AD484" t="str"/>
      <x:c r="AE484" t="str"/>
      <x:c r="AF484" t="str"/>
      <x:c r="AG484" t="str"/>
      <x:c r="AH484" t="str">
        <x:f>D484&amp;"|"&amp;UPPER(F484)&amp;"|"&amp;LEFT(B484,10)</x:f>
        <x:v>1368|SFMTA|2026-07-01</x:v>
      </x:c>
    </x:row>
    <x:row r="485">
      <x:c r="A485" s="22" t="n">
        <x:v>2119</x:v>
      </x:c>
      <x:c r="B485" t="str">
        <x:v>2024-01-06T00:00:00</x:v>
      </x:c>
      <x:c r="C485" t="str">
        <x:v>1369Y</x:v>
      </x:c>
      <x:c r="D485" t="str">
        <x:v>1369</x:v>
      </x:c>
      <x:c r="E485" t="str">
        <x:v>Special Assistant X</x:v>
      </x:c>
      <x:c r="F485" t="str">
        <x:v>COMMN</x:v>
      </x:c>
      <x:c r="G485" t="str">
        <x:v>52.1</x:v>
      </x:c>
      <x:c r="H485" t="str">
        <x:v>54.6875</x:v>
      </x:c>
      <x:c r="I485" t="str">
        <x:v>57.425</x:v>
      </x:c>
      <x:c r="J485" t="str">
        <x:v>60.2875</x:v>
      </x:c>
      <x:c r="K485" t="str">
        <x:v>63.275</x:v>
      </x:c>
      <x:c r="L485" t="str"/>
      <x:c r="M485" t="str"/>
      <x:c r="N485" t="str"/>
      <x:c r="O485" t="str"/>
      <x:c r="P485" t="str"/>
      <x:c r="Q485" t="str"/>
      <x:c r="R485" t="str"/>
      <x:c r="S485" t="str"/>
      <x:c r="T485" t="str"/>
      <x:c r="U485" t="str"/>
      <x:c r="V485" t="str"/>
      <x:c r="W485" t="str"/>
      <x:c r="X485" t="str"/>
      <x:c r="Y485" t="str"/>
      <x:c r="Z485" t="str"/>
      <x:c r="AA485" t="str"/>
      <x:c r="AB485" t="str"/>
      <x:c r="AC485" t="str"/>
      <x:c r="AD485" t="str"/>
      <x:c r="AE485" t="str"/>
      <x:c r="AF485" t="str"/>
      <x:c r="AG485" t="str"/>
      <x:c r="AH485" t="str">
        <x:f>D485&amp;"|"&amp;UPPER(F485)&amp;"|"&amp;LEFT(B485,10)</x:f>
        <x:v>1369|COMMN|2024-01-06</x:v>
      </x:c>
    </x:row>
    <x:row r="486">
      <x:c r="A486" s="22" t="n">
        <x:v>2131</x:v>
      </x:c>
      <x:c r="B486" t="str">
        <x:v>2024-01-06T00:00:00</x:v>
      </x:c>
      <x:c r="C486" t="str">
        <x:v>1369Y</x:v>
      </x:c>
      <x:c r="D486" t="str">
        <x:v>1369</x:v>
      </x:c>
      <x:c r="E486" t="str">
        <x:v>Special Assistant X</x:v>
      </x:c>
      <x:c r="F486" t="str">
        <x:v>SFMTA</x:v>
      </x:c>
      <x:c r="G486" t="str">
        <x:v>52.1</x:v>
      </x:c>
      <x:c r="H486" t="str">
        <x:v>54.6875</x:v>
      </x:c>
      <x:c r="I486" t="str">
        <x:v>57.425</x:v>
      </x:c>
      <x:c r="J486" t="str">
        <x:v>60.2875</x:v>
      </x:c>
      <x:c r="K486" t="str">
        <x:v>63.275</x:v>
      </x:c>
      <x:c r="L486" t="str"/>
      <x:c r="M486" t="str"/>
      <x:c r="N486" t="str"/>
      <x:c r="O486" t="str"/>
      <x:c r="P486" t="str"/>
      <x:c r="Q486" t="str"/>
      <x:c r="R486" t="str"/>
      <x:c r="S486" t="str"/>
      <x:c r="T486" t="str"/>
      <x:c r="U486" t="str"/>
      <x:c r="V486" t="str"/>
      <x:c r="W486" t="str"/>
      <x:c r="X486" t="str"/>
      <x:c r="Y486" t="str"/>
      <x:c r="Z486" t="str"/>
      <x:c r="AA486" t="str"/>
      <x:c r="AB486" t="str"/>
      <x:c r="AC486" t="str"/>
      <x:c r="AD486" t="str"/>
      <x:c r="AE486" t="str"/>
      <x:c r="AF486" t="str"/>
      <x:c r="AG486" t="str"/>
      <x:c r="AH486" t="str">
        <x:f>D486&amp;"|"&amp;UPPER(F486)&amp;"|"&amp;LEFT(B486,10)</x:f>
        <x:v>1369|SFMTA|2024-01-06</x:v>
      </x:c>
    </x:row>
    <x:row r="487">
      <x:c r="A487" s="22" t="n">
        <x:v>2120</x:v>
      </x:c>
      <x:c r="B487" t="str">
        <x:v>2024-07-01T00:00:00</x:v>
      </x:c>
      <x:c r="C487" t="str">
        <x:v>1369Z</x:v>
      </x:c>
      <x:c r="D487" t="str">
        <x:v>1369</x:v>
      </x:c>
      <x:c r="E487" t="str">
        <x:v>Special Assistant X</x:v>
      </x:c>
      <x:c r="F487" t="str">
        <x:v>COMMN</x:v>
      </x:c>
      <x:c r="G487" t="str">
        <x:v>52.8875</x:v>
      </x:c>
      <x:c r="H487" t="str">
        <x:v>55.5125</x:v>
      </x:c>
      <x:c r="I487" t="str">
        <x:v>58.2875</x:v>
      </x:c>
      <x:c r="J487" t="str">
        <x:v>61.1875</x:v>
      </x:c>
      <x:c r="K487" t="str">
        <x:v>64.225</x:v>
      </x:c>
      <x:c r="L487" t="str"/>
      <x:c r="M487" t="str"/>
      <x:c r="N487" t="str"/>
      <x:c r="O487" t="str"/>
      <x:c r="P487" t="str"/>
      <x:c r="Q487" t="str"/>
      <x:c r="R487" t="str"/>
      <x:c r="S487" t="str"/>
      <x:c r="T487" t="str"/>
      <x:c r="U487" t="str"/>
      <x:c r="V487" t="str"/>
      <x:c r="W487" t="str"/>
      <x:c r="X487" t="str"/>
      <x:c r="Y487" t="str"/>
      <x:c r="Z487" t="str"/>
      <x:c r="AA487" t="str"/>
      <x:c r="AB487" t="str"/>
      <x:c r="AC487" t="str"/>
      <x:c r="AD487" t="str"/>
      <x:c r="AE487" t="str"/>
      <x:c r="AF487" t="str"/>
      <x:c r="AG487" t="str"/>
      <x:c r="AH487" t="str">
        <x:f>D487&amp;"|"&amp;UPPER(F487)&amp;"|"&amp;LEFT(B487,10)</x:f>
        <x:v>1369|COMMN|2024-07-01</x:v>
      </x:c>
    </x:row>
    <x:row r="488">
      <x:c r="A488" s="22" t="n">
        <x:v>2132</x:v>
      </x:c>
      <x:c r="B488" t="str">
        <x:v>2024-07-01T00:00:00</x:v>
      </x:c>
      <x:c r="C488" t="str">
        <x:v>1369Z</x:v>
      </x:c>
      <x:c r="D488" t="str">
        <x:v>1369</x:v>
      </x:c>
      <x:c r="E488" t="str">
        <x:v>Special Assistant X</x:v>
      </x:c>
      <x:c r="F488" t="str">
        <x:v>SFMTA</x:v>
      </x:c>
      <x:c r="G488" t="str">
        <x:v>52.8875</x:v>
      </x:c>
      <x:c r="H488" t="str">
        <x:v>55.5125</x:v>
      </x:c>
      <x:c r="I488" t="str">
        <x:v>58.2875</x:v>
      </x:c>
      <x:c r="J488" t="str">
        <x:v>61.1875</x:v>
      </x:c>
      <x:c r="K488" t="str">
        <x:v>64.225</x:v>
      </x:c>
      <x:c r="L488" t="str"/>
      <x:c r="M488" t="str"/>
      <x:c r="N488" t="str"/>
      <x:c r="O488" t="str"/>
      <x:c r="P488" t="str"/>
      <x:c r="Q488" t="str"/>
      <x:c r="R488" t="str"/>
      <x:c r="S488" t="str"/>
      <x:c r="T488" t="str"/>
      <x:c r="U488" t="str"/>
      <x:c r="V488" t="str"/>
      <x:c r="W488" t="str"/>
      <x:c r="X488" t="str"/>
      <x:c r="Y488" t="str"/>
      <x:c r="Z488" t="str"/>
      <x:c r="AA488" t="str"/>
      <x:c r="AB488" t="str"/>
      <x:c r="AC488" t="str"/>
      <x:c r="AD488" t="str"/>
      <x:c r="AE488" t="str"/>
      <x:c r="AF488" t="str"/>
      <x:c r="AG488" t="str"/>
      <x:c r="AH488" t="str">
        <x:f>D488&amp;"|"&amp;UPPER(F488)&amp;"|"&amp;LEFT(B488,10)</x:f>
        <x:v>1369|SFMTA|2024-07-01</x:v>
      </x:c>
    </x:row>
    <x:row r="489">
      <x:c r="A489" s="22" t="n">
        <x:v>2121</x:v>
      </x:c>
      <x:c r="B489" t="str">
        <x:v>2025-01-04T00:00:00</x:v>
      </x:c>
      <x:c r="C489" t="str">
        <x:v>1369A</x:v>
      </x:c>
      <x:c r="D489" t="str">
        <x:v>1369</x:v>
      </x:c>
      <x:c r="E489" t="str">
        <x:v>Special Assistant X</x:v>
      </x:c>
      <x:c r="F489" t="str">
        <x:v>COMMN</x:v>
      </x:c>
      <x:c r="G489" t="str">
        <x:v>53.675</x:v>
      </x:c>
      <x:c r="H489" t="str">
        <x:v>56.35</x:v>
      </x:c>
      <x:c r="I489" t="str">
        <x:v>59.1625</x:v>
      </x:c>
      <x:c r="J489" t="str">
        <x:v>62.1</x:v>
      </x:c>
      <x:c r="K489" t="str">
        <x:v>65.1875</x:v>
      </x:c>
      <x:c r="L489" t="str"/>
      <x:c r="M489" t="str"/>
      <x:c r="N489" t="str"/>
      <x:c r="O489" t="str"/>
      <x:c r="P489" t="str"/>
      <x:c r="Q489" t="str"/>
      <x:c r="R489" t="str"/>
      <x:c r="S489" t="str"/>
      <x:c r="T489" t="str"/>
      <x:c r="U489" t="str"/>
      <x:c r="V489" t="str"/>
      <x:c r="W489" t="str"/>
      <x:c r="X489" t="str"/>
      <x:c r="Y489" t="str"/>
      <x:c r="Z489" t="str"/>
      <x:c r="AA489" t="str"/>
      <x:c r="AB489" t="str"/>
      <x:c r="AC489" t="str"/>
      <x:c r="AD489" t="str"/>
      <x:c r="AE489" t="str"/>
      <x:c r="AF489" t="str"/>
      <x:c r="AG489" t="str"/>
      <x:c r="AH489" t="str">
        <x:f>D489&amp;"|"&amp;UPPER(F489)&amp;"|"&amp;LEFT(B489,10)</x:f>
        <x:v>1369|COMMN|2025-01-04</x:v>
      </x:c>
    </x:row>
    <x:row r="490">
      <x:c r="A490" s="22" t="n">
        <x:v>2133</x:v>
      </x:c>
      <x:c r="B490" t="str">
        <x:v>2025-01-04T00:00:00</x:v>
      </x:c>
      <x:c r="C490" t="str">
        <x:v>1369A</x:v>
      </x:c>
      <x:c r="D490" t="str">
        <x:v>1369</x:v>
      </x:c>
      <x:c r="E490" t="str">
        <x:v>Special Assistant X</x:v>
      </x:c>
      <x:c r="F490" t="str">
        <x:v>SFMTA</x:v>
      </x:c>
      <x:c r="G490" t="str">
        <x:v>53.675</x:v>
      </x:c>
      <x:c r="H490" t="str">
        <x:v>56.35</x:v>
      </x:c>
      <x:c r="I490" t="str">
        <x:v>59.1625</x:v>
      </x:c>
      <x:c r="J490" t="str">
        <x:v>62.1</x:v>
      </x:c>
      <x:c r="K490" t="str">
        <x:v>65.1875</x:v>
      </x:c>
      <x:c r="L490" t="str"/>
      <x:c r="M490" t="str"/>
      <x:c r="N490" t="str"/>
      <x:c r="O490" t="str"/>
      <x:c r="P490" t="str"/>
      <x:c r="Q490" t="str"/>
      <x:c r="R490" t="str"/>
      <x:c r="S490" t="str"/>
      <x:c r="T490" t="str"/>
      <x:c r="U490" t="str"/>
      <x:c r="V490" t="str"/>
      <x:c r="W490" t="str"/>
      <x:c r="X490" t="str"/>
      <x:c r="Y490" t="str"/>
      <x:c r="Z490" t="str"/>
      <x:c r="AA490" t="str"/>
      <x:c r="AB490" t="str"/>
      <x:c r="AC490" t="str"/>
      <x:c r="AD490" t="str"/>
      <x:c r="AE490" t="str"/>
      <x:c r="AF490" t="str"/>
      <x:c r="AG490" t="str"/>
      <x:c r="AH490" t="str">
        <x:f>D490&amp;"|"&amp;UPPER(F490)&amp;"|"&amp;LEFT(B490,10)</x:f>
        <x:v>1369|SFMTA|2025-01-04</x:v>
      </x:c>
    </x:row>
    <x:row r="491">
      <x:c r="A491" s="22" t="n">
        <x:v>2122</x:v>
      </x:c>
      <x:c r="B491" t="str">
        <x:v>2025-07-01T00:00:00</x:v>
      </x:c>
      <x:c r="C491" t="str">
        <x:v>1369B</x:v>
      </x:c>
      <x:c r="D491" t="str">
        <x:v>1369</x:v>
      </x:c>
      <x:c r="E491" t="str">
        <x:v>Special Assistant 10</x:v>
      </x:c>
      <x:c r="F491" t="str">
        <x:v>COMMN</x:v>
      </x:c>
      <x:c r="G491" t="str">
        <x:v>54.75</x:v>
      </x:c>
      <x:c r="H491" t="str">
        <x:v>57.4875</x:v>
      </x:c>
      <x:c r="I491" t="str">
        <x:v>60.35</x:v>
      </x:c>
      <x:c r="J491" t="str">
        <x:v>63.35</x:v>
      </x:c>
      <x:c r="K491" t="str">
        <x:v>66.5</x:v>
      </x:c>
      <x:c r="L491" t="str"/>
      <x:c r="M491" t="str"/>
      <x:c r="N491" t="str"/>
      <x:c r="O491" t="str"/>
      <x:c r="P491" t="str"/>
      <x:c r="Q491" t="str"/>
      <x:c r="R491" t="str"/>
      <x:c r="S491" t="str"/>
      <x:c r="T491" t="str"/>
      <x:c r="U491" t="str"/>
      <x:c r="V491" t="str"/>
      <x:c r="W491" t="str"/>
      <x:c r="X491" t="str"/>
      <x:c r="Y491" t="str"/>
      <x:c r="Z491" t="str"/>
      <x:c r="AA491" t="str"/>
      <x:c r="AB491" t="str"/>
      <x:c r="AC491" t="str"/>
      <x:c r="AD491" t="str"/>
      <x:c r="AE491" t="str"/>
      <x:c r="AF491" t="str"/>
      <x:c r="AG491" t="str"/>
      <x:c r="AH491" t="str">
        <x:f>D491&amp;"|"&amp;UPPER(F491)&amp;"|"&amp;LEFT(B491,10)</x:f>
        <x:v>1369|COMMN|2025-07-01</x:v>
      </x:c>
    </x:row>
    <x:row r="492">
      <x:c r="A492" s="22" t="n">
        <x:v>2134</x:v>
      </x:c>
      <x:c r="B492" t="str">
        <x:v>2025-07-01T00:00:00</x:v>
      </x:c>
      <x:c r="C492" t="str">
        <x:v>1369B</x:v>
      </x:c>
      <x:c r="D492" t="str">
        <x:v>1369</x:v>
      </x:c>
      <x:c r="E492" t="str">
        <x:v>Special Assistant 10</x:v>
      </x:c>
      <x:c r="F492" t="str">
        <x:v>SFMTA</x:v>
      </x:c>
      <x:c r="G492" t="str">
        <x:v>54.75</x:v>
      </x:c>
      <x:c r="H492" t="str">
        <x:v>57.4875</x:v>
      </x:c>
      <x:c r="I492" t="str">
        <x:v>60.35</x:v>
      </x:c>
      <x:c r="J492" t="str">
        <x:v>63.35</x:v>
      </x:c>
      <x:c r="K492" t="str">
        <x:v>66.5</x:v>
      </x:c>
      <x:c r="L492" t="str"/>
      <x:c r="M492" t="str"/>
      <x:c r="N492" t="str"/>
      <x:c r="O492" t="str"/>
      <x:c r="P492" t="str"/>
      <x:c r="Q492" t="str"/>
      <x:c r="R492" t="str"/>
      <x:c r="S492" t="str"/>
      <x:c r="T492" t="str"/>
      <x:c r="U492" t="str"/>
      <x:c r="V492" t="str"/>
      <x:c r="W492" t="str"/>
      <x:c r="X492" t="str"/>
      <x:c r="Y492" t="str"/>
      <x:c r="Z492" t="str"/>
      <x:c r="AA492" t="str"/>
      <x:c r="AB492" t="str"/>
      <x:c r="AC492" t="str"/>
      <x:c r="AD492" t="str"/>
      <x:c r="AE492" t="str"/>
      <x:c r="AF492" t="str"/>
      <x:c r="AG492" t="str"/>
      <x:c r="AH492" t="str">
        <x:f>D492&amp;"|"&amp;UPPER(F492)&amp;"|"&amp;LEFT(B492,10)</x:f>
        <x:v>1369|SFMTA|2025-07-01</x:v>
      </x:c>
    </x:row>
    <x:row r="493">
      <x:c r="A493" s="22" t="n">
        <x:v>2123</x:v>
      </x:c>
      <x:c r="B493" t="str">
        <x:v>2026-01-03T00:00:00</x:v>
      </x:c>
      <x:c r="C493" t="str">
        <x:v>1369C</x:v>
      </x:c>
      <x:c r="D493" t="str">
        <x:v>1369</x:v>
      </x:c>
      <x:c r="E493" t="str">
        <x:v>Special Assistant 10</x:v>
      </x:c>
      <x:c r="F493" t="str">
        <x:v>COMMN</x:v>
      </x:c>
      <x:c r="G493" t="str">
        <x:v>55.575</x:v>
      </x:c>
      <x:c r="H493" t="str">
        <x:v>58.35</x:v>
      </x:c>
      <x:c r="I493" t="str">
        <x:v>61.25</x:v>
      </x:c>
      <x:c r="J493" t="str">
        <x:v>64.3</x:v>
      </x:c>
      <x:c r="K493" t="str">
        <x:v>67.5</x:v>
      </x:c>
      <x:c r="L493" t="str"/>
      <x:c r="M493" t="str"/>
      <x:c r="N493" t="str"/>
      <x:c r="O493" t="str"/>
      <x:c r="P493" t="str"/>
      <x:c r="Q493" t="str"/>
      <x:c r="R493" t="str"/>
      <x:c r="S493" t="str"/>
      <x:c r="T493" t="str"/>
      <x:c r="U493" t="str"/>
      <x:c r="V493" t="str"/>
      <x:c r="W493" t="str"/>
      <x:c r="X493" t="str"/>
      <x:c r="Y493" t="str"/>
      <x:c r="Z493" t="str"/>
      <x:c r="AA493" t="str"/>
      <x:c r="AB493" t="str"/>
      <x:c r="AC493" t="str"/>
      <x:c r="AD493" t="str"/>
      <x:c r="AE493" t="str"/>
      <x:c r="AF493" t="str"/>
      <x:c r="AG493" t="str"/>
      <x:c r="AH493" t="str">
        <x:f>D493&amp;"|"&amp;UPPER(F493)&amp;"|"&amp;LEFT(B493,10)</x:f>
        <x:v>1369|COMMN|2026-01-03</x:v>
      </x:c>
    </x:row>
    <x:row r="494">
      <x:c r="A494" s="22" t="n">
        <x:v>2135</x:v>
      </x:c>
      <x:c r="B494" t="str">
        <x:v>2026-01-03T00:00:00</x:v>
      </x:c>
      <x:c r="C494" t="str">
        <x:v>1369C</x:v>
      </x:c>
      <x:c r="D494" t="str">
        <x:v>1369</x:v>
      </x:c>
      <x:c r="E494" t="str">
        <x:v>Special Assistant 10</x:v>
      </x:c>
      <x:c r="F494" t="str">
        <x:v>SFMTA</x:v>
      </x:c>
      <x:c r="G494" t="str">
        <x:v>55.575</x:v>
      </x:c>
      <x:c r="H494" t="str">
        <x:v>58.35</x:v>
      </x:c>
      <x:c r="I494" t="str">
        <x:v>61.25</x:v>
      </x:c>
      <x:c r="J494" t="str">
        <x:v>64.3</x:v>
      </x:c>
      <x:c r="K494" t="str">
        <x:v>67.5</x:v>
      </x:c>
      <x:c r="L494" t="str"/>
      <x:c r="M494" t="str"/>
      <x:c r="N494" t="str"/>
      <x:c r="O494" t="str"/>
      <x:c r="P494" t="str"/>
      <x:c r="Q494" t="str"/>
      <x:c r="R494" t="str"/>
      <x:c r="S494" t="str"/>
      <x:c r="T494" t="str"/>
      <x:c r="U494" t="str"/>
      <x:c r="V494" t="str"/>
      <x:c r="W494" t="str"/>
      <x:c r="X494" t="str"/>
      <x:c r="Y494" t="str"/>
      <x:c r="Z494" t="str"/>
      <x:c r="AA494" t="str"/>
      <x:c r="AB494" t="str"/>
      <x:c r="AC494" t="str"/>
      <x:c r="AD494" t="str"/>
      <x:c r="AE494" t="str"/>
      <x:c r="AF494" t="str"/>
      <x:c r="AG494" t="str"/>
      <x:c r="AH494" t="str">
        <x:f>D494&amp;"|"&amp;UPPER(F494)&amp;"|"&amp;LEFT(B494,10)</x:f>
        <x:v>1369|SFMTA|2026-01-03</x:v>
      </x:c>
    </x:row>
    <x:row r="495">
      <x:c r="A495" s="22" t="n">
        <x:v>2124</x:v>
      </x:c>
      <x:c r="B495" t="str">
        <x:v>2026-07-01T00:00:00</x:v>
      </x:c>
      <x:c r="C495" t="str">
        <x:v>1369D</x:v>
      </x:c>
      <x:c r="D495" t="str">
        <x:v>1369</x:v>
      </x:c>
      <x:c r="E495" t="str">
        <x:v>Special Assistant 10</x:v>
      </x:c>
      <x:c r="F495" t="str">
        <x:v>COMMN</x:v>
      </x:c>
      <x:c r="G495" t="str">
        <x:v>56.6875</x:v>
      </x:c>
      <x:c r="H495" t="str">
        <x:v>59.5125</x:v>
      </x:c>
      <x:c r="I495" t="str">
        <x:v>62.475</x:v>
      </x:c>
      <x:c r="J495" t="str">
        <x:v>65.5875</x:v>
      </x:c>
      <x:c r="K495" t="str">
        <x:v>68.85</x:v>
      </x:c>
      <x:c r="L495" t="str"/>
      <x:c r="M495" t="str"/>
      <x:c r="N495" t="str"/>
      <x:c r="O495" t="str"/>
      <x:c r="P495" t="str"/>
      <x:c r="Q495" t="str"/>
      <x:c r="R495" t="str"/>
      <x:c r="S495" t="str"/>
      <x:c r="T495" t="str"/>
      <x:c r="U495" t="str"/>
      <x:c r="V495" t="str"/>
      <x:c r="W495" t="str"/>
      <x:c r="X495" t="str"/>
      <x:c r="Y495" t="str"/>
      <x:c r="Z495" t="str"/>
      <x:c r="AA495" t="str"/>
      <x:c r="AB495" t="str"/>
      <x:c r="AC495" t="str"/>
      <x:c r="AD495" t="str"/>
      <x:c r="AE495" t="str"/>
      <x:c r="AF495" t="str"/>
      <x:c r="AG495" t="str"/>
      <x:c r="AH495" t="str">
        <x:f>D495&amp;"|"&amp;UPPER(F495)&amp;"|"&amp;LEFT(B495,10)</x:f>
        <x:v>1369|COMMN|2026-07-01</x:v>
      </x:c>
    </x:row>
    <x:row r="496">
      <x:c r="A496" s="22" t="n">
        <x:v>2136</x:v>
      </x:c>
      <x:c r="B496" t="str">
        <x:v>2026-07-01T00:00:00</x:v>
      </x:c>
      <x:c r="C496" t="str">
        <x:v>1369D</x:v>
      </x:c>
      <x:c r="D496" t="str">
        <x:v>1369</x:v>
      </x:c>
      <x:c r="E496" t="str">
        <x:v>Special Assistant 10</x:v>
      </x:c>
      <x:c r="F496" t="str">
        <x:v>SFMTA</x:v>
      </x:c>
      <x:c r="G496" t="str">
        <x:v>56.6875</x:v>
      </x:c>
      <x:c r="H496" t="str">
        <x:v>59.5125</x:v>
      </x:c>
      <x:c r="I496" t="str">
        <x:v>62.475</x:v>
      </x:c>
      <x:c r="J496" t="str">
        <x:v>65.5875</x:v>
      </x:c>
      <x:c r="K496" t="str">
        <x:v>68.85</x:v>
      </x:c>
      <x:c r="L496" t="str"/>
      <x:c r="M496" t="str"/>
      <x:c r="N496" t="str"/>
      <x:c r="O496" t="str"/>
      <x:c r="P496" t="str"/>
      <x:c r="Q496" t="str"/>
      <x:c r="R496" t="str"/>
      <x:c r="S496" t="str"/>
      <x:c r="T496" t="str"/>
      <x:c r="U496" t="str"/>
      <x:c r="V496" t="str"/>
      <x:c r="W496" t="str"/>
      <x:c r="X496" t="str"/>
      <x:c r="Y496" t="str"/>
      <x:c r="Z496" t="str"/>
      <x:c r="AA496" t="str"/>
      <x:c r="AB496" t="str"/>
      <x:c r="AC496" t="str"/>
      <x:c r="AD496" t="str"/>
      <x:c r="AE496" t="str"/>
      <x:c r="AF496" t="str"/>
      <x:c r="AG496" t="str"/>
      <x:c r="AH496" t="str">
        <x:f>D496&amp;"|"&amp;UPPER(F496)&amp;"|"&amp;LEFT(B496,10)</x:f>
        <x:v>1369|SFMTA|2026-07-01</x:v>
      </x:c>
    </x:row>
    <x:row r="497">
      <x:c r="A497" s="22" t="n">
        <x:v>2143</x:v>
      </x:c>
      <x:c r="B497" t="str">
        <x:v>2024-01-06T00:00:00</x:v>
      </x:c>
      <x:c r="C497" t="str">
        <x:v>1370Y</x:v>
      </x:c>
      <x:c r="D497" t="str">
        <x:v>1370</x:v>
      </x:c>
      <x:c r="E497" t="str">
        <x:v>Special Assistant XI</x:v>
      </x:c>
      <x:c r="F497" t="str">
        <x:v>COMMN</x:v>
      </x:c>
      <x:c r="G497" t="str">
        <x:v>56.025</x:v>
      </x:c>
      <x:c r="H497" t="str">
        <x:v>58.8125</x:v>
      </x:c>
      <x:c r="I497" t="str">
        <x:v>61.7625</x:v>
      </x:c>
      <x:c r="J497" t="str">
        <x:v>64.8625</x:v>
      </x:c>
      <x:c r="K497" t="str">
        <x:v>68.1</x:v>
      </x:c>
      <x:c r="L497" t="str"/>
      <x:c r="M497" t="str"/>
      <x:c r="N497" t="str"/>
      <x:c r="O497" t="str"/>
      <x:c r="P497" t="str"/>
      <x:c r="Q497" t="str"/>
      <x:c r="R497" t="str"/>
      <x:c r="S497" t="str"/>
      <x:c r="T497" t="str"/>
      <x:c r="U497" t="str"/>
      <x:c r="V497" t="str"/>
      <x:c r="W497" t="str"/>
      <x:c r="X497" t="str"/>
      <x:c r="Y497" t="str"/>
      <x:c r="Z497" t="str"/>
      <x:c r="AA497" t="str"/>
      <x:c r="AB497" t="str"/>
      <x:c r="AC497" t="str"/>
      <x:c r="AD497" t="str"/>
      <x:c r="AE497" t="str"/>
      <x:c r="AF497" t="str"/>
      <x:c r="AG497" t="str"/>
      <x:c r="AH497" t="str">
        <x:f>D497&amp;"|"&amp;UPPER(F497)&amp;"|"&amp;LEFT(B497,10)</x:f>
        <x:v>1370|COMMN|2024-01-06</x:v>
      </x:c>
    </x:row>
    <x:row r="498">
      <x:c r="A498" s="22" t="n">
        <x:v>2155</x:v>
      </x:c>
      <x:c r="B498" t="str">
        <x:v>2024-01-06T00:00:00</x:v>
      </x:c>
      <x:c r="C498" t="str">
        <x:v>1370Y</x:v>
      </x:c>
      <x:c r="D498" t="str">
        <x:v>1370</x:v>
      </x:c>
      <x:c r="E498" t="str">
        <x:v>Special Assistant XI</x:v>
      </x:c>
      <x:c r="F498" t="str">
        <x:v>SFMTA</x:v>
      </x:c>
      <x:c r="G498" t="str">
        <x:v>56.025</x:v>
      </x:c>
      <x:c r="H498" t="str">
        <x:v>58.8125</x:v>
      </x:c>
      <x:c r="I498" t="str">
        <x:v>61.7625</x:v>
      </x:c>
      <x:c r="J498" t="str">
        <x:v>64.8625</x:v>
      </x:c>
      <x:c r="K498" t="str">
        <x:v>68.1</x:v>
      </x:c>
      <x:c r="L498" t="str"/>
      <x:c r="M498" t="str"/>
      <x:c r="N498" t="str"/>
      <x:c r="O498" t="str"/>
      <x:c r="P498" t="str"/>
      <x:c r="Q498" t="str"/>
      <x:c r="R498" t="str"/>
      <x:c r="S498" t="str"/>
      <x:c r="T498" t="str"/>
      <x:c r="U498" t="str"/>
      <x:c r="V498" t="str"/>
      <x:c r="W498" t="str"/>
      <x:c r="X498" t="str"/>
      <x:c r="Y498" t="str"/>
      <x:c r="Z498" t="str"/>
      <x:c r="AA498" t="str"/>
      <x:c r="AB498" t="str"/>
      <x:c r="AC498" t="str"/>
      <x:c r="AD498" t="str"/>
      <x:c r="AE498" t="str"/>
      <x:c r="AF498" t="str"/>
      <x:c r="AG498" t="str"/>
      <x:c r="AH498" t="str">
        <x:f>D498&amp;"|"&amp;UPPER(F498)&amp;"|"&amp;LEFT(B498,10)</x:f>
        <x:v>1370|SFMTA|2024-01-06</x:v>
      </x:c>
    </x:row>
    <x:row r="499">
      <x:c r="A499" s="22" t="n">
        <x:v>2144</x:v>
      </x:c>
      <x:c r="B499" t="str">
        <x:v>2024-07-01T00:00:00</x:v>
      </x:c>
      <x:c r="C499" t="str">
        <x:v>1370Z</x:v>
      </x:c>
      <x:c r="D499" t="str">
        <x:v>1370</x:v>
      </x:c>
      <x:c r="E499" t="str">
        <x:v>Special Assistant XI</x:v>
      </x:c>
      <x:c r="F499" t="str">
        <x:v>COMMN</x:v>
      </x:c>
      <x:c r="G499" t="str">
        <x:v>56.8625</x:v>
      </x:c>
      <x:c r="H499" t="str">
        <x:v>59.7</x:v>
      </x:c>
      <x:c r="I499" t="str">
        <x:v>62.6875</x:v>
      </x:c>
      <x:c r="J499" t="str">
        <x:v>65.8375</x:v>
      </x:c>
      <x:c r="K499" t="str">
        <x:v>69.125</x:v>
      </x:c>
      <x:c r="L499" t="str"/>
      <x:c r="M499" t="str"/>
      <x:c r="N499" t="str"/>
      <x:c r="O499" t="str"/>
      <x:c r="P499" t="str"/>
      <x:c r="Q499" t="str"/>
      <x:c r="R499" t="str"/>
      <x:c r="S499" t="str"/>
      <x:c r="T499" t="str"/>
      <x:c r="U499" t="str"/>
      <x:c r="V499" t="str"/>
      <x:c r="W499" t="str"/>
      <x:c r="X499" t="str"/>
      <x:c r="Y499" t="str"/>
      <x:c r="Z499" t="str"/>
      <x:c r="AA499" t="str"/>
      <x:c r="AB499" t="str"/>
      <x:c r="AC499" t="str"/>
      <x:c r="AD499" t="str"/>
      <x:c r="AE499" t="str"/>
      <x:c r="AF499" t="str"/>
      <x:c r="AG499" t="str"/>
      <x:c r="AH499" t="str">
        <x:f>D499&amp;"|"&amp;UPPER(F499)&amp;"|"&amp;LEFT(B499,10)</x:f>
        <x:v>1370|COMMN|2024-07-01</x:v>
      </x:c>
    </x:row>
    <x:row r="500">
      <x:c r="A500" s="22" t="n">
        <x:v>2156</x:v>
      </x:c>
      <x:c r="B500" t="str">
        <x:v>2024-07-01T00:00:00</x:v>
      </x:c>
      <x:c r="C500" t="str">
        <x:v>1370Z</x:v>
      </x:c>
      <x:c r="D500" t="str">
        <x:v>1370</x:v>
      </x:c>
      <x:c r="E500" t="str">
        <x:v>Special Assistant XI</x:v>
      </x:c>
      <x:c r="F500" t="str">
        <x:v>SFMTA</x:v>
      </x:c>
      <x:c r="G500" t="str">
        <x:v>56.8625</x:v>
      </x:c>
      <x:c r="H500" t="str">
        <x:v>59.7</x:v>
      </x:c>
      <x:c r="I500" t="str">
        <x:v>62.6875</x:v>
      </x:c>
      <x:c r="J500" t="str">
        <x:v>65.8375</x:v>
      </x:c>
      <x:c r="K500" t="str">
        <x:v>69.125</x:v>
      </x:c>
      <x:c r="L500" t="str"/>
      <x:c r="M500" t="str"/>
      <x:c r="N500" t="str"/>
      <x:c r="O500" t="str"/>
      <x:c r="P500" t="str"/>
      <x:c r="Q500" t="str"/>
      <x:c r="R500" t="str"/>
      <x:c r="S500" t="str"/>
      <x:c r="T500" t="str"/>
      <x:c r="U500" t="str"/>
      <x:c r="V500" t="str"/>
      <x:c r="W500" t="str"/>
      <x:c r="X500" t="str"/>
      <x:c r="Y500" t="str"/>
      <x:c r="Z500" t="str"/>
      <x:c r="AA500" t="str"/>
      <x:c r="AB500" t="str"/>
      <x:c r="AC500" t="str"/>
      <x:c r="AD500" t="str"/>
      <x:c r="AE500" t="str"/>
      <x:c r="AF500" t="str"/>
      <x:c r="AG500" t="str"/>
      <x:c r="AH500" t="str">
        <x:f>D500&amp;"|"&amp;UPPER(F500)&amp;"|"&amp;LEFT(B500,10)</x:f>
        <x:v>1370|SFMTA|2024-07-01</x:v>
      </x:c>
    </x:row>
    <x:row r="501">
      <x:c r="A501" s="22" t="n">
        <x:v>2145</x:v>
      </x:c>
      <x:c r="B501" t="str">
        <x:v>2025-01-04T00:00:00</x:v>
      </x:c>
      <x:c r="C501" t="str">
        <x:v>1370A</x:v>
      </x:c>
      <x:c r="D501" t="str">
        <x:v>1370</x:v>
      </x:c>
      <x:c r="E501" t="str">
        <x:v>Special Assistant XI</x:v>
      </x:c>
      <x:c r="F501" t="str">
        <x:v>COMMN</x:v>
      </x:c>
      <x:c r="G501" t="str">
        <x:v>57.7125</x:v>
      </x:c>
      <x:c r="H501" t="str">
        <x:v>60.6</x:v>
      </x:c>
      <x:c r="I501" t="str">
        <x:v>63.625</x:v>
      </x:c>
      <x:c r="J501" t="str">
        <x:v>66.825</x:v>
      </x:c>
      <x:c r="K501" t="str">
        <x:v>70.1625</x:v>
      </x:c>
      <x:c r="L501" t="str"/>
      <x:c r="M501" t="str"/>
      <x:c r="N501" t="str"/>
      <x:c r="O501" t="str"/>
      <x:c r="P501" t="str"/>
      <x:c r="Q501" t="str"/>
      <x:c r="R501" t="str"/>
      <x:c r="S501" t="str"/>
      <x:c r="T501" t="str"/>
      <x:c r="U501" t="str"/>
      <x:c r="V501" t="str"/>
      <x:c r="W501" t="str"/>
      <x:c r="X501" t="str"/>
      <x:c r="Y501" t="str"/>
      <x:c r="Z501" t="str"/>
      <x:c r="AA501" t="str"/>
      <x:c r="AB501" t="str"/>
      <x:c r="AC501" t="str"/>
      <x:c r="AD501" t="str"/>
      <x:c r="AE501" t="str"/>
      <x:c r="AF501" t="str"/>
      <x:c r="AG501" t="str"/>
      <x:c r="AH501" t="str">
        <x:f>D501&amp;"|"&amp;UPPER(F501)&amp;"|"&amp;LEFT(B501,10)</x:f>
        <x:v>1370|COMMN|2025-01-04</x:v>
      </x:c>
    </x:row>
    <x:row r="502">
      <x:c r="A502" s="22" t="n">
        <x:v>2157</x:v>
      </x:c>
      <x:c r="B502" t="str">
        <x:v>2025-01-04T00:00:00</x:v>
      </x:c>
      <x:c r="C502" t="str">
        <x:v>1370A</x:v>
      </x:c>
      <x:c r="D502" t="str">
        <x:v>1370</x:v>
      </x:c>
      <x:c r="E502" t="str">
        <x:v>Special Assistant XI</x:v>
      </x:c>
      <x:c r="F502" t="str">
        <x:v>SFMTA</x:v>
      </x:c>
      <x:c r="G502" t="str">
        <x:v>57.7125</x:v>
      </x:c>
      <x:c r="H502" t="str">
        <x:v>60.6</x:v>
      </x:c>
      <x:c r="I502" t="str">
        <x:v>63.625</x:v>
      </x:c>
      <x:c r="J502" t="str">
        <x:v>66.825</x:v>
      </x:c>
      <x:c r="K502" t="str">
        <x:v>70.1625</x:v>
      </x:c>
      <x:c r="L502" t="str"/>
      <x:c r="M502" t="str"/>
      <x:c r="N502" t="str"/>
      <x:c r="O502" t="str"/>
      <x:c r="P502" t="str"/>
      <x:c r="Q502" t="str"/>
      <x:c r="R502" t="str"/>
      <x:c r="S502" t="str"/>
      <x:c r="T502" t="str"/>
      <x:c r="U502" t="str"/>
      <x:c r="V502" t="str"/>
      <x:c r="W502" t="str"/>
      <x:c r="X502" t="str"/>
      <x:c r="Y502" t="str"/>
      <x:c r="Z502" t="str"/>
      <x:c r="AA502" t="str"/>
      <x:c r="AB502" t="str"/>
      <x:c r="AC502" t="str"/>
      <x:c r="AD502" t="str"/>
      <x:c r="AE502" t="str"/>
      <x:c r="AF502" t="str"/>
      <x:c r="AG502" t="str"/>
      <x:c r="AH502" t="str">
        <x:f>D502&amp;"|"&amp;UPPER(F502)&amp;"|"&amp;LEFT(B502,10)</x:f>
        <x:v>1370|SFMTA|2025-01-04</x:v>
      </x:c>
    </x:row>
    <x:row r="503">
      <x:c r="A503" s="22" t="n">
        <x:v>2146</x:v>
      </x:c>
      <x:c r="B503" t="str">
        <x:v>2025-07-01T00:00:00</x:v>
      </x:c>
      <x:c r="C503" t="str">
        <x:v>1370B</x:v>
      </x:c>
      <x:c r="D503" t="str">
        <x:v>1370</x:v>
      </x:c>
      <x:c r="E503" t="str">
        <x:v>Special Assistant 11</x:v>
      </x:c>
      <x:c r="F503" t="str">
        <x:v>COMMN</x:v>
      </x:c>
      <x:c r="G503" t="str">
        <x:v>58.875</x:v>
      </x:c>
      <x:c r="H503" t="str">
        <x:v>61.8125</x:v>
      </x:c>
      <x:c r="I503" t="str">
        <x:v>64.9</x:v>
      </x:c>
      <x:c r="J503" t="str">
        <x:v>68.1625</x:v>
      </x:c>
      <x:c r="K503" t="str">
        <x:v>71.575</x:v>
      </x:c>
      <x:c r="L503" t="str"/>
      <x:c r="M503" t="str"/>
      <x:c r="N503" t="str"/>
      <x:c r="O503" t="str"/>
      <x:c r="P503" t="str"/>
      <x:c r="Q503" t="str"/>
      <x:c r="R503" t="str"/>
      <x:c r="S503" t="str"/>
      <x:c r="T503" t="str"/>
      <x:c r="U503" t="str"/>
      <x:c r="V503" t="str"/>
      <x:c r="W503" t="str"/>
      <x:c r="X503" t="str"/>
      <x:c r="Y503" t="str"/>
      <x:c r="Z503" t="str"/>
      <x:c r="AA503" t="str"/>
      <x:c r="AB503" t="str"/>
      <x:c r="AC503" t="str"/>
      <x:c r="AD503" t="str"/>
      <x:c r="AE503" t="str"/>
      <x:c r="AF503" t="str"/>
      <x:c r="AG503" t="str"/>
      <x:c r="AH503" t="str">
        <x:f>D503&amp;"|"&amp;UPPER(F503)&amp;"|"&amp;LEFT(B503,10)</x:f>
        <x:v>1370|COMMN|2025-07-01</x:v>
      </x:c>
    </x:row>
    <x:row r="504">
      <x:c r="A504" s="22" t="n">
        <x:v>2158</x:v>
      </x:c>
      <x:c r="B504" t="str">
        <x:v>2025-07-01T00:00:00</x:v>
      </x:c>
      <x:c r="C504" t="str">
        <x:v>1370B</x:v>
      </x:c>
      <x:c r="D504" t="str">
        <x:v>1370</x:v>
      </x:c>
      <x:c r="E504" t="str">
        <x:v>Special Assistant 11</x:v>
      </x:c>
      <x:c r="F504" t="str">
        <x:v>SFMTA</x:v>
      </x:c>
      <x:c r="G504" t="str">
        <x:v>58.875</x:v>
      </x:c>
      <x:c r="H504" t="str">
        <x:v>61.8125</x:v>
      </x:c>
      <x:c r="I504" t="str">
        <x:v>64.9</x:v>
      </x:c>
      <x:c r="J504" t="str">
        <x:v>68.1625</x:v>
      </x:c>
      <x:c r="K504" t="str">
        <x:v>71.575</x:v>
      </x:c>
      <x:c r="L504" t="str"/>
      <x:c r="M504" t="str"/>
      <x:c r="N504" t="str"/>
      <x:c r="O504" t="str"/>
      <x:c r="P504" t="str"/>
      <x:c r="Q504" t="str"/>
      <x:c r="R504" t="str"/>
      <x:c r="S504" t="str"/>
      <x:c r="T504" t="str"/>
      <x:c r="U504" t="str"/>
      <x:c r="V504" t="str"/>
      <x:c r="W504" t="str"/>
      <x:c r="X504" t="str"/>
      <x:c r="Y504" t="str"/>
      <x:c r="Z504" t="str"/>
      <x:c r="AA504" t="str"/>
      <x:c r="AB504" t="str"/>
      <x:c r="AC504" t="str"/>
      <x:c r="AD504" t="str"/>
      <x:c r="AE504" t="str"/>
      <x:c r="AF504" t="str"/>
      <x:c r="AG504" t="str"/>
      <x:c r="AH504" t="str">
        <x:f>D504&amp;"|"&amp;UPPER(F504)&amp;"|"&amp;LEFT(B504,10)</x:f>
        <x:v>1370|SFMTA|2025-07-01</x:v>
      </x:c>
    </x:row>
    <x:row r="505">
      <x:c r="A505" s="22" t="n">
        <x:v>2147</x:v>
      </x:c>
      <x:c r="B505" t="str">
        <x:v>2026-01-03T00:00:00</x:v>
      </x:c>
      <x:c r="C505" t="str">
        <x:v>1370C</x:v>
      </x:c>
      <x:c r="D505" t="str">
        <x:v>1370</x:v>
      </x:c>
      <x:c r="E505" t="str">
        <x:v>Special Assistant 11</x:v>
      </x:c>
      <x:c r="F505" t="str">
        <x:v>COMMN</x:v>
      </x:c>
      <x:c r="G505" t="str">
        <x:v>59.7625</x:v>
      </x:c>
      <x:c r="H505" t="str">
        <x:v>62.7375</x:v>
      </x:c>
      <x:c r="I505" t="str">
        <x:v>65.875</x:v>
      </x:c>
      <x:c r="J505" t="str">
        <x:v>69.1875</x:v>
      </x:c>
      <x:c r="K505" t="str">
        <x:v>72.65</x:v>
      </x:c>
      <x:c r="L505" t="str"/>
      <x:c r="M505" t="str"/>
      <x:c r="N505" t="str"/>
      <x:c r="O505" t="str"/>
      <x:c r="P505" t="str"/>
      <x:c r="Q505" t="str"/>
      <x:c r="R505" t="str"/>
      <x:c r="S505" t="str"/>
      <x:c r="T505" t="str"/>
      <x:c r="U505" t="str"/>
      <x:c r="V505" t="str"/>
      <x:c r="W505" t="str"/>
      <x:c r="X505" t="str"/>
      <x:c r="Y505" t="str"/>
      <x:c r="Z505" t="str"/>
      <x:c r="AA505" t="str"/>
      <x:c r="AB505" t="str"/>
      <x:c r="AC505" t="str"/>
      <x:c r="AD505" t="str"/>
      <x:c r="AE505" t="str"/>
      <x:c r="AF505" t="str"/>
      <x:c r="AG505" t="str"/>
      <x:c r="AH505" t="str">
        <x:f>D505&amp;"|"&amp;UPPER(F505)&amp;"|"&amp;LEFT(B505,10)</x:f>
        <x:v>1370|COMMN|2026-01-03</x:v>
      </x:c>
    </x:row>
    <x:row r="506">
      <x:c r="A506" s="22" t="n">
        <x:v>2159</x:v>
      </x:c>
      <x:c r="B506" t="str">
        <x:v>2026-01-03T00:00:00</x:v>
      </x:c>
      <x:c r="C506" t="str">
        <x:v>1370C</x:v>
      </x:c>
      <x:c r="D506" t="str">
        <x:v>1370</x:v>
      </x:c>
      <x:c r="E506" t="str">
        <x:v>Special Assistant 11</x:v>
      </x:c>
      <x:c r="F506" t="str">
        <x:v>SFMTA</x:v>
      </x:c>
      <x:c r="G506" t="str">
        <x:v>59.7625</x:v>
      </x:c>
      <x:c r="H506" t="str">
        <x:v>62.7375</x:v>
      </x:c>
      <x:c r="I506" t="str">
        <x:v>65.875</x:v>
      </x:c>
      <x:c r="J506" t="str">
        <x:v>69.1875</x:v>
      </x:c>
      <x:c r="K506" t="str">
        <x:v>72.65</x:v>
      </x:c>
      <x:c r="L506" t="str"/>
      <x:c r="M506" t="str"/>
      <x:c r="N506" t="str"/>
      <x:c r="O506" t="str"/>
      <x:c r="P506" t="str"/>
      <x:c r="Q506" t="str"/>
      <x:c r="R506" t="str"/>
      <x:c r="S506" t="str"/>
      <x:c r="T506" t="str"/>
      <x:c r="U506" t="str"/>
      <x:c r="V506" t="str"/>
      <x:c r="W506" t="str"/>
      <x:c r="X506" t="str"/>
      <x:c r="Y506" t="str"/>
      <x:c r="Z506" t="str"/>
      <x:c r="AA506" t="str"/>
      <x:c r="AB506" t="str"/>
      <x:c r="AC506" t="str"/>
      <x:c r="AD506" t="str"/>
      <x:c r="AE506" t="str"/>
      <x:c r="AF506" t="str"/>
      <x:c r="AG506" t="str"/>
      <x:c r="AH506" t="str">
        <x:f>D506&amp;"|"&amp;UPPER(F506)&amp;"|"&amp;LEFT(B506,10)</x:f>
        <x:v>1370|SFMTA|2026-01-03</x:v>
      </x:c>
    </x:row>
    <x:row r="507">
      <x:c r="A507" s="22" t="n">
        <x:v>2148</x:v>
      </x:c>
      <x:c r="B507" t="str">
        <x:v>2026-07-01T00:00:00</x:v>
      </x:c>
      <x:c r="C507" t="str">
        <x:v>1370D</x:v>
      </x:c>
      <x:c r="D507" t="str">
        <x:v>1370</x:v>
      </x:c>
      <x:c r="E507" t="str">
        <x:v>Special Assistant 11</x:v>
      </x:c>
      <x:c r="F507" t="str">
        <x:v>COMMN</x:v>
      </x:c>
      <x:c r="G507" t="str">
        <x:v>60.9625</x:v>
      </x:c>
      <x:c r="H507" t="str">
        <x:v>63.9875</x:v>
      </x:c>
      <x:c r="I507" t="str">
        <x:v>67.1875</x:v>
      </x:c>
      <x:c r="J507" t="str">
        <x:v>70.575</x:v>
      </x:c>
      <x:c r="K507" t="str">
        <x:v>74.1</x:v>
      </x:c>
      <x:c r="L507" t="str"/>
      <x:c r="M507" t="str"/>
      <x:c r="N507" t="str"/>
      <x:c r="O507" t="str"/>
      <x:c r="P507" t="str"/>
      <x:c r="Q507" t="str"/>
      <x:c r="R507" t="str"/>
      <x:c r="S507" t="str"/>
      <x:c r="T507" t="str"/>
      <x:c r="U507" t="str"/>
      <x:c r="V507" t="str"/>
      <x:c r="W507" t="str"/>
      <x:c r="X507" t="str"/>
      <x:c r="Y507" t="str"/>
      <x:c r="Z507" t="str"/>
      <x:c r="AA507" t="str"/>
      <x:c r="AB507" t="str"/>
      <x:c r="AC507" t="str"/>
      <x:c r="AD507" t="str"/>
      <x:c r="AE507" t="str"/>
      <x:c r="AF507" t="str"/>
      <x:c r="AG507" t="str"/>
      <x:c r="AH507" t="str">
        <x:f>D507&amp;"|"&amp;UPPER(F507)&amp;"|"&amp;LEFT(B507,10)</x:f>
        <x:v>1370|COMMN|2026-07-01</x:v>
      </x:c>
    </x:row>
    <x:row r="508">
      <x:c r="A508" s="22" t="n">
        <x:v>2160</x:v>
      </x:c>
      <x:c r="B508" t="str">
        <x:v>2026-07-01T00:00:00</x:v>
      </x:c>
      <x:c r="C508" t="str">
        <x:v>1370D</x:v>
      </x:c>
      <x:c r="D508" t="str">
        <x:v>1370</x:v>
      </x:c>
      <x:c r="E508" t="str">
        <x:v>Special Assistant 11</x:v>
      </x:c>
      <x:c r="F508" t="str">
        <x:v>SFMTA</x:v>
      </x:c>
      <x:c r="G508" t="str">
        <x:v>60.9625</x:v>
      </x:c>
      <x:c r="H508" t="str">
        <x:v>63.9875</x:v>
      </x:c>
      <x:c r="I508" t="str">
        <x:v>67.1875</x:v>
      </x:c>
      <x:c r="J508" t="str">
        <x:v>70.575</x:v>
      </x:c>
      <x:c r="K508" t="str">
        <x:v>74.1</x:v>
      </x:c>
      <x:c r="L508" t="str"/>
      <x:c r="M508" t="str"/>
      <x:c r="N508" t="str"/>
      <x:c r="O508" t="str"/>
      <x:c r="P508" t="str"/>
      <x:c r="Q508" t="str"/>
      <x:c r="R508" t="str"/>
      <x:c r="S508" t="str"/>
      <x:c r="T508" t="str"/>
      <x:c r="U508" t="str"/>
      <x:c r="V508" t="str"/>
      <x:c r="W508" t="str"/>
      <x:c r="X508" t="str"/>
      <x:c r="Y508" t="str"/>
      <x:c r="Z508" t="str"/>
      <x:c r="AA508" t="str"/>
      <x:c r="AB508" t="str"/>
      <x:c r="AC508" t="str"/>
      <x:c r="AD508" t="str"/>
      <x:c r="AE508" t="str"/>
      <x:c r="AF508" t="str"/>
      <x:c r="AG508" t="str"/>
      <x:c r="AH508" t="str">
        <x:f>D508&amp;"|"&amp;UPPER(F508)&amp;"|"&amp;LEFT(B508,10)</x:f>
        <x:v>1370|SFMTA|2026-07-01</x:v>
      </x:c>
    </x:row>
    <x:row r="509">
      <x:c r="A509" s="22" t="n">
        <x:v>2167</x:v>
      </x:c>
      <x:c r="B509" t="str">
        <x:v>2024-01-06T00:00:00</x:v>
      </x:c>
      <x:c r="C509" t="str">
        <x:v>1371Y</x:v>
      </x:c>
      <x:c r="D509" t="str">
        <x:v>1371</x:v>
      </x:c>
      <x:c r="E509" t="str">
        <x:v>Special Assistant XII</x:v>
      </x:c>
      <x:c r="F509" t="str">
        <x:v>COMMN</x:v>
      </x:c>
      <x:c r="G509" t="str">
        <x:v>60.2625</x:v>
      </x:c>
      <x:c r="H509" t="str">
        <x:v>63.275</x:v>
      </x:c>
      <x:c r="I509" t="str">
        <x:v>66.4625</x:v>
      </x:c>
      <x:c r="J509" t="str">
        <x:v>69.7625</x:v>
      </x:c>
      <x:c r="K509" t="str">
        <x:v>73.2625</x:v>
      </x:c>
      <x:c r="L509" t="str"/>
      <x:c r="M509" t="str"/>
      <x:c r="N509" t="str"/>
      <x:c r="O509" t="str"/>
      <x:c r="P509" t="str"/>
      <x:c r="Q509" t="str"/>
      <x:c r="R509" t="str"/>
      <x:c r="S509" t="str"/>
      <x:c r="T509" t="str"/>
      <x:c r="U509" t="str"/>
      <x:c r="V509" t="str"/>
      <x:c r="W509" t="str"/>
      <x:c r="X509" t="str"/>
      <x:c r="Y509" t="str"/>
      <x:c r="Z509" t="str"/>
      <x:c r="AA509" t="str"/>
      <x:c r="AB509" t="str"/>
      <x:c r="AC509" t="str"/>
      <x:c r="AD509" t="str"/>
      <x:c r="AE509" t="str"/>
      <x:c r="AF509" t="str"/>
      <x:c r="AG509" t="str"/>
      <x:c r="AH509" t="str">
        <x:f>D509&amp;"|"&amp;UPPER(F509)&amp;"|"&amp;LEFT(B509,10)</x:f>
        <x:v>1371|COMMN|2024-01-06</x:v>
      </x:c>
    </x:row>
    <x:row r="510">
      <x:c r="A510" s="22" t="n">
        <x:v>2179</x:v>
      </x:c>
      <x:c r="B510" t="str">
        <x:v>2024-01-06T00:00:00</x:v>
      </x:c>
      <x:c r="C510" t="str">
        <x:v>1371Y</x:v>
      </x:c>
      <x:c r="D510" t="str">
        <x:v>1371</x:v>
      </x:c>
      <x:c r="E510" t="str">
        <x:v>Special Assistant XII</x:v>
      </x:c>
      <x:c r="F510" t="str">
        <x:v>SFMTA</x:v>
      </x:c>
      <x:c r="G510" t="str">
        <x:v>60.2625</x:v>
      </x:c>
      <x:c r="H510" t="str">
        <x:v>63.275</x:v>
      </x:c>
      <x:c r="I510" t="str">
        <x:v>66.4625</x:v>
      </x:c>
      <x:c r="J510" t="str">
        <x:v>69.7625</x:v>
      </x:c>
      <x:c r="K510" t="str">
        <x:v>73.2625</x:v>
      </x:c>
      <x:c r="L510" t="str"/>
      <x:c r="M510" t="str"/>
      <x:c r="N510" t="str"/>
      <x:c r="O510" t="str"/>
      <x:c r="P510" t="str"/>
      <x:c r="Q510" t="str"/>
      <x:c r="R510" t="str"/>
      <x:c r="S510" t="str"/>
      <x:c r="T510" t="str"/>
      <x:c r="U510" t="str"/>
      <x:c r="V510" t="str"/>
      <x:c r="W510" t="str"/>
      <x:c r="X510" t="str"/>
      <x:c r="Y510" t="str"/>
      <x:c r="Z510" t="str"/>
      <x:c r="AA510" t="str"/>
      <x:c r="AB510" t="str"/>
      <x:c r="AC510" t="str"/>
      <x:c r="AD510" t="str"/>
      <x:c r="AE510" t="str"/>
      <x:c r="AF510" t="str"/>
      <x:c r="AG510" t="str"/>
      <x:c r="AH510" t="str">
        <x:f>D510&amp;"|"&amp;UPPER(F510)&amp;"|"&amp;LEFT(B510,10)</x:f>
        <x:v>1371|SFMTA|2024-01-06</x:v>
      </x:c>
    </x:row>
    <x:row r="511">
      <x:c r="A511" s="22" t="n">
        <x:v>2168</x:v>
      </x:c>
      <x:c r="B511" t="str">
        <x:v>2024-07-01T00:00:00</x:v>
      </x:c>
      <x:c r="C511" t="str">
        <x:v>1371Z</x:v>
      </x:c>
      <x:c r="D511" t="str">
        <x:v>1371</x:v>
      </x:c>
      <x:c r="E511" t="str">
        <x:v>Special Assistant XII</x:v>
      </x:c>
      <x:c r="F511" t="str">
        <x:v>COMMN</x:v>
      </x:c>
      <x:c r="G511" t="str">
        <x:v>61.1625</x:v>
      </x:c>
      <x:c r="H511" t="str">
        <x:v>64.225</x:v>
      </x:c>
      <x:c r="I511" t="str">
        <x:v>67.4625</x:v>
      </x:c>
      <x:c r="J511" t="str">
        <x:v>70.8125</x:v>
      </x:c>
      <x:c r="K511" t="str">
        <x:v>74.3625</x:v>
      </x:c>
      <x:c r="L511" t="str"/>
      <x:c r="M511" t="str"/>
      <x:c r="N511" t="str"/>
      <x:c r="O511" t="str"/>
      <x:c r="P511" t="str"/>
      <x:c r="Q511" t="str"/>
      <x:c r="R511" t="str"/>
      <x:c r="S511" t="str"/>
      <x:c r="T511" t="str"/>
      <x:c r="U511" t="str"/>
      <x:c r="V511" t="str"/>
      <x:c r="W511" t="str"/>
      <x:c r="X511" t="str"/>
      <x:c r="Y511" t="str"/>
      <x:c r="Z511" t="str"/>
      <x:c r="AA511" t="str"/>
      <x:c r="AB511" t="str"/>
      <x:c r="AC511" t="str"/>
      <x:c r="AD511" t="str"/>
      <x:c r="AE511" t="str"/>
      <x:c r="AF511" t="str"/>
      <x:c r="AG511" t="str"/>
      <x:c r="AH511" t="str">
        <x:f>D511&amp;"|"&amp;UPPER(F511)&amp;"|"&amp;LEFT(B511,10)</x:f>
        <x:v>1371|COMMN|2024-07-01</x:v>
      </x:c>
    </x:row>
    <x:row r="512">
      <x:c r="A512" s="22" t="n">
        <x:v>2180</x:v>
      </x:c>
      <x:c r="B512" t="str">
        <x:v>2024-07-01T00:00:00</x:v>
      </x:c>
      <x:c r="C512" t="str">
        <x:v>1371Z</x:v>
      </x:c>
      <x:c r="D512" t="str">
        <x:v>1371</x:v>
      </x:c>
      <x:c r="E512" t="str">
        <x:v>Special Assistant XII</x:v>
      </x:c>
      <x:c r="F512" t="str">
        <x:v>SFMTA</x:v>
      </x:c>
      <x:c r="G512" t="str">
        <x:v>61.1625</x:v>
      </x:c>
      <x:c r="H512" t="str">
        <x:v>64.225</x:v>
      </x:c>
      <x:c r="I512" t="str">
        <x:v>67.4625</x:v>
      </x:c>
      <x:c r="J512" t="str">
        <x:v>70.8125</x:v>
      </x:c>
      <x:c r="K512" t="str">
        <x:v>74.3625</x:v>
      </x:c>
      <x:c r="L512" t="str"/>
      <x:c r="M512" t="str"/>
      <x:c r="N512" t="str"/>
      <x:c r="O512" t="str"/>
      <x:c r="P512" t="str"/>
      <x:c r="Q512" t="str"/>
      <x:c r="R512" t="str"/>
      <x:c r="S512" t="str"/>
      <x:c r="T512" t="str"/>
      <x:c r="U512" t="str"/>
      <x:c r="V512" t="str"/>
      <x:c r="W512" t="str"/>
      <x:c r="X512" t="str"/>
      <x:c r="Y512" t="str"/>
      <x:c r="Z512" t="str"/>
      <x:c r="AA512" t="str"/>
      <x:c r="AB512" t="str"/>
      <x:c r="AC512" t="str"/>
      <x:c r="AD512" t="str"/>
      <x:c r="AE512" t="str"/>
      <x:c r="AF512" t="str"/>
      <x:c r="AG512" t="str"/>
      <x:c r="AH512" t="str">
        <x:f>D512&amp;"|"&amp;UPPER(F512)&amp;"|"&amp;LEFT(B512,10)</x:f>
        <x:v>1371|SFMTA|2024-07-01</x:v>
      </x:c>
    </x:row>
    <x:row r="513">
      <x:c r="A513" s="22" t="n">
        <x:v>2169</x:v>
      </x:c>
      <x:c r="B513" t="str">
        <x:v>2025-01-04T00:00:00</x:v>
      </x:c>
      <x:c r="C513" t="str">
        <x:v>1371A</x:v>
      </x:c>
      <x:c r="D513" t="str">
        <x:v>1371</x:v>
      </x:c>
      <x:c r="E513" t="str">
        <x:v>Special Assistant XII</x:v>
      </x:c>
      <x:c r="F513" t="str">
        <x:v>COMMN</x:v>
      </x:c>
      <x:c r="G513" t="str">
        <x:v>62.075</x:v>
      </x:c>
      <x:c r="H513" t="str">
        <x:v>65.1875</x:v>
      </x:c>
      <x:c r="I513" t="str">
        <x:v>68.475</x:v>
      </x:c>
      <x:c r="J513" t="str">
        <x:v>71.875</x:v>
      </x:c>
      <x:c r="K513" t="str">
        <x:v>75.475</x:v>
      </x:c>
      <x:c r="L513" t="str"/>
      <x:c r="M513" t="str"/>
      <x:c r="N513" t="str"/>
      <x:c r="O513" t="str"/>
      <x:c r="P513" t="str"/>
      <x:c r="Q513" t="str"/>
      <x:c r="R513" t="str"/>
      <x:c r="S513" t="str"/>
      <x:c r="T513" t="str"/>
      <x:c r="U513" t="str"/>
      <x:c r="V513" t="str"/>
      <x:c r="W513" t="str"/>
      <x:c r="X513" t="str"/>
      <x:c r="Y513" t="str"/>
      <x:c r="Z513" t="str"/>
      <x:c r="AA513" t="str"/>
      <x:c r="AB513" t="str"/>
      <x:c r="AC513" t="str"/>
      <x:c r="AD513" t="str"/>
      <x:c r="AE513" t="str"/>
      <x:c r="AF513" t="str"/>
      <x:c r="AG513" t="str"/>
      <x:c r="AH513" t="str">
        <x:f>D513&amp;"|"&amp;UPPER(F513)&amp;"|"&amp;LEFT(B513,10)</x:f>
        <x:v>1371|COMMN|2025-01-04</x:v>
      </x:c>
    </x:row>
    <x:row r="514">
      <x:c r="A514" s="22" t="n">
        <x:v>2181</x:v>
      </x:c>
      <x:c r="B514" t="str">
        <x:v>2025-01-04T00:00:00</x:v>
      </x:c>
      <x:c r="C514" t="str">
        <x:v>1371A</x:v>
      </x:c>
      <x:c r="D514" t="str">
        <x:v>1371</x:v>
      </x:c>
      <x:c r="E514" t="str">
        <x:v>Special Assistant XII</x:v>
      </x:c>
      <x:c r="F514" t="str">
        <x:v>SFMTA</x:v>
      </x:c>
      <x:c r="G514" t="str">
        <x:v>62.075</x:v>
      </x:c>
      <x:c r="H514" t="str">
        <x:v>65.1875</x:v>
      </x:c>
      <x:c r="I514" t="str">
        <x:v>68.475</x:v>
      </x:c>
      <x:c r="J514" t="str">
        <x:v>71.875</x:v>
      </x:c>
      <x:c r="K514" t="str">
        <x:v>75.475</x:v>
      </x:c>
      <x:c r="L514" t="str"/>
      <x:c r="M514" t="str"/>
      <x:c r="N514" t="str"/>
      <x:c r="O514" t="str"/>
      <x:c r="P514" t="str"/>
      <x:c r="Q514" t="str"/>
      <x:c r="R514" t="str"/>
      <x:c r="S514" t="str"/>
      <x:c r="T514" t="str"/>
      <x:c r="U514" t="str"/>
      <x:c r="V514" t="str"/>
      <x:c r="W514" t="str"/>
      <x:c r="X514" t="str"/>
      <x:c r="Y514" t="str"/>
      <x:c r="Z514" t="str"/>
      <x:c r="AA514" t="str"/>
      <x:c r="AB514" t="str"/>
      <x:c r="AC514" t="str"/>
      <x:c r="AD514" t="str"/>
      <x:c r="AE514" t="str"/>
      <x:c r="AF514" t="str"/>
      <x:c r="AG514" t="str"/>
      <x:c r="AH514" t="str">
        <x:f>D514&amp;"|"&amp;UPPER(F514)&amp;"|"&amp;LEFT(B514,10)</x:f>
        <x:v>1371|SFMTA|2025-01-04</x:v>
      </x:c>
    </x:row>
    <x:row r="515">
      <x:c r="A515" s="22" t="n">
        <x:v>2170</x:v>
      </x:c>
      <x:c r="B515" t="str">
        <x:v>2025-07-01T00:00:00</x:v>
      </x:c>
      <x:c r="C515" t="str">
        <x:v>1371B</x:v>
      </x:c>
      <x:c r="D515" t="str">
        <x:v>1371</x:v>
      </x:c>
      <x:c r="E515" t="str">
        <x:v>Special Assistant 12</x:v>
      </x:c>
      <x:c r="F515" t="str">
        <x:v>COMMN</x:v>
      </x:c>
      <x:c r="G515" t="str">
        <x:v>63.325</x:v>
      </x:c>
      <x:c r="H515" t="str">
        <x:v>66.5</x:v>
      </x:c>
      <x:c r="I515" t="str">
        <x:v>69.85</x:v>
      </x:c>
      <x:c r="J515" t="str">
        <x:v>73.325</x:v>
      </x:c>
      <x:c r="K515" t="str">
        <x:v>76.9875</x:v>
      </x:c>
      <x:c r="L515" t="str"/>
      <x:c r="M515" t="str"/>
      <x:c r="N515" t="str"/>
      <x:c r="O515" t="str"/>
      <x:c r="P515" t="str"/>
      <x:c r="Q515" t="str"/>
      <x:c r="R515" t="str"/>
      <x:c r="S515" t="str"/>
      <x:c r="T515" t="str"/>
      <x:c r="U515" t="str"/>
      <x:c r="V515" t="str"/>
      <x:c r="W515" t="str"/>
      <x:c r="X515" t="str"/>
      <x:c r="Y515" t="str"/>
      <x:c r="Z515" t="str"/>
      <x:c r="AA515" t="str"/>
      <x:c r="AB515" t="str"/>
      <x:c r="AC515" t="str"/>
      <x:c r="AD515" t="str"/>
      <x:c r="AE515" t="str"/>
      <x:c r="AF515" t="str"/>
      <x:c r="AG515" t="str"/>
      <x:c r="AH515" t="str">
        <x:f>D515&amp;"|"&amp;UPPER(F515)&amp;"|"&amp;LEFT(B515,10)</x:f>
        <x:v>1371|COMMN|2025-07-01</x:v>
      </x:c>
    </x:row>
    <x:row r="516">
      <x:c r="A516" s="22" t="n">
        <x:v>2182</x:v>
      </x:c>
      <x:c r="B516" t="str">
        <x:v>2025-07-01T00:00:00</x:v>
      </x:c>
      <x:c r="C516" t="str">
        <x:v>1371B</x:v>
      </x:c>
      <x:c r="D516" t="str">
        <x:v>1371</x:v>
      </x:c>
      <x:c r="E516" t="str">
        <x:v>Special Assistant 12</x:v>
      </x:c>
      <x:c r="F516" t="str">
        <x:v>SFMTA</x:v>
      </x:c>
      <x:c r="G516" t="str">
        <x:v>63.325</x:v>
      </x:c>
      <x:c r="H516" t="str">
        <x:v>66.5</x:v>
      </x:c>
      <x:c r="I516" t="str">
        <x:v>69.85</x:v>
      </x:c>
      <x:c r="J516" t="str">
        <x:v>73.325</x:v>
      </x:c>
      <x:c r="K516" t="str">
        <x:v>76.9875</x:v>
      </x:c>
      <x:c r="L516" t="str"/>
      <x:c r="M516" t="str"/>
      <x:c r="N516" t="str"/>
      <x:c r="O516" t="str"/>
      <x:c r="P516" t="str"/>
      <x:c r="Q516" t="str"/>
      <x:c r="R516" t="str"/>
      <x:c r="S516" t="str"/>
      <x:c r="T516" t="str"/>
      <x:c r="U516" t="str"/>
      <x:c r="V516" t="str"/>
      <x:c r="W516" t="str"/>
      <x:c r="X516" t="str"/>
      <x:c r="Y516" t="str"/>
      <x:c r="Z516" t="str"/>
      <x:c r="AA516" t="str"/>
      <x:c r="AB516" t="str"/>
      <x:c r="AC516" t="str"/>
      <x:c r="AD516" t="str"/>
      <x:c r="AE516" t="str"/>
      <x:c r="AF516" t="str"/>
      <x:c r="AG516" t="str"/>
      <x:c r="AH516" t="str">
        <x:f>D516&amp;"|"&amp;UPPER(F516)&amp;"|"&amp;LEFT(B516,10)</x:f>
        <x:v>1371|SFMTA|2025-07-01</x:v>
      </x:c>
    </x:row>
    <x:row r="517">
      <x:c r="A517" s="22" t="n">
        <x:v>2171</x:v>
      </x:c>
      <x:c r="B517" t="str">
        <x:v>2026-01-03T00:00:00</x:v>
      </x:c>
      <x:c r="C517" t="str">
        <x:v>1371C</x:v>
      </x:c>
      <x:c r="D517" t="str">
        <x:v>1371</x:v>
      </x:c>
      <x:c r="E517" t="str">
        <x:v>Special Assistant 12</x:v>
      </x:c>
      <x:c r="F517" t="str">
        <x:v>COMMN</x:v>
      </x:c>
      <x:c r="G517" t="str">
        <x:v>64.275</x:v>
      </x:c>
      <x:c r="H517" t="str">
        <x:v>67.5</x:v>
      </x:c>
      <x:c r="I517" t="str">
        <x:v>70.9</x:v>
      </x:c>
      <x:c r="J517" t="str">
        <x:v>74.425</x:v>
      </x:c>
      <x:c r="K517" t="str">
        <x:v>78.1375</x:v>
      </x:c>
      <x:c r="L517" t="str"/>
      <x:c r="M517" t="str"/>
      <x:c r="N517" t="str"/>
      <x:c r="O517" t="str"/>
      <x:c r="P517" t="str"/>
      <x:c r="Q517" t="str"/>
      <x:c r="R517" t="str"/>
      <x:c r="S517" t="str"/>
      <x:c r="T517" t="str"/>
      <x:c r="U517" t="str"/>
      <x:c r="V517" t="str"/>
      <x:c r="W517" t="str"/>
      <x:c r="X517" t="str"/>
      <x:c r="Y517" t="str"/>
      <x:c r="Z517" t="str"/>
      <x:c r="AA517" t="str"/>
      <x:c r="AB517" t="str"/>
      <x:c r="AC517" t="str"/>
      <x:c r="AD517" t="str"/>
      <x:c r="AE517" t="str"/>
      <x:c r="AF517" t="str"/>
      <x:c r="AG517" t="str"/>
      <x:c r="AH517" t="str">
        <x:f>D517&amp;"|"&amp;UPPER(F517)&amp;"|"&amp;LEFT(B517,10)</x:f>
        <x:v>1371|COMMN|2026-01-03</x:v>
      </x:c>
    </x:row>
    <x:row r="518">
      <x:c r="A518" s="22" t="n">
        <x:v>2183</x:v>
      </x:c>
      <x:c r="B518" t="str">
        <x:v>2026-01-03T00:00:00</x:v>
      </x:c>
      <x:c r="C518" t="str">
        <x:v>1371C</x:v>
      </x:c>
      <x:c r="D518" t="str">
        <x:v>1371</x:v>
      </x:c>
      <x:c r="E518" t="str">
        <x:v>Special Assistant 12</x:v>
      </x:c>
      <x:c r="F518" t="str">
        <x:v>SFMTA</x:v>
      </x:c>
      <x:c r="G518" t="str">
        <x:v>64.275</x:v>
      </x:c>
      <x:c r="H518" t="str">
        <x:v>67.5</x:v>
      </x:c>
      <x:c r="I518" t="str">
        <x:v>70.9</x:v>
      </x:c>
      <x:c r="J518" t="str">
        <x:v>74.425</x:v>
      </x:c>
      <x:c r="K518" t="str">
        <x:v>78.1375</x:v>
      </x:c>
      <x:c r="L518" t="str"/>
      <x:c r="M518" t="str"/>
      <x:c r="N518" t="str"/>
      <x:c r="O518" t="str"/>
      <x:c r="P518" t="str"/>
      <x:c r="Q518" t="str"/>
      <x:c r="R518" t="str"/>
      <x:c r="S518" t="str"/>
      <x:c r="T518" t="str"/>
      <x:c r="U518" t="str"/>
      <x:c r="V518" t="str"/>
      <x:c r="W518" t="str"/>
      <x:c r="X518" t="str"/>
      <x:c r="Y518" t="str"/>
      <x:c r="Z518" t="str"/>
      <x:c r="AA518" t="str"/>
      <x:c r="AB518" t="str"/>
      <x:c r="AC518" t="str"/>
      <x:c r="AD518" t="str"/>
      <x:c r="AE518" t="str"/>
      <x:c r="AF518" t="str"/>
      <x:c r="AG518" t="str"/>
      <x:c r="AH518" t="str">
        <x:f>D518&amp;"|"&amp;UPPER(F518)&amp;"|"&amp;LEFT(B518,10)</x:f>
        <x:v>1371|SFMTA|2026-01-03</x:v>
      </x:c>
    </x:row>
    <x:row r="519">
      <x:c r="A519" s="22" t="n">
        <x:v>2172</x:v>
      </x:c>
      <x:c r="B519" t="str">
        <x:v>2026-07-01T00:00:00</x:v>
      </x:c>
      <x:c r="C519" t="str">
        <x:v>1371D</x:v>
      </x:c>
      <x:c r="D519" t="str">
        <x:v>1371</x:v>
      </x:c>
      <x:c r="E519" t="str">
        <x:v>Special Assistant 12</x:v>
      </x:c>
      <x:c r="F519" t="str">
        <x:v>COMMN</x:v>
      </x:c>
      <x:c r="G519" t="str">
        <x:v>65.5625</x:v>
      </x:c>
      <x:c r="H519" t="str">
        <x:v>68.85</x:v>
      </x:c>
      <x:c r="I519" t="str">
        <x:v>72.3125</x:v>
      </x:c>
      <x:c r="J519" t="str">
        <x:v>75.9125</x:v>
      </x:c>
      <x:c r="K519" t="str">
        <x:v>79.7</x:v>
      </x:c>
      <x:c r="L519" t="str"/>
      <x:c r="M519" t="str"/>
      <x:c r="N519" t="str"/>
      <x:c r="O519" t="str"/>
      <x:c r="P519" t="str"/>
      <x:c r="Q519" t="str"/>
      <x:c r="R519" t="str"/>
      <x:c r="S519" t="str"/>
      <x:c r="T519" t="str"/>
      <x:c r="U519" t="str"/>
      <x:c r="V519" t="str"/>
      <x:c r="W519" t="str"/>
      <x:c r="X519" t="str"/>
      <x:c r="Y519" t="str"/>
      <x:c r="Z519" t="str"/>
      <x:c r="AA519" t="str"/>
      <x:c r="AB519" t="str"/>
      <x:c r="AC519" t="str"/>
      <x:c r="AD519" t="str"/>
      <x:c r="AE519" t="str"/>
      <x:c r="AF519" t="str"/>
      <x:c r="AG519" t="str"/>
      <x:c r="AH519" t="str">
        <x:f>D519&amp;"|"&amp;UPPER(F519)&amp;"|"&amp;LEFT(B519,10)</x:f>
        <x:v>1371|COMMN|2026-07-01</x:v>
      </x:c>
    </x:row>
    <x:row r="520">
      <x:c r="A520" s="22" t="n">
        <x:v>2184</x:v>
      </x:c>
      <x:c r="B520" t="str">
        <x:v>2026-07-01T00:00:00</x:v>
      </x:c>
      <x:c r="C520" t="str">
        <x:v>1371D</x:v>
      </x:c>
      <x:c r="D520" t="str">
        <x:v>1371</x:v>
      </x:c>
      <x:c r="E520" t="str">
        <x:v>Special Assistant 12</x:v>
      </x:c>
      <x:c r="F520" t="str">
        <x:v>SFMTA</x:v>
      </x:c>
      <x:c r="G520" t="str">
        <x:v>65.5625</x:v>
      </x:c>
      <x:c r="H520" t="str">
        <x:v>68.85</x:v>
      </x:c>
      <x:c r="I520" t="str">
        <x:v>72.3125</x:v>
      </x:c>
      <x:c r="J520" t="str">
        <x:v>75.9125</x:v>
      </x:c>
      <x:c r="K520" t="str">
        <x:v>79.7</x:v>
      </x:c>
      <x:c r="L520" t="str"/>
      <x:c r="M520" t="str"/>
      <x:c r="N520" t="str"/>
      <x:c r="O520" t="str"/>
      <x:c r="P520" t="str"/>
      <x:c r="Q520" t="str"/>
      <x:c r="R520" t="str"/>
      <x:c r="S520" t="str"/>
      <x:c r="T520" t="str"/>
      <x:c r="U520" t="str"/>
      <x:c r="V520" t="str"/>
      <x:c r="W520" t="str"/>
      <x:c r="X520" t="str"/>
      <x:c r="Y520" t="str"/>
      <x:c r="Z520" t="str"/>
      <x:c r="AA520" t="str"/>
      <x:c r="AB520" t="str"/>
      <x:c r="AC520" t="str"/>
      <x:c r="AD520" t="str"/>
      <x:c r="AE520" t="str"/>
      <x:c r="AF520" t="str"/>
      <x:c r="AG520" t="str"/>
      <x:c r="AH520" t="str">
        <x:f>D520&amp;"|"&amp;UPPER(F520)&amp;"|"&amp;LEFT(B520,10)</x:f>
        <x:v>1371|SFMTA|2026-07-01</x:v>
      </x:c>
    </x:row>
    <x:row r="521">
      <x:c r="A521" s="22" t="n">
        <x:v>2191</x:v>
      </x:c>
      <x:c r="B521" t="str">
        <x:v>2024-01-06T00:00:00</x:v>
      </x:c>
      <x:c r="C521" t="str">
        <x:v>1372Y</x:v>
      </x:c>
      <x:c r="D521" t="str">
        <x:v>1372</x:v>
      </x:c>
      <x:c r="E521" t="str">
        <x:v>Special Assistant XIII</x:v>
      </x:c>
      <x:c r="F521" t="str">
        <x:v>COMMN</x:v>
      </x:c>
      <x:c r="G521" t="str">
        <x:v>64.525</x:v>
      </x:c>
      <x:c r="H521" t="str">
        <x:v>67.7375</x:v>
      </x:c>
      <x:c r="I521" t="str">
        <x:v>71.1375</x:v>
      </x:c>
      <x:c r="J521" t="str">
        <x:v>74.7125</x:v>
      </x:c>
      <x:c r="K521" t="str">
        <x:v>78.4375</x:v>
      </x:c>
      <x:c r="L521" t="str"/>
      <x:c r="M521" t="str"/>
      <x:c r="N521" t="str"/>
      <x:c r="O521" t="str"/>
      <x:c r="P521" t="str"/>
      <x:c r="Q521" t="str"/>
      <x:c r="R521" t="str"/>
      <x:c r="S521" t="str"/>
      <x:c r="T521" t="str"/>
      <x:c r="U521" t="str"/>
      <x:c r="V521" t="str"/>
      <x:c r="W521" t="str"/>
      <x:c r="X521" t="str"/>
      <x:c r="Y521" t="str"/>
      <x:c r="Z521" t="str"/>
      <x:c r="AA521" t="str"/>
      <x:c r="AB521" t="str"/>
      <x:c r="AC521" t="str"/>
      <x:c r="AD521" t="str"/>
      <x:c r="AE521" t="str"/>
      <x:c r="AF521" t="str"/>
      <x:c r="AG521" t="str"/>
      <x:c r="AH521" t="str">
        <x:f>D521&amp;"|"&amp;UPPER(F521)&amp;"|"&amp;LEFT(B521,10)</x:f>
        <x:v>1372|COMMN|2024-01-06</x:v>
      </x:c>
    </x:row>
    <x:row r="522">
      <x:c r="A522" s="22" t="n">
        <x:v>2203</x:v>
      </x:c>
      <x:c r="B522" t="str">
        <x:v>2024-01-06T00:00:00</x:v>
      </x:c>
      <x:c r="C522" t="str">
        <x:v>1372Y</x:v>
      </x:c>
      <x:c r="D522" t="str">
        <x:v>1372</x:v>
      </x:c>
      <x:c r="E522" t="str">
        <x:v>Special Assistant XIII</x:v>
      </x:c>
      <x:c r="F522" t="str">
        <x:v>SFMTA</x:v>
      </x:c>
      <x:c r="G522" t="str">
        <x:v>64.525</x:v>
      </x:c>
      <x:c r="H522" t="str">
        <x:v>67.7375</x:v>
      </x:c>
      <x:c r="I522" t="str">
        <x:v>71.1375</x:v>
      </x:c>
      <x:c r="J522" t="str">
        <x:v>74.7125</x:v>
      </x:c>
      <x:c r="K522" t="str">
        <x:v>78.4375</x:v>
      </x:c>
      <x:c r="L522" t="str"/>
      <x:c r="M522" t="str"/>
      <x:c r="N522" t="str"/>
      <x:c r="O522" t="str"/>
      <x:c r="P522" t="str"/>
      <x:c r="Q522" t="str"/>
      <x:c r="R522" t="str"/>
      <x:c r="S522" t="str"/>
      <x:c r="T522" t="str"/>
      <x:c r="U522" t="str"/>
      <x:c r="V522" t="str"/>
      <x:c r="W522" t="str"/>
      <x:c r="X522" t="str"/>
      <x:c r="Y522" t="str"/>
      <x:c r="Z522" t="str"/>
      <x:c r="AA522" t="str"/>
      <x:c r="AB522" t="str"/>
      <x:c r="AC522" t="str"/>
      <x:c r="AD522" t="str"/>
      <x:c r="AE522" t="str"/>
      <x:c r="AF522" t="str"/>
      <x:c r="AG522" t="str"/>
      <x:c r="AH522" t="str">
        <x:f>D522&amp;"|"&amp;UPPER(F522)&amp;"|"&amp;LEFT(B522,10)</x:f>
        <x:v>1372|SFMTA|2024-01-06</x:v>
      </x:c>
    </x:row>
    <x:row r="523">
      <x:c r="A523" s="22" t="n">
        <x:v>2192</x:v>
      </x:c>
      <x:c r="B523" t="str">
        <x:v>2024-07-01T00:00:00</x:v>
      </x:c>
      <x:c r="C523" t="str">
        <x:v>1372Z</x:v>
      </x:c>
      <x:c r="D523" t="str">
        <x:v>1372</x:v>
      </x:c>
      <x:c r="E523" t="str">
        <x:v>Special Assistant XIII</x:v>
      </x:c>
      <x:c r="F523" t="str">
        <x:v>COMMN</x:v>
      </x:c>
      <x:c r="G523" t="str">
        <x:v>65.4875</x:v>
      </x:c>
      <x:c r="H523" t="str">
        <x:v>68.75</x:v>
      </x:c>
      <x:c r="I523" t="str">
        <x:v>72.2</x:v>
      </x:c>
      <x:c r="J523" t="str">
        <x:v>75.8375</x:v>
      </x:c>
      <x:c r="K523" t="str">
        <x:v>79.6125</x:v>
      </x:c>
      <x:c r="L523" t="str"/>
      <x:c r="M523" t="str"/>
      <x:c r="N523" t="str"/>
      <x:c r="O523" t="str"/>
      <x:c r="P523" t="str"/>
      <x:c r="Q523" t="str"/>
      <x:c r="R523" t="str"/>
      <x:c r="S523" t="str"/>
      <x:c r="T523" t="str"/>
      <x:c r="U523" t="str"/>
      <x:c r="V523" t="str"/>
      <x:c r="W523" t="str"/>
      <x:c r="X523" t="str"/>
      <x:c r="Y523" t="str"/>
      <x:c r="Z523" t="str"/>
      <x:c r="AA523" t="str"/>
      <x:c r="AB523" t="str"/>
      <x:c r="AC523" t="str"/>
      <x:c r="AD523" t="str"/>
      <x:c r="AE523" t="str"/>
      <x:c r="AF523" t="str"/>
      <x:c r="AG523" t="str"/>
      <x:c r="AH523" t="str">
        <x:f>D523&amp;"|"&amp;UPPER(F523)&amp;"|"&amp;LEFT(B523,10)</x:f>
        <x:v>1372|COMMN|2024-07-01</x:v>
      </x:c>
    </x:row>
    <x:row r="524">
      <x:c r="A524" s="22" t="n">
        <x:v>2204</x:v>
      </x:c>
      <x:c r="B524" t="str">
        <x:v>2024-07-01T00:00:00</x:v>
      </x:c>
      <x:c r="C524" t="str">
        <x:v>1372Z</x:v>
      </x:c>
      <x:c r="D524" t="str">
        <x:v>1372</x:v>
      </x:c>
      <x:c r="E524" t="str">
        <x:v>Special Assistant XIII</x:v>
      </x:c>
      <x:c r="F524" t="str">
        <x:v>SFMTA</x:v>
      </x:c>
      <x:c r="G524" t="str">
        <x:v>65.4875</x:v>
      </x:c>
      <x:c r="H524" t="str">
        <x:v>68.75</x:v>
      </x:c>
      <x:c r="I524" t="str">
        <x:v>72.2</x:v>
      </x:c>
      <x:c r="J524" t="str">
        <x:v>75.8375</x:v>
      </x:c>
      <x:c r="K524" t="str">
        <x:v>79.6125</x:v>
      </x:c>
      <x:c r="L524" t="str"/>
      <x:c r="M524" t="str"/>
      <x:c r="N524" t="str"/>
      <x:c r="O524" t="str"/>
      <x:c r="P524" t="str"/>
      <x:c r="Q524" t="str"/>
      <x:c r="R524" t="str"/>
      <x:c r="S524" t="str"/>
      <x:c r="T524" t="str"/>
      <x:c r="U524" t="str"/>
      <x:c r="V524" t="str"/>
      <x:c r="W524" t="str"/>
      <x:c r="X524" t="str"/>
      <x:c r="Y524" t="str"/>
      <x:c r="Z524" t="str"/>
      <x:c r="AA524" t="str"/>
      <x:c r="AB524" t="str"/>
      <x:c r="AC524" t="str"/>
      <x:c r="AD524" t="str"/>
      <x:c r="AE524" t="str"/>
      <x:c r="AF524" t="str"/>
      <x:c r="AG524" t="str"/>
      <x:c r="AH524" t="str">
        <x:f>D524&amp;"|"&amp;UPPER(F524)&amp;"|"&amp;LEFT(B524,10)</x:f>
        <x:v>1372|SFMTA|2024-07-01</x:v>
      </x:c>
    </x:row>
    <x:row r="525">
      <x:c r="A525" s="22" t="n">
        <x:v>2193</x:v>
      </x:c>
      <x:c r="B525" t="str">
        <x:v>2025-01-04T00:00:00</x:v>
      </x:c>
      <x:c r="C525" t="str">
        <x:v>1372A</x:v>
      </x:c>
      <x:c r="D525" t="str">
        <x:v>1372</x:v>
      </x:c>
      <x:c r="E525" t="str">
        <x:v>Special Assistant XIII</x:v>
      </x:c>
      <x:c r="F525" t="str">
        <x:v>COMMN</x:v>
      </x:c>
      <x:c r="G525" t="str">
        <x:v>66.475</x:v>
      </x:c>
      <x:c r="H525" t="str">
        <x:v>69.7875</x:v>
      </x:c>
      <x:c r="I525" t="str">
        <x:v>73.2875</x:v>
      </x:c>
      <x:c r="J525" t="str">
        <x:v>76.975</x:v>
      </x:c>
      <x:c r="K525" t="str">
        <x:v>80.8125</x:v>
      </x:c>
      <x:c r="L525" t="str"/>
      <x:c r="M525" t="str"/>
      <x:c r="N525" t="str"/>
      <x:c r="O525" t="str"/>
      <x:c r="P525" t="str"/>
      <x:c r="Q525" t="str"/>
      <x:c r="R525" t="str"/>
      <x:c r="S525" t="str"/>
      <x:c r="T525" t="str"/>
      <x:c r="U525" t="str"/>
      <x:c r="V525" t="str"/>
      <x:c r="W525" t="str"/>
      <x:c r="X525" t="str"/>
      <x:c r="Y525" t="str"/>
      <x:c r="Z525" t="str"/>
      <x:c r="AA525" t="str"/>
      <x:c r="AB525" t="str"/>
      <x:c r="AC525" t="str"/>
      <x:c r="AD525" t="str"/>
      <x:c r="AE525" t="str"/>
      <x:c r="AF525" t="str"/>
      <x:c r="AG525" t="str"/>
      <x:c r="AH525" t="str">
        <x:f>D525&amp;"|"&amp;UPPER(F525)&amp;"|"&amp;LEFT(B525,10)</x:f>
        <x:v>1372|COMMN|2025-01-04</x:v>
      </x:c>
    </x:row>
    <x:row r="526">
      <x:c r="A526" s="22" t="n">
        <x:v>2205</x:v>
      </x:c>
      <x:c r="B526" t="str">
        <x:v>2025-01-04T00:00:00</x:v>
      </x:c>
      <x:c r="C526" t="str">
        <x:v>1372A</x:v>
      </x:c>
      <x:c r="D526" t="str">
        <x:v>1372</x:v>
      </x:c>
      <x:c r="E526" t="str">
        <x:v>Special Assistant XIII</x:v>
      </x:c>
      <x:c r="F526" t="str">
        <x:v>SFMTA</x:v>
      </x:c>
      <x:c r="G526" t="str">
        <x:v>66.475</x:v>
      </x:c>
      <x:c r="H526" t="str">
        <x:v>69.7875</x:v>
      </x:c>
      <x:c r="I526" t="str">
        <x:v>73.2875</x:v>
      </x:c>
      <x:c r="J526" t="str">
        <x:v>76.975</x:v>
      </x:c>
      <x:c r="K526" t="str">
        <x:v>80.8125</x:v>
      </x:c>
      <x:c r="L526" t="str"/>
      <x:c r="M526" t="str"/>
      <x:c r="N526" t="str"/>
      <x:c r="O526" t="str"/>
      <x:c r="P526" t="str"/>
      <x:c r="Q526" t="str"/>
      <x:c r="R526" t="str"/>
      <x:c r="S526" t="str"/>
      <x:c r="T526" t="str"/>
      <x:c r="U526" t="str"/>
      <x:c r="V526" t="str"/>
      <x:c r="W526" t="str"/>
      <x:c r="X526" t="str"/>
      <x:c r="Y526" t="str"/>
      <x:c r="Z526" t="str"/>
      <x:c r="AA526" t="str"/>
      <x:c r="AB526" t="str"/>
      <x:c r="AC526" t="str"/>
      <x:c r="AD526" t="str"/>
      <x:c r="AE526" t="str"/>
      <x:c r="AF526" t="str"/>
      <x:c r="AG526" t="str"/>
      <x:c r="AH526" t="str">
        <x:f>D526&amp;"|"&amp;UPPER(F526)&amp;"|"&amp;LEFT(B526,10)</x:f>
        <x:v>1372|SFMTA|2025-01-04</x:v>
      </x:c>
    </x:row>
    <x:row r="527">
      <x:c r="A527" s="22" t="n">
        <x:v>2194</x:v>
      </x:c>
      <x:c r="B527" t="str">
        <x:v>2025-07-01T00:00:00</x:v>
      </x:c>
      <x:c r="C527" t="str">
        <x:v>1372B</x:v>
      </x:c>
      <x:c r="D527" t="str">
        <x:v>1372</x:v>
      </x:c>
      <x:c r="E527" t="str">
        <x:v>Special Assistant 13</x:v>
      </x:c>
      <x:c r="F527" t="str">
        <x:v>COMMN</x:v>
      </x:c>
      <x:c r="G527" t="str">
        <x:v>67.8125</x:v>
      </x:c>
      <x:c r="H527" t="str">
        <x:v>71.1875</x:v>
      </x:c>
      <x:c r="I527" t="str">
        <x:v>74.7625</x:v>
      </x:c>
      <x:c r="J527" t="str">
        <x:v>78.525</x:v>
      </x:c>
      <x:c r="K527" t="str">
        <x:v>82.4375</x:v>
      </x:c>
      <x:c r="L527" t="str"/>
      <x:c r="M527" t="str"/>
      <x:c r="N527" t="str"/>
      <x:c r="O527" t="str"/>
      <x:c r="P527" t="str"/>
      <x:c r="Q527" t="str"/>
      <x:c r="R527" t="str"/>
      <x:c r="S527" t="str"/>
      <x:c r="T527" t="str"/>
      <x:c r="U527" t="str"/>
      <x:c r="V527" t="str"/>
      <x:c r="W527" t="str"/>
      <x:c r="X527" t="str"/>
      <x:c r="Y527" t="str"/>
      <x:c r="Z527" t="str"/>
      <x:c r="AA527" t="str"/>
      <x:c r="AB527" t="str"/>
      <x:c r="AC527" t="str"/>
      <x:c r="AD527" t="str"/>
      <x:c r="AE527" t="str"/>
      <x:c r="AF527" t="str"/>
      <x:c r="AG527" t="str"/>
      <x:c r="AH527" t="str">
        <x:f>D527&amp;"|"&amp;UPPER(F527)&amp;"|"&amp;LEFT(B527,10)</x:f>
        <x:v>1372|COMMN|2025-07-01</x:v>
      </x:c>
    </x:row>
    <x:row r="528">
      <x:c r="A528" s="22" t="n">
        <x:v>2206</x:v>
      </x:c>
      <x:c r="B528" t="str">
        <x:v>2025-07-01T00:00:00</x:v>
      </x:c>
      <x:c r="C528" t="str">
        <x:v>1372B</x:v>
      </x:c>
      <x:c r="D528" t="str">
        <x:v>1372</x:v>
      </x:c>
      <x:c r="E528" t="str">
        <x:v>Special Assistant 13</x:v>
      </x:c>
      <x:c r="F528" t="str">
        <x:v>SFMTA</x:v>
      </x:c>
      <x:c r="G528" t="str">
        <x:v>67.8125</x:v>
      </x:c>
      <x:c r="H528" t="str">
        <x:v>71.1875</x:v>
      </x:c>
      <x:c r="I528" t="str">
        <x:v>74.7625</x:v>
      </x:c>
      <x:c r="J528" t="str">
        <x:v>78.525</x:v>
      </x:c>
      <x:c r="K528" t="str">
        <x:v>82.4375</x:v>
      </x:c>
      <x:c r="L528" t="str"/>
      <x:c r="M528" t="str"/>
      <x:c r="N528" t="str"/>
      <x:c r="O528" t="str"/>
      <x:c r="P528" t="str"/>
      <x:c r="Q528" t="str"/>
      <x:c r="R528" t="str"/>
      <x:c r="S528" t="str"/>
      <x:c r="T528" t="str"/>
      <x:c r="U528" t="str"/>
      <x:c r="V528" t="str"/>
      <x:c r="W528" t="str"/>
      <x:c r="X528" t="str"/>
      <x:c r="Y528" t="str"/>
      <x:c r="Z528" t="str"/>
      <x:c r="AA528" t="str"/>
      <x:c r="AB528" t="str"/>
      <x:c r="AC528" t="str"/>
      <x:c r="AD528" t="str"/>
      <x:c r="AE528" t="str"/>
      <x:c r="AF528" t="str"/>
      <x:c r="AG528" t="str"/>
      <x:c r="AH528" t="str">
        <x:f>D528&amp;"|"&amp;UPPER(F528)&amp;"|"&amp;LEFT(B528,10)</x:f>
        <x:v>1372|SFMTA|2025-07-01</x:v>
      </x:c>
    </x:row>
    <x:row r="529">
      <x:c r="A529" s="22" t="n">
        <x:v>2195</x:v>
      </x:c>
      <x:c r="B529" t="str">
        <x:v>2026-01-03T00:00:00</x:v>
      </x:c>
      <x:c r="C529" t="str">
        <x:v>1372C</x:v>
      </x:c>
      <x:c r="D529" t="str">
        <x:v>1372</x:v>
      </x:c>
      <x:c r="E529" t="str">
        <x:v>Special Assistant 13</x:v>
      </x:c>
      <x:c r="F529" t="str">
        <x:v>COMMN</x:v>
      </x:c>
      <x:c r="G529" t="str">
        <x:v>68.825</x:v>
      </x:c>
      <x:c r="H529" t="str">
        <x:v>72.25</x:v>
      </x:c>
      <x:c r="I529" t="str">
        <x:v>75.8875</x:v>
      </x:c>
      <x:c r="J529" t="str">
        <x:v>79.7</x:v>
      </x:c>
      <x:c r="K529" t="str">
        <x:v>83.675</x:v>
      </x:c>
      <x:c r="L529" t="str"/>
      <x:c r="M529" t="str"/>
      <x:c r="N529" t="str"/>
      <x:c r="O529" t="str"/>
      <x:c r="P529" t="str"/>
      <x:c r="Q529" t="str"/>
      <x:c r="R529" t="str"/>
      <x:c r="S529" t="str"/>
      <x:c r="T529" t="str"/>
      <x:c r="U529" t="str"/>
      <x:c r="V529" t="str"/>
      <x:c r="W529" t="str"/>
      <x:c r="X529" t="str"/>
      <x:c r="Y529" t="str"/>
      <x:c r="Z529" t="str"/>
      <x:c r="AA529" t="str"/>
      <x:c r="AB529" t="str"/>
      <x:c r="AC529" t="str"/>
      <x:c r="AD529" t="str"/>
      <x:c r="AE529" t="str"/>
      <x:c r="AF529" t="str"/>
      <x:c r="AG529" t="str"/>
      <x:c r="AH529" t="str">
        <x:f>D529&amp;"|"&amp;UPPER(F529)&amp;"|"&amp;LEFT(B529,10)</x:f>
        <x:v>1372|COMMN|2026-01-03</x:v>
      </x:c>
    </x:row>
    <x:row r="530">
      <x:c r="A530" s="22" t="n">
        <x:v>2207</x:v>
      </x:c>
      <x:c r="B530" t="str">
        <x:v>2026-01-03T00:00:00</x:v>
      </x:c>
      <x:c r="C530" t="str">
        <x:v>1372C</x:v>
      </x:c>
      <x:c r="D530" t="str">
        <x:v>1372</x:v>
      </x:c>
      <x:c r="E530" t="str">
        <x:v>Special Assistant 13</x:v>
      </x:c>
      <x:c r="F530" t="str">
        <x:v>SFMTA</x:v>
      </x:c>
      <x:c r="G530" t="str">
        <x:v>68.825</x:v>
      </x:c>
      <x:c r="H530" t="str">
        <x:v>72.25</x:v>
      </x:c>
      <x:c r="I530" t="str">
        <x:v>75.8875</x:v>
      </x:c>
      <x:c r="J530" t="str">
        <x:v>79.7</x:v>
      </x:c>
      <x:c r="K530" t="str">
        <x:v>83.675</x:v>
      </x:c>
      <x:c r="L530" t="str"/>
      <x:c r="M530" t="str"/>
      <x:c r="N530" t="str"/>
      <x:c r="O530" t="str"/>
      <x:c r="P530" t="str"/>
      <x:c r="Q530" t="str"/>
      <x:c r="R530" t="str"/>
      <x:c r="S530" t="str"/>
      <x:c r="T530" t="str"/>
      <x:c r="U530" t="str"/>
      <x:c r="V530" t="str"/>
      <x:c r="W530" t="str"/>
      <x:c r="X530" t="str"/>
      <x:c r="Y530" t="str"/>
      <x:c r="Z530" t="str"/>
      <x:c r="AA530" t="str"/>
      <x:c r="AB530" t="str"/>
      <x:c r="AC530" t="str"/>
      <x:c r="AD530" t="str"/>
      <x:c r="AE530" t="str"/>
      <x:c r="AF530" t="str"/>
      <x:c r="AG530" t="str"/>
      <x:c r="AH530" t="str">
        <x:f>D530&amp;"|"&amp;UPPER(F530)&amp;"|"&amp;LEFT(B530,10)</x:f>
        <x:v>1372|SFMTA|2026-01-03</x:v>
      </x:c>
    </x:row>
    <x:row r="531">
      <x:c r="A531" s="22" t="n">
        <x:v>2196</x:v>
      </x:c>
      <x:c r="B531" t="str">
        <x:v>2026-07-01T00:00:00</x:v>
      </x:c>
      <x:c r="C531" t="str">
        <x:v>1372D</x:v>
      </x:c>
      <x:c r="D531" t="str">
        <x:v>1372</x:v>
      </x:c>
      <x:c r="E531" t="str">
        <x:v>Special Assistant 13</x:v>
      </x:c>
      <x:c r="F531" t="str">
        <x:v>COMMN</x:v>
      </x:c>
      <x:c r="G531" t="str">
        <x:v>70.2</x:v>
      </x:c>
      <x:c r="H531" t="str">
        <x:v>73.7</x:v>
      </x:c>
      <x:c r="I531" t="str">
        <x:v>77.4</x:v>
      </x:c>
      <x:c r="J531" t="str">
        <x:v>81.3</x:v>
      </x:c>
      <x:c r="K531" t="str">
        <x:v>85.35</x:v>
      </x:c>
      <x:c r="L531" t="str"/>
      <x:c r="M531" t="str"/>
      <x:c r="N531" t="str"/>
      <x:c r="O531" t="str"/>
      <x:c r="P531" t="str"/>
      <x:c r="Q531" t="str"/>
      <x:c r="R531" t="str"/>
      <x:c r="S531" t="str"/>
      <x:c r="T531" t="str"/>
      <x:c r="U531" t="str"/>
      <x:c r="V531" t="str"/>
      <x:c r="W531" t="str"/>
      <x:c r="X531" t="str"/>
      <x:c r="Y531" t="str"/>
      <x:c r="Z531" t="str"/>
      <x:c r="AA531" t="str"/>
      <x:c r="AB531" t="str"/>
      <x:c r="AC531" t="str"/>
      <x:c r="AD531" t="str"/>
      <x:c r="AE531" t="str"/>
      <x:c r="AF531" t="str"/>
      <x:c r="AG531" t="str"/>
      <x:c r="AH531" t="str">
        <x:f>D531&amp;"|"&amp;UPPER(F531)&amp;"|"&amp;LEFT(B531,10)</x:f>
        <x:v>1372|COMMN|2026-07-01</x:v>
      </x:c>
    </x:row>
    <x:row r="532">
      <x:c r="A532" s="22" t="n">
        <x:v>2208</x:v>
      </x:c>
      <x:c r="B532" t="str">
        <x:v>2026-07-01T00:00:00</x:v>
      </x:c>
      <x:c r="C532" t="str">
        <x:v>1372D</x:v>
      </x:c>
      <x:c r="D532" t="str">
        <x:v>1372</x:v>
      </x:c>
      <x:c r="E532" t="str">
        <x:v>Special Assistant 13</x:v>
      </x:c>
      <x:c r="F532" t="str">
        <x:v>SFMTA</x:v>
      </x:c>
      <x:c r="G532" t="str">
        <x:v>70.2</x:v>
      </x:c>
      <x:c r="H532" t="str">
        <x:v>73.7</x:v>
      </x:c>
      <x:c r="I532" t="str">
        <x:v>77.4</x:v>
      </x:c>
      <x:c r="J532" t="str">
        <x:v>81.3</x:v>
      </x:c>
      <x:c r="K532" t="str">
        <x:v>85.35</x:v>
      </x:c>
      <x:c r="L532" t="str"/>
      <x:c r="M532" t="str"/>
      <x:c r="N532" t="str"/>
      <x:c r="O532" t="str"/>
      <x:c r="P532" t="str"/>
      <x:c r="Q532" t="str"/>
      <x:c r="R532" t="str"/>
      <x:c r="S532" t="str"/>
      <x:c r="T532" t="str"/>
      <x:c r="U532" t="str"/>
      <x:c r="V532" t="str"/>
      <x:c r="W532" t="str"/>
      <x:c r="X532" t="str"/>
      <x:c r="Y532" t="str"/>
      <x:c r="Z532" t="str"/>
      <x:c r="AA532" t="str"/>
      <x:c r="AB532" t="str"/>
      <x:c r="AC532" t="str"/>
      <x:c r="AD532" t="str"/>
      <x:c r="AE532" t="str"/>
      <x:c r="AF532" t="str"/>
      <x:c r="AG532" t="str"/>
      <x:c r="AH532" t="str">
        <x:f>D532&amp;"|"&amp;UPPER(F532)&amp;"|"&amp;LEFT(B532,10)</x:f>
        <x:v>1372|SFMTA|2026-07-01</x:v>
      </x:c>
    </x:row>
    <x:row r="533">
      <x:c r="A533" s="22" t="n">
        <x:v>18268</x:v>
      </x:c>
      <x:c r="B533" t="str">
        <x:v>2024-01-06T00:00:00</x:v>
      </x:c>
      <x:c r="C533" t="str">
        <x:v>8578Y</x:v>
      </x:c>
      <x:c r="D533" t="str">
        <x:v>8578</x:v>
      </x:c>
      <x:c r="E533" t="str">
        <x:v>Senior Supervising Institution Manager (SFERS)</x:v>
      </x:c>
      <x:c r="F533" t="str">
        <x:v>COMMN</x:v>
      </x:c>
      <x:c r="G533" t="str">
        <x:v>50.675</x:v>
      </x:c>
      <x:c r="H533" t="str">
        <x:v>53.225</x:v>
      </x:c>
      <x:c r="I533" t="str">
        <x:v>55.8625</x:v>
      </x:c>
      <x:c r="J533" t="str">
        <x:v>58.6375</x:v>
      </x:c>
      <x:c r="K533" t="str">
        <x:v>61.575</x:v>
      </x:c>
      <x:c r="L533" t="str">
        <x:v>63.1125</x:v>
      </x:c>
      <x:c r="M533" t="str">
        <x:v>64.65</x:v>
      </x:c>
      <x:c r="N533" t="str">
        <x:v>66.3</x:v>
      </x:c>
      <x:c r="O533" t="str">
        <x:v>67.9375</x:v>
      </x:c>
      <x:c r="P533" t="str"/>
      <x:c r="Q533" t="str"/>
      <x:c r="R533" t="str"/>
      <x:c r="S533" t="str"/>
      <x:c r="T533" t="str"/>
      <x:c r="U533" t="str"/>
      <x:c r="V533" t="str"/>
      <x:c r="W533" t="str"/>
      <x:c r="X533" t="str"/>
      <x:c r="Y533" t="str"/>
      <x:c r="Z533" t="str"/>
      <x:c r="AA533" t="str"/>
      <x:c r="AB533" t="str"/>
      <x:c r="AC533" t="str"/>
      <x:c r="AD533" t="str"/>
      <x:c r="AE533" t="str"/>
      <x:c r="AF533" t="str"/>
      <x:c r="AG533" t="str">
        <x:v>Please note, the last four steps in this salary range must be approved by the Department of Human Resources, Classification and Compensation Division.</x:v>
      </x:c>
      <x:c r="AH533" t="str">
        <x:f>D533&amp;"|"&amp;UPPER(F533)&amp;"|"&amp;LEFT(B533,10)</x:f>
        <x:v>8578|COMMN|2024-01-06</x:v>
      </x:c>
    </x:row>
    <x:row r="534">
      <x:c r="A534" s="22" t="n">
        <x:v>18269</x:v>
      </x:c>
      <x:c r="B534" t="str">
        <x:v>2024-07-01T00:00:00</x:v>
      </x:c>
      <x:c r="C534" t="str">
        <x:v>8578Z</x:v>
      </x:c>
      <x:c r="D534" t="str">
        <x:v>8578</x:v>
      </x:c>
      <x:c r="E534" t="str">
        <x:v>Senior Supervising Institution Manager (SFERS)</x:v>
      </x:c>
      <x:c r="F534" t="str">
        <x:v>COMMN</x:v>
      </x:c>
      <x:c r="G534" t="str">
        <x:v>51.4375</x:v>
      </x:c>
      <x:c r="H534" t="str">
        <x:v>54.025</x:v>
      </x:c>
      <x:c r="I534" t="str">
        <x:v>56.7</x:v>
      </x:c>
      <x:c r="J534" t="str">
        <x:v>59.5125</x:v>
      </x:c>
      <x:c r="K534" t="str">
        <x:v>62.5</x:v>
      </x:c>
      <x:c r="L534" t="str">
        <x:v>64.0625</x:v>
      </x:c>
      <x:c r="M534" t="str">
        <x:v>65.625</x:v>
      </x:c>
      <x:c r="N534" t="str">
        <x:v>67.3</x:v>
      </x:c>
      <x:c r="O534" t="str">
        <x:v>68.9625</x:v>
      </x:c>
      <x:c r="P534" t="str"/>
      <x:c r="Q534" t="str"/>
      <x:c r="R534" t="str"/>
      <x:c r="S534" t="str"/>
      <x:c r="T534" t="str"/>
      <x:c r="U534" t="str"/>
      <x:c r="V534" t="str"/>
      <x:c r="W534" t="str"/>
      <x:c r="X534" t="str"/>
      <x:c r="Y534" t="str"/>
      <x:c r="Z534" t="str"/>
      <x:c r="AA534" t="str"/>
      <x:c r="AB534" t="str"/>
      <x:c r="AC534" t="str"/>
      <x:c r="AD534" t="str"/>
      <x:c r="AE534" t="str"/>
      <x:c r="AF534" t="str"/>
      <x:c r="AG534" t="str">
        <x:v>Please note, the last four steps in this salary range must be approved by the Department of Human Resources, Classification and Compensation Division.</x:v>
      </x:c>
      <x:c r="AH534" t="str">
        <x:f>D534&amp;"|"&amp;UPPER(F534)&amp;"|"&amp;LEFT(B534,10)</x:f>
        <x:v>8578|COMMN|2024-07-01</x:v>
      </x:c>
    </x:row>
    <x:row r="535">
      <x:c r="A535" s="22" t="n">
        <x:v>18270</x:v>
      </x:c>
      <x:c r="B535" t="str">
        <x:v>2025-01-04T00:00:00</x:v>
      </x:c>
      <x:c r="C535" t="str">
        <x:v>8578A</x:v>
      </x:c>
      <x:c r="D535" t="str">
        <x:v>8578</x:v>
      </x:c>
      <x:c r="E535" t="str">
        <x:v>Senior Supervising Institution Manager (SFERS)</x:v>
      </x:c>
      <x:c r="F535" t="str">
        <x:v>COMMN</x:v>
      </x:c>
      <x:c r="G535" t="str">
        <x:v>52.2125</x:v>
      </x:c>
      <x:c r="H535" t="str">
        <x:v>54.8375</x:v>
      </x:c>
      <x:c r="I535" t="str">
        <x:v>57.55</x:v>
      </x:c>
      <x:c r="J535" t="str">
        <x:v>60.4</x:v>
      </x:c>
      <x:c r="K535" t="str">
        <x:v>63.4375</x:v>
      </x:c>
      <x:c r="L535" t="str">
        <x:v>65.025</x:v>
      </x:c>
      <x:c r="M535" t="str">
        <x:v>66.6125</x:v>
      </x:c>
      <x:c r="N535" t="str">
        <x:v>68.3125</x:v>
      </x:c>
      <x:c r="O535" t="str">
        <x:v>70</x:v>
      </x:c>
      <x:c r="P535" t="str"/>
      <x:c r="Q535" t="str"/>
      <x:c r="R535" t="str"/>
      <x:c r="S535" t="str"/>
      <x:c r="T535" t="str"/>
      <x:c r="U535" t="str"/>
      <x:c r="V535" t="str"/>
      <x:c r="W535" t="str"/>
      <x:c r="X535" t="str"/>
      <x:c r="Y535" t="str"/>
      <x:c r="Z535" t="str"/>
      <x:c r="AA535" t="str"/>
      <x:c r="AB535" t="str"/>
      <x:c r="AC535" t="str"/>
      <x:c r="AD535" t="str"/>
      <x:c r="AE535" t="str"/>
      <x:c r="AF535" t="str"/>
      <x:c r="AG535" t="str">
        <x:v>Please note, the last four steps in this salary range must be approved by the Department of Human Resources, Classification and Compensation Division.</x:v>
      </x:c>
      <x:c r="AH535" t="str">
        <x:f>D535&amp;"|"&amp;UPPER(F535)&amp;"|"&amp;LEFT(B535,10)</x:f>
        <x:v>8578|COMMN|2025-01-04</x:v>
      </x:c>
    </x:row>
    <x:row r="536">
      <x:c r="A536" s="22" t="n">
        <x:v>18271</x:v>
      </x:c>
      <x:c r="B536" t="str">
        <x:v>2025-07-01T00:00:00</x:v>
      </x:c>
      <x:c r="C536" t="str">
        <x:v>8578B</x:v>
      </x:c>
      <x:c r="D536" t="str">
        <x:v>8578</x:v>
      </x:c>
      <x:c r="E536" t="str">
        <x:v>Sr Sprvg Institut Mgr (SFERS)</x:v>
      </x:c>
      <x:c r="F536" t="str">
        <x:v>COMMN</x:v>
      </x:c>
      <x:c r="G536" t="str">
        <x:v>53.2625</x:v>
      </x:c>
      <x:c r="H536" t="str">
        <x:v>55.9375</x:v>
      </x:c>
      <x:c r="I536" t="str">
        <x:v>58.7125</x:v>
      </x:c>
      <x:c r="J536" t="str">
        <x:v>61.6125</x:v>
      </x:c>
      <x:c r="K536" t="str">
        <x:v>64.7125</x:v>
      </x:c>
      <x:c r="L536" t="str">
        <x:v>66.3375</x:v>
      </x:c>
      <x:c r="M536" t="str">
        <x:v>67.95</x:v>
      </x:c>
      <x:c r="N536" t="str">
        <x:v>69.6875</x:v>
      </x:c>
      <x:c r="O536" t="str">
        <x:v>71.4125</x:v>
      </x:c>
      <x:c r="P536" t="str"/>
      <x:c r="Q536" t="str"/>
      <x:c r="R536" t="str"/>
      <x:c r="S536" t="str"/>
      <x:c r="T536" t="str"/>
      <x:c r="U536" t="str"/>
      <x:c r="V536" t="str"/>
      <x:c r="W536" t="str"/>
      <x:c r="X536" t="str"/>
      <x:c r="Y536" t="str"/>
      <x:c r="Z536" t="str"/>
      <x:c r="AA536" t="str"/>
      <x:c r="AB536" t="str"/>
      <x:c r="AC536" t="str"/>
      <x:c r="AD536" t="str"/>
      <x:c r="AE536" t="str"/>
      <x:c r="AF536" t="str"/>
      <x:c r="AG536" t="str">
        <x:v>Please note, the last four steps in this salary range must be approved by the Department of Human Resources, Classification and Compensation Division.</x:v>
      </x:c>
      <x:c r="AH536" t="str">
        <x:f>D536&amp;"|"&amp;UPPER(F536)&amp;"|"&amp;LEFT(B536,10)</x:f>
        <x:v>8578|COMMN|2025-07-01</x:v>
      </x:c>
    </x:row>
    <x:row r="537">
      <x:c r="A537" s="22" t="n">
        <x:v>18272</x:v>
      </x:c>
      <x:c r="B537" t="str">
        <x:v>2026-01-03T00:00:00</x:v>
      </x:c>
      <x:c r="C537" t="str">
        <x:v>8578C</x:v>
      </x:c>
      <x:c r="D537" t="str">
        <x:v>8578</x:v>
      </x:c>
      <x:c r="E537" t="str">
        <x:v>Sr Sprvg Institut Mgr (SFERS)</x:v>
      </x:c>
      <x:c r="F537" t="str">
        <x:v>COMMN</x:v>
      </x:c>
      <x:c r="G537" t="str">
        <x:v>54.0625</x:v>
      </x:c>
      <x:c r="H537" t="str">
        <x:v>56.775</x:v>
      </x:c>
      <x:c r="I537" t="str">
        <x:v>59.5875</x:v>
      </x:c>
      <x:c r="J537" t="str">
        <x:v>62.5375</x:v>
      </x:c>
      <x:c r="K537" t="str">
        <x:v>65.6875</x:v>
      </x:c>
      <x:c r="L537" t="str">
        <x:v>67.3375</x:v>
      </x:c>
      <x:c r="M537" t="str">
        <x:v>68.975</x:v>
      </x:c>
      <x:c r="N537" t="str">
        <x:v>70.7375</x:v>
      </x:c>
      <x:c r="O537" t="str">
        <x:v>72.4875</x:v>
      </x:c>
      <x:c r="P537" t="str"/>
      <x:c r="Q537" t="str"/>
      <x:c r="R537" t="str"/>
      <x:c r="S537" t="str"/>
      <x:c r="T537" t="str"/>
      <x:c r="U537" t="str"/>
      <x:c r="V537" t="str"/>
      <x:c r="W537" t="str"/>
      <x:c r="X537" t="str"/>
      <x:c r="Y537" t="str"/>
      <x:c r="Z537" t="str"/>
      <x:c r="AA537" t="str"/>
      <x:c r="AB537" t="str"/>
      <x:c r="AC537" t="str"/>
      <x:c r="AD537" t="str"/>
      <x:c r="AE537" t="str"/>
      <x:c r="AF537" t="str"/>
      <x:c r="AG537" t="str">
        <x:v>Please note, the last four steps in this salary range must be approved by the Department of Human Resources, Classification and Compensation Division.</x:v>
      </x:c>
      <x:c r="AH537" t="str">
        <x:f>D537&amp;"|"&amp;UPPER(F537)&amp;"|"&amp;LEFT(B537,10)</x:f>
        <x:v>8578|COMMN|2026-01-03</x:v>
      </x:c>
    </x:row>
    <x:row r="538">
      <x:c r="A538" s="22" t="n">
        <x:v>18273</x:v>
      </x:c>
      <x:c r="B538" t="str">
        <x:v>2026-07-01T00:00:00</x:v>
      </x:c>
      <x:c r="C538" t="str">
        <x:v>8578D</x:v>
      </x:c>
      <x:c r="D538" t="str">
        <x:v>8578</x:v>
      </x:c>
      <x:c r="E538" t="str">
        <x:v>Sr Sprvg Institut Mgr (SFERS)</x:v>
      </x:c>
      <x:c r="F538" t="str">
        <x:v>COMMN</x:v>
      </x:c>
      <x:c r="G538" t="str">
        <x:v>55.15</x:v>
      </x:c>
      <x:c r="H538" t="str">
        <x:v>57.9125</x:v>
      </x:c>
      <x:c r="I538" t="str">
        <x:v>60.775</x:v>
      </x:c>
      <x:c r="J538" t="str">
        <x:v>63.7875</x:v>
      </x:c>
      <x:c r="K538" t="str">
        <x:v>67</x:v>
      </x:c>
      <x:c r="L538" t="str">
        <x:v>68.6875</x:v>
      </x:c>
      <x:c r="M538" t="str">
        <x:v>70.35</x:v>
      </x:c>
      <x:c r="N538" t="str">
        <x:v>72.15</x:v>
      </x:c>
      <x:c r="O538" t="str">
        <x:v>73.9375</x:v>
      </x:c>
      <x:c r="P538" t="str"/>
      <x:c r="Q538" t="str"/>
      <x:c r="R538" t="str"/>
      <x:c r="S538" t="str"/>
      <x:c r="T538" t="str"/>
      <x:c r="U538" t="str"/>
      <x:c r="V538" t="str"/>
      <x:c r="W538" t="str"/>
      <x:c r="X538" t="str"/>
      <x:c r="Y538" t="str"/>
      <x:c r="Z538" t="str"/>
      <x:c r="AA538" t="str"/>
      <x:c r="AB538" t="str"/>
      <x:c r="AC538" t="str"/>
      <x:c r="AD538" t="str"/>
      <x:c r="AE538" t="str"/>
      <x:c r="AF538" t="str"/>
      <x:c r="AG538" t="str">
        <x:v>Please note, the last four steps in this salary range must be approved by the Department of Human Resources, Classification and Compensation Division.</x:v>
      </x:c>
      <x:c r="AH538" t="str">
        <x:f>D538&amp;"|"&amp;UPPER(F538)&amp;"|"&amp;LEFT(B538,10)</x:f>
        <x:v>8578|COMMN|2026-07-01</x:v>
      </x:c>
    </x:row>
    <x:row r="539">
      <x:c r="A539" s="22" t="n">
        <x:v>19876</x:v>
      </x:c>
      <x:c r="B539" t="str">
        <x:v>2024-01-06T00:00:00</x:v>
      </x:c>
      <x:c r="C539" t="str">
        <x:v>9916Y</x:v>
      </x:c>
      <x:c r="D539" t="str">
        <x:v>9916</x:v>
      </x:c>
      <x:c r="E539" t="str">
        <x:v>Public Service Aide - Public Works</x:v>
      </x:c>
      <x:c r="F539" t="str">
        <x:v>COMMN</x:v>
      </x:c>
      <x:c r="G539" t="str">
        <x:v>21.2125</x:v>
      </x:c>
      <x:c r="H539" t="str">
        <x:v>21.2125</x:v>
      </x:c>
      <x:c r="I539" t="str">
        <x:v>21.2125</x:v>
      </x:c>
      <x:c r="J539" t="str">
        <x:v>21.2125</x:v>
      </x:c>
      <x:c r="K539" t="str">
        <x:v>22.45</x:v>
      </x:c>
      <x:c r="L539" t="str"/>
      <x:c r="M539" t="str"/>
      <x:c r="N539" t="str"/>
      <x:c r="O539" t="str"/>
      <x:c r="P539" t="str"/>
      <x:c r="Q539" t="str"/>
      <x:c r="R539" t="str"/>
      <x:c r="S539" t="str"/>
      <x:c r="T539" t="str"/>
      <x:c r="U539" t="str"/>
      <x:c r="V539" t="str"/>
      <x:c r="W539" t="str"/>
      <x:c r="X539" t="str"/>
      <x:c r="Y539" t="str"/>
      <x:c r="Z539" t="str"/>
      <x:c r="AA539" t="str"/>
      <x:c r="AB539" t="str"/>
      <x:c r="AC539" t="str"/>
      <x:c r="AD539" t="str"/>
      <x:c r="AE539" t="str"/>
      <x:c r="AF539" t="str"/>
      <x:c r="AG539" t="str"/>
      <x:c r="AH539" t="str">
        <x:f>D539&amp;"|"&amp;UPPER(F539)&amp;"|"&amp;LEFT(B539,10)</x:f>
        <x:v>9916|COMMN|2024-01-06</x:v>
      </x:c>
    </x:row>
    <x:row r="540">
      <x:c r="A540" s="22" t="n">
        <x:v>19888</x:v>
      </x:c>
      <x:c r="B540" t="str">
        <x:v>2024-01-06T00:00:00</x:v>
      </x:c>
      <x:c r="C540" t="str">
        <x:v>9916Y</x:v>
      </x:c>
      <x:c r="D540" t="str">
        <x:v>9916</x:v>
      </x:c>
      <x:c r="E540" t="str">
        <x:v>Public Service Aide - Public Works</x:v>
      </x:c>
      <x:c r="F540" t="str">
        <x:v>SFMTA</x:v>
      </x:c>
      <x:c r="G540" t="str">
        <x:v>21.2125</x:v>
      </x:c>
      <x:c r="H540" t="str">
        <x:v>21.2125</x:v>
      </x:c>
      <x:c r="I540" t="str">
        <x:v>21.2125</x:v>
      </x:c>
      <x:c r="J540" t="str">
        <x:v>21.2125</x:v>
      </x:c>
      <x:c r="K540" t="str">
        <x:v>22.45</x:v>
      </x:c>
      <x:c r="L540" t="str"/>
      <x:c r="M540" t="str"/>
      <x:c r="N540" t="str"/>
      <x:c r="O540" t="str"/>
      <x:c r="P540" t="str"/>
      <x:c r="Q540" t="str"/>
      <x:c r="R540" t="str"/>
      <x:c r="S540" t="str"/>
      <x:c r="T540" t="str"/>
      <x:c r="U540" t="str"/>
      <x:c r="V540" t="str"/>
      <x:c r="W540" t="str"/>
      <x:c r="X540" t="str"/>
      <x:c r="Y540" t="str"/>
      <x:c r="Z540" t="str"/>
      <x:c r="AA540" t="str"/>
      <x:c r="AB540" t="str"/>
      <x:c r="AC540" t="str"/>
      <x:c r="AD540" t="str"/>
      <x:c r="AE540" t="str"/>
      <x:c r="AF540" t="str"/>
      <x:c r="AG540" t="str"/>
      <x:c r="AH540" t="str">
        <x:f>D540&amp;"|"&amp;UPPER(F540)&amp;"|"&amp;LEFT(B540,10)</x:f>
        <x:v>9916|SFMTA|2024-01-06</x:v>
      </x:c>
    </x:row>
    <x:row r="541">
      <x:c r="A541" s="22" t="n">
        <x:v>19877</x:v>
      </x:c>
      <x:c r="B541" t="str">
        <x:v>2024-07-01T00:00:00</x:v>
      </x:c>
      <x:c r="C541" t="str">
        <x:v>9916Z</x:v>
      </x:c>
      <x:c r="D541" t="str">
        <x:v>9916</x:v>
      </x:c>
      <x:c r="E541" t="str">
        <x:v>Public Service Aide - Public Works</x:v>
      </x:c>
      <x:c r="F541" t="str">
        <x:v>COMMN</x:v>
      </x:c>
      <x:c r="G541" t="str">
        <x:v>25</x:v>
      </x:c>
      <x:c r="H541" t="str">
        <x:v>25</x:v>
      </x:c>
      <x:c r="I541" t="str">
        <x:v>25</x:v>
      </x:c>
      <x:c r="J541" t="str">
        <x:v>25</x:v>
      </x:c>
      <x:c r="K541" t="str">
        <x:v>25</x:v>
      </x:c>
      <x:c r="L541" t="str"/>
      <x:c r="M541" t="str"/>
      <x:c r="N541" t="str"/>
      <x:c r="O541" t="str"/>
      <x:c r="P541" t="str"/>
      <x:c r="Q541" t="str"/>
      <x:c r="R541" t="str"/>
      <x:c r="S541" t="str"/>
      <x:c r="T541" t="str"/>
      <x:c r="U541" t="str"/>
      <x:c r="V541" t="str"/>
      <x:c r="W541" t="str"/>
      <x:c r="X541" t="str"/>
      <x:c r="Y541" t="str"/>
      <x:c r="Z541" t="str"/>
      <x:c r="AA541" t="str"/>
      <x:c r="AB541" t="str"/>
      <x:c r="AC541" t="str"/>
      <x:c r="AD541" t="str"/>
      <x:c r="AE541" t="str"/>
      <x:c r="AF541" t="str"/>
      <x:c r="AG541" t="str"/>
      <x:c r="AH541" t="str">
        <x:f>D541&amp;"|"&amp;UPPER(F541)&amp;"|"&amp;LEFT(B541,10)</x:f>
        <x:v>9916|COMMN|2024-07-01</x:v>
      </x:c>
    </x:row>
    <x:row r="542">
      <x:c r="A542" s="22" t="n">
        <x:v>19889</x:v>
      </x:c>
      <x:c r="B542" t="str">
        <x:v>2024-07-01T00:00:00</x:v>
      </x:c>
      <x:c r="C542" t="str">
        <x:v>9916Z</x:v>
      </x:c>
      <x:c r="D542" t="str">
        <x:v>9916</x:v>
      </x:c>
      <x:c r="E542" t="str">
        <x:v>Public Service Aide - Public Works</x:v>
      </x:c>
      <x:c r="F542" t="str">
        <x:v>SFMTA</x:v>
      </x:c>
      <x:c r="G542" t="str">
        <x:v>25</x:v>
      </x:c>
      <x:c r="H542" t="str">
        <x:v>25</x:v>
      </x:c>
      <x:c r="I542" t="str">
        <x:v>25</x:v>
      </x:c>
      <x:c r="J542" t="str">
        <x:v>25</x:v>
      </x:c>
      <x:c r="K542" t="str">
        <x:v>25</x:v>
      </x:c>
      <x:c r="L542" t="str"/>
      <x:c r="M542" t="str"/>
      <x:c r="N542" t="str"/>
      <x:c r="O542" t="str"/>
      <x:c r="P542" t="str"/>
      <x:c r="Q542" t="str"/>
      <x:c r="R542" t="str"/>
      <x:c r="S542" t="str"/>
      <x:c r="T542" t="str"/>
      <x:c r="U542" t="str"/>
      <x:c r="V542" t="str"/>
      <x:c r="W542" t="str"/>
      <x:c r="X542" t="str"/>
      <x:c r="Y542" t="str"/>
      <x:c r="Z542" t="str"/>
      <x:c r="AA542" t="str"/>
      <x:c r="AB542" t="str"/>
      <x:c r="AC542" t="str"/>
      <x:c r="AD542" t="str"/>
      <x:c r="AE542" t="str"/>
      <x:c r="AF542" t="str"/>
      <x:c r="AG542" t="str"/>
      <x:c r="AH542" t="str">
        <x:f>D542&amp;"|"&amp;UPPER(F542)&amp;"|"&amp;LEFT(B542,10)</x:f>
        <x:v>9916|SFMTA|2024-07-01</x:v>
      </x:c>
    </x:row>
    <x:row r="543">
      <x:c r="A543" s="22" t="n">
        <x:v>19878</x:v>
      </x:c>
      <x:c r="B543" t="str">
        <x:v>2025-01-04T00:00:00</x:v>
      </x:c>
      <x:c r="C543" t="str">
        <x:v>9916A</x:v>
      </x:c>
      <x:c r="D543" t="str">
        <x:v>9916</x:v>
      </x:c>
      <x:c r="E543" t="str">
        <x:v>Public Service Aide - Public Works</x:v>
      </x:c>
      <x:c r="F543" t="str">
        <x:v>COMMN</x:v>
      </x:c>
      <x:c r="G543" t="str">
        <x:v>25.375</x:v>
      </x:c>
      <x:c r="H543" t="str">
        <x:v>25.375</x:v>
      </x:c>
      <x:c r="I543" t="str">
        <x:v>25.375</x:v>
      </x:c>
      <x:c r="J543" t="str">
        <x:v>25.375</x:v>
      </x:c>
      <x:c r="K543" t="str">
        <x:v>25.375</x:v>
      </x:c>
      <x:c r="L543" t="str"/>
      <x:c r="M543" t="str"/>
      <x:c r="N543" t="str"/>
      <x:c r="O543" t="str"/>
      <x:c r="P543" t="str"/>
      <x:c r="Q543" t="str"/>
      <x:c r="R543" t="str"/>
      <x:c r="S543" t="str"/>
      <x:c r="T543" t="str"/>
      <x:c r="U543" t="str"/>
      <x:c r="V543" t="str"/>
      <x:c r="W543" t="str"/>
      <x:c r="X543" t="str"/>
      <x:c r="Y543" t="str"/>
      <x:c r="Z543" t="str"/>
      <x:c r="AA543" t="str"/>
      <x:c r="AB543" t="str"/>
      <x:c r="AC543" t="str"/>
      <x:c r="AD543" t="str"/>
      <x:c r="AE543" t="str"/>
      <x:c r="AF543" t="str"/>
      <x:c r="AG543" t="str"/>
      <x:c r="AH543" t="str">
        <x:f>D543&amp;"|"&amp;UPPER(F543)&amp;"|"&amp;LEFT(B543,10)</x:f>
        <x:v>9916|COMMN|2025-01-04</x:v>
      </x:c>
    </x:row>
    <x:row r="544">
      <x:c r="A544" s="22" t="n">
        <x:v>19890</x:v>
      </x:c>
      <x:c r="B544" t="str">
        <x:v>2025-01-04T00:00:00</x:v>
      </x:c>
      <x:c r="C544" t="str">
        <x:v>9916A</x:v>
      </x:c>
      <x:c r="D544" t="str">
        <x:v>9916</x:v>
      </x:c>
      <x:c r="E544" t="str">
        <x:v>Public Service Aide - Public Works</x:v>
      </x:c>
      <x:c r="F544" t="str">
        <x:v>SFMTA</x:v>
      </x:c>
      <x:c r="G544" t="str">
        <x:v>25.375</x:v>
      </x:c>
      <x:c r="H544" t="str">
        <x:v>25.375</x:v>
      </x:c>
      <x:c r="I544" t="str">
        <x:v>25.375</x:v>
      </x:c>
      <x:c r="J544" t="str">
        <x:v>25.375</x:v>
      </x:c>
      <x:c r="K544" t="str">
        <x:v>25.375</x:v>
      </x:c>
      <x:c r="L544" t="str"/>
      <x:c r="M544" t="str"/>
      <x:c r="N544" t="str"/>
      <x:c r="O544" t="str"/>
      <x:c r="P544" t="str"/>
      <x:c r="Q544" t="str"/>
      <x:c r="R544" t="str"/>
      <x:c r="S544" t="str"/>
      <x:c r="T544" t="str"/>
      <x:c r="U544" t="str"/>
      <x:c r="V544" t="str"/>
      <x:c r="W544" t="str"/>
      <x:c r="X544" t="str"/>
      <x:c r="Y544" t="str"/>
      <x:c r="Z544" t="str"/>
      <x:c r="AA544" t="str"/>
      <x:c r="AB544" t="str"/>
      <x:c r="AC544" t="str"/>
      <x:c r="AD544" t="str"/>
      <x:c r="AE544" t="str"/>
      <x:c r="AF544" t="str"/>
      <x:c r="AG544" t="str"/>
      <x:c r="AH544" t="str">
        <x:f>D544&amp;"|"&amp;UPPER(F544)&amp;"|"&amp;LEFT(B544,10)</x:f>
        <x:v>9916|SFMTA|2025-01-04</x:v>
      </x:c>
    </x:row>
    <x:row r="545">
      <x:c r="A545" s="22" t="n">
        <x:v>19879</x:v>
      </x:c>
      <x:c r="B545" t="str">
        <x:v>2025-07-01T00:00:00</x:v>
      </x:c>
      <x:c r="C545" t="str">
        <x:v>9916B</x:v>
      </x:c>
      <x:c r="D545" t="str">
        <x:v>9916</x:v>
      </x:c>
      <x:c r="E545" t="str">
        <x:v>Public Svc Aide-Public Works</x:v>
      </x:c>
      <x:c r="F545" t="str">
        <x:v>COMMN</x:v>
      </x:c>
      <x:c r="G545" t="str">
        <x:v>25.8875</x:v>
      </x:c>
      <x:c r="H545" t="str">
        <x:v>25.8875</x:v>
      </x:c>
      <x:c r="I545" t="str">
        <x:v>25.8875</x:v>
      </x:c>
      <x:c r="J545" t="str">
        <x:v>25.8875</x:v>
      </x:c>
      <x:c r="K545" t="str">
        <x:v>25.8875</x:v>
      </x:c>
      <x:c r="L545" t="str"/>
      <x:c r="M545" t="str"/>
      <x:c r="N545" t="str"/>
      <x:c r="O545" t="str"/>
      <x:c r="P545" t="str"/>
      <x:c r="Q545" t="str"/>
      <x:c r="R545" t="str"/>
      <x:c r="S545" t="str"/>
      <x:c r="T545" t="str"/>
      <x:c r="U545" t="str"/>
      <x:c r="V545" t="str"/>
      <x:c r="W545" t="str"/>
      <x:c r="X545" t="str"/>
      <x:c r="Y545" t="str"/>
      <x:c r="Z545" t="str"/>
      <x:c r="AA545" t="str"/>
      <x:c r="AB545" t="str"/>
      <x:c r="AC545" t="str"/>
      <x:c r="AD545" t="str"/>
      <x:c r="AE545" t="str"/>
      <x:c r="AF545" t="str"/>
      <x:c r="AG545" t="str"/>
      <x:c r="AH545" t="str">
        <x:f>D545&amp;"|"&amp;UPPER(F545)&amp;"|"&amp;LEFT(B545,10)</x:f>
        <x:v>9916|COMMN|2025-07-01</x:v>
      </x:c>
    </x:row>
    <x:row r="546">
      <x:c r="A546" s="22" t="n">
        <x:v>19891</x:v>
      </x:c>
      <x:c r="B546" t="str">
        <x:v>2025-07-01T00:00:00</x:v>
      </x:c>
      <x:c r="C546" t="str">
        <x:v>9916B</x:v>
      </x:c>
      <x:c r="D546" t="str">
        <x:v>9916</x:v>
      </x:c>
      <x:c r="E546" t="str">
        <x:v>Public Svc Aide-Public Works</x:v>
      </x:c>
      <x:c r="F546" t="str">
        <x:v>SFMTA</x:v>
      </x:c>
      <x:c r="G546" t="str">
        <x:v>25.8875</x:v>
      </x:c>
      <x:c r="H546" t="str">
        <x:v>25.8875</x:v>
      </x:c>
      <x:c r="I546" t="str">
        <x:v>25.8875</x:v>
      </x:c>
      <x:c r="J546" t="str">
        <x:v>25.8875</x:v>
      </x:c>
      <x:c r="K546" t="str">
        <x:v>25.8875</x:v>
      </x:c>
      <x:c r="L546" t="str"/>
      <x:c r="M546" t="str"/>
      <x:c r="N546" t="str"/>
      <x:c r="O546" t="str"/>
      <x:c r="P546" t="str"/>
      <x:c r="Q546" t="str"/>
      <x:c r="R546" t="str"/>
      <x:c r="S546" t="str"/>
      <x:c r="T546" t="str"/>
      <x:c r="U546" t="str"/>
      <x:c r="V546" t="str"/>
      <x:c r="W546" t="str"/>
      <x:c r="X546" t="str"/>
      <x:c r="Y546" t="str"/>
      <x:c r="Z546" t="str"/>
      <x:c r="AA546" t="str"/>
      <x:c r="AB546" t="str"/>
      <x:c r="AC546" t="str"/>
      <x:c r="AD546" t="str"/>
      <x:c r="AE546" t="str"/>
      <x:c r="AF546" t="str"/>
      <x:c r="AG546" t="str"/>
      <x:c r="AH546" t="str">
        <x:f>D546&amp;"|"&amp;UPPER(F546)&amp;"|"&amp;LEFT(B546,10)</x:f>
        <x:v>9916|SFMTA|2025-07-01</x:v>
      </x:c>
    </x:row>
    <x:row r="547">
      <x:c r="A547" s="22" t="n">
        <x:v>19880</x:v>
      </x:c>
      <x:c r="B547" t="str">
        <x:v>2026-01-03T00:00:00</x:v>
      </x:c>
      <x:c r="C547" t="str">
        <x:v>9916C</x:v>
      </x:c>
      <x:c r="D547" t="str">
        <x:v>9916</x:v>
      </x:c>
      <x:c r="E547" t="str">
        <x:v>Public Svc Aide-Public Works</x:v>
      </x:c>
      <x:c r="F547" t="str">
        <x:v>COMMN</x:v>
      </x:c>
      <x:c r="G547" t="str">
        <x:v>26.275</x:v>
      </x:c>
      <x:c r="H547" t="str">
        <x:v>26.275</x:v>
      </x:c>
      <x:c r="I547" t="str">
        <x:v>26.275</x:v>
      </x:c>
      <x:c r="J547" t="str">
        <x:v>26.275</x:v>
      </x:c>
      <x:c r="K547" t="str">
        <x:v>26.275</x:v>
      </x:c>
      <x:c r="L547" t="str"/>
      <x:c r="M547" t="str"/>
      <x:c r="N547" t="str"/>
      <x:c r="O547" t="str"/>
      <x:c r="P547" t="str"/>
      <x:c r="Q547" t="str"/>
      <x:c r="R547" t="str"/>
      <x:c r="S547" t="str"/>
      <x:c r="T547" t="str"/>
      <x:c r="U547" t="str"/>
      <x:c r="V547" t="str"/>
      <x:c r="W547" t="str"/>
      <x:c r="X547" t="str"/>
      <x:c r="Y547" t="str"/>
      <x:c r="Z547" t="str"/>
      <x:c r="AA547" t="str"/>
      <x:c r="AB547" t="str"/>
      <x:c r="AC547" t="str"/>
      <x:c r="AD547" t="str"/>
      <x:c r="AE547" t="str"/>
      <x:c r="AF547" t="str"/>
      <x:c r="AG547" t="str"/>
      <x:c r="AH547" t="str">
        <x:f>D547&amp;"|"&amp;UPPER(F547)&amp;"|"&amp;LEFT(B547,10)</x:f>
        <x:v>9916|COMMN|2026-01-03</x:v>
      </x:c>
    </x:row>
    <x:row r="548">
      <x:c r="A548" s="22" t="n">
        <x:v>19892</x:v>
      </x:c>
      <x:c r="B548" t="str">
        <x:v>2026-01-03T00:00:00</x:v>
      </x:c>
      <x:c r="C548" t="str">
        <x:v>9916C</x:v>
      </x:c>
      <x:c r="D548" t="str">
        <x:v>9916</x:v>
      </x:c>
      <x:c r="E548" t="str">
        <x:v>Public Svc Aide-Public Works</x:v>
      </x:c>
      <x:c r="F548" t="str">
        <x:v>SFMTA</x:v>
      </x:c>
      <x:c r="G548" t="str">
        <x:v>26.275</x:v>
      </x:c>
      <x:c r="H548" t="str">
        <x:v>26.275</x:v>
      </x:c>
      <x:c r="I548" t="str">
        <x:v>26.275</x:v>
      </x:c>
      <x:c r="J548" t="str">
        <x:v>26.275</x:v>
      </x:c>
      <x:c r="K548" t="str">
        <x:v>26.275</x:v>
      </x:c>
      <x:c r="L548" t="str"/>
      <x:c r="M548" t="str"/>
      <x:c r="N548" t="str"/>
      <x:c r="O548" t="str"/>
      <x:c r="P548" t="str"/>
      <x:c r="Q548" t="str"/>
      <x:c r="R548" t="str"/>
      <x:c r="S548" t="str"/>
      <x:c r="T548" t="str"/>
      <x:c r="U548" t="str"/>
      <x:c r="V548" t="str"/>
      <x:c r="W548" t="str"/>
      <x:c r="X548" t="str"/>
      <x:c r="Y548" t="str"/>
      <x:c r="Z548" t="str"/>
      <x:c r="AA548" t="str"/>
      <x:c r="AB548" t="str"/>
      <x:c r="AC548" t="str"/>
      <x:c r="AD548" t="str"/>
      <x:c r="AE548" t="str"/>
      <x:c r="AF548" t="str"/>
      <x:c r="AG548" t="str"/>
      <x:c r="AH548" t="str">
        <x:f>D548&amp;"|"&amp;UPPER(F548)&amp;"|"&amp;LEFT(B548,10)</x:f>
        <x:v>9916|SFMTA|2026-01-03</x:v>
      </x:c>
    </x:row>
    <x:row r="549">
      <x:c r="A549" s="22" t="n">
        <x:v>19881</x:v>
      </x:c>
      <x:c r="B549" t="str">
        <x:v>2026-07-01T00:00:00</x:v>
      </x:c>
      <x:c r="C549" t="str">
        <x:v>9916D</x:v>
      </x:c>
      <x:c r="D549" t="str">
        <x:v>9916</x:v>
      </x:c>
      <x:c r="E549" t="str">
        <x:v>Public Svc Aide-Public Works</x:v>
      </x:c>
      <x:c r="F549" t="str">
        <x:v>COMMN</x:v>
      </x:c>
      <x:c r="G549" t="str">
        <x:v>26.8</x:v>
      </x:c>
      <x:c r="H549" t="str">
        <x:v>26.8</x:v>
      </x:c>
      <x:c r="I549" t="str">
        <x:v>26.8</x:v>
      </x:c>
      <x:c r="J549" t="str">
        <x:v>26.8</x:v>
      </x:c>
      <x:c r="K549" t="str">
        <x:v>26.8</x:v>
      </x:c>
      <x:c r="L549" t="str"/>
      <x:c r="M549" t="str"/>
      <x:c r="N549" t="str"/>
      <x:c r="O549" t="str"/>
      <x:c r="P549" t="str"/>
      <x:c r="Q549" t="str"/>
      <x:c r="R549" t="str"/>
      <x:c r="S549" t="str"/>
      <x:c r="T549" t="str"/>
      <x:c r="U549" t="str"/>
      <x:c r="V549" t="str"/>
      <x:c r="W549" t="str"/>
      <x:c r="X549" t="str"/>
      <x:c r="Y549" t="str"/>
      <x:c r="Z549" t="str"/>
      <x:c r="AA549" t="str"/>
      <x:c r="AB549" t="str"/>
      <x:c r="AC549" t="str"/>
      <x:c r="AD549" t="str"/>
      <x:c r="AE549" t="str"/>
      <x:c r="AF549" t="str"/>
      <x:c r="AG549" t="str"/>
      <x:c r="AH549" t="str">
        <x:f>D549&amp;"|"&amp;UPPER(F549)&amp;"|"&amp;LEFT(B549,10)</x:f>
        <x:v>9916|COMMN|2026-07-01</x:v>
      </x:c>
    </x:row>
    <x:row r="550">
      <x:c r="A550" s="22" t="n">
        <x:v>19893</x:v>
      </x:c>
      <x:c r="B550" t="str">
        <x:v>2026-07-01T00:00:00</x:v>
      </x:c>
      <x:c r="C550" t="str">
        <x:v>9916D</x:v>
      </x:c>
      <x:c r="D550" t="str">
        <x:v>9916</x:v>
      </x:c>
      <x:c r="E550" t="str">
        <x:v>Public Svc Aide-Public Works</x:v>
      </x:c>
      <x:c r="F550" t="str">
        <x:v>SFMTA</x:v>
      </x:c>
      <x:c r="G550" t="str">
        <x:v>26.8</x:v>
      </x:c>
      <x:c r="H550" t="str">
        <x:v>26.8</x:v>
      </x:c>
      <x:c r="I550" t="str">
        <x:v>26.8</x:v>
      </x:c>
      <x:c r="J550" t="str">
        <x:v>26.8</x:v>
      </x:c>
      <x:c r="K550" t="str">
        <x:v>26.8</x:v>
      </x:c>
      <x:c r="L550" t="str"/>
      <x:c r="M550" t="str"/>
      <x:c r="N550" t="str"/>
      <x:c r="O550" t="str"/>
      <x:c r="P550" t="str"/>
      <x:c r="Q550" t="str"/>
      <x:c r="R550" t="str"/>
      <x:c r="S550" t="str"/>
      <x:c r="T550" t="str"/>
      <x:c r="U550" t="str"/>
      <x:c r="V550" t="str"/>
      <x:c r="W550" t="str"/>
      <x:c r="X550" t="str"/>
      <x:c r="Y550" t="str"/>
      <x:c r="Z550" t="str"/>
      <x:c r="AA550" t="str"/>
      <x:c r="AB550" t="str"/>
      <x:c r="AC550" t="str"/>
      <x:c r="AD550" t="str"/>
      <x:c r="AE550" t="str"/>
      <x:c r="AF550" t="str"/>
      <x:c r="AG550" t="str"/>
      <x:c r="AH550" t="str">
        <x:f>D550&amp;"|"&amp;UPPER(F550)&amp;"|"&amp;LEFT(B550,10)</x:f>
        <x:v>9916|SFMTA|2026-07-01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2" hidden="0" customWidth="1"/>
    <x:col min="5" max="5" width="37" hidden="0" customWidth="1"/>
    <x:col min="6" max="6" width="13" hidden="0" customWidth="1"/>
    <x:col min="7" max="7" width="18" hidden="0" customWidth="1"/>
    <x:col min="8" max="8" width="14" hidden="0" customWidth="1"/>
    <x:col min="9" max="9" width="17" hidden="0" customWidth="1"/>
    <x:col min="10" max="10" width="17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37" hidden="0" customWidth="1"/>
  </x:cols>
  <x:sheetData>
    <x:row r="1" ht="35" customHeight="1">
      <x:c r="A1" s="4" t="str">
        <x:v>SOURCE B  /  HOURLY PAY RATES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 ht="29" customHeight="1">
      <x:c r="A2" s="10" t="str">
        <x:v>Original CSV fields retained verbatim; the last column is a computed matching key. Each row includes its original CSV line number.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</x:row>
    <x:row r="4" ht="31" customHeight="1">
      <x:c r="A4" s="17" t="str">
        <x:v>Source CSV row</x:v>
      </x:c>
      <x:c r="B4" s="17" t="str">
        <x:v>Fiscal Year</x:v>
      </x:c>
      <x:c r="C4" s="17" t="str">
        <x:v>Eff. Date</x:v>
      </x:c>
      <x:c r="D4" s="17" t="str">
        <x:v>Job Code</x:v>
      </x:c>
      <x:c r="E4" s="17" t="str">
        <x:v>Title</x:v>
      </x:c>
      <x:c r="F4" s="17" t="str">
        <x:v>Union Code</x:v>
      </x:c>
      <x:c r="G4" s="17" t="str">
        <x:v>SetID</x:v>
      </x:c>
      <x:c r="H4" s="17" t="str">
        <x:v>Grade</x:v>
      </x:c>
      <x:c r="I4" s="17" t="str">
        <x:v>Biweekly Min</x:v>
      </x:c>
      <x:c r="J4" s="17" t="str">
        <x:v>Biweekly Max</x:v>
      </x:c>
      <x:c r="K4" s="17" t="str">
        <x:v>Extended Range</x:v>
      </x:c>
      <x:c r="L4" s="17" t="str">
        <x:v>Step 1</x:v>
      </x:c>
      <x:c r="M4" s="17" t="str">
        <x:v>Step 2</x:v>
      </x:c>
      <x:c r="N4" s="17" t="str">
        <x:v>Step 3</x:v>
      </x:c>
      <x:c r="O4" s="17" t="str">
        <x:v>Step 4</x:v>
      </x:c>
      <x:c r="P4" s="17" t="str">
        <x:v>Step 5</x:v>
      </x:c>
      <x:c r="Q4" s="17" t="str">
        <x:v>Step 6</x:v>
      </x:c>
      <x:c r="R4" s="17" t="str">
        <x:v>Step 7</x:v>
      </x:c>
      <x:c r="S4" s="17" t="str">
        <x:v>Step 8</x:v>
      </x:c>
      <x:c r="T4" s="17" t="str">
        <x:v>Step 9</x:v>
      </x:c>
      <x:c r="U4" s="17" t="str">
        <x:v>Step 10</x:v>
      </x:c>
      <x:c r="V4" s="17" t="str">
        <x:v>Step 11</x:v>
      </x:c>
      <x:c r="W4" s="17" t="str">
        <x:v>Step 12</x:v>
      </x:c>
      <x:c r="X4" s="17" t="str">
        <x:v>Step 13</x:v>
      </x:c>
      <x:c r="Y4" s="17" t="str">
        <x:v>Step 14</x:v>
      </x:c>
      <x:c r="Z4" s="17" t="str">
        <x:v>Step 15</x:v>
      </x:c>
      <x:c r="AA4" s="17" t="str">
        <x:v>Step 16</x:v>
      </x:c>
      <x:c r="AB4" s="17" t="str">
        <x:v>Step 17</x:v>
      </x:c>
      <x:c r="AC4" s="17" t="str">
        <x:v>Step 18</x:v>
      </x:c>
      <x:c r="AD4" s="17" t="str">
        <x:v>Step 19</x:v>
      </x:c>
      <x:c r="AE4" s="17" t="str">
        <x:v>Step 20</x:v>
      </x:c>
      <x:c r="AF4" s="17" t="str">
        <x:v>Composite key</x:v>
      </x:c>
    </x:row>
    <x:row r="5">
      <x:c r="A5" s="22" t="n">
        <x:v>2</x:v>
      </x:c>
      <x:c r="B5" t="str">
        <x:v>FY14-15</x:v>
      </x:c>
      <x:c r="C5" t="str">
        <x:v>2014/07/01</x:v>
      </x:c>
      <x:c r="D5" t="str">
        <x:v>0140</x:v>
      </x:c>
      <x:c r="E5" t="str">
        <x:v>Chief, Fire Department</x:v>
      </x:c>
      <x:c r="F5" t="str">
        <x:v>352</x:v>
      </x:c>
      <x:c r="G5" t="str">
        <x:v>COMMN</x:v>
      </x:c>
      <x:c r="H5" t="str">
        <x:v>0140C</x:v>
      </x:c>
      <x:c r="I5" t="str">
        <x:v>$11,618</x:v>
      </x:c>
      <x:c r="J5" t="str">
        <x:v>$11,618</x:v>
      </x:c>
      <x:c r="K5" t="str"/>
      <x:c r="L5" t="str">
        <x:v>$145.2250</x:v>
      </x:c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>
        <x:f>D5&amp;"|"&amp;UPPER(G5)&amp;"|"&amp;SUBSTITUTE(C5,"/","-")</x:f>
        <x:v>0140|COMMN|2014-07-01</x:v>
      </x:c>
    </x:row>
    <x:row r="6">
      <x:c r="A6" s="22" t="n">
        <x:v>3</x:v>
      </x:c>
      <x:c r="B6" t="str">
        <x:v>FY14-15</x:v>
      </x:c>
      <x:c r="C6" t="str">
        <x:v>2014/07/01</x:v>
      </x:c>
      <x:c r="D6" t="str">
        <x:v>0140</x:v>
      </x:c>
      <x:c r="E6" t="str">
        <x:v>Chief, Fire Department</x:v>
      </x:c>
      <x:c r="F6" t="str">
        <x:v>352</x:v>
      </x:c>
      <x:c r="G6" t="str">
        <x:v>Suppression</x:v>
      </x:c>
      <x:c r="H6" t="str">
        <x:v>0140C</x:v>
      </x:c>
      <x:c r="I6" t="str">
        <x:v>$9,543</x:v>
      </x:c>
      <x:c r="J6" t="str">
        <x:v>$9,543</x:v>
      </x:c>
      <x:c r="K6" t="str"/>
      <x:c r="L6" t="str">
        <x:v>$119.2813</x:v>
      </x:c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>
        <x:f>D6&amp;"|"&amp;UPPER(G6)&amp;"|"&amp;SUBSTITUTE(C6,"/","-")</x:f>
        <x:v>0140|SUPPRESSION|2014-07-01</x:v>
      </x:c>
    </x:row>
    <x:row r="7">
      <x:c r="A7" s="22" t="n">
        <x:v>15910</x:v>
      </x:c>
      <x:c r="B7" t="str">
        <x:v>FY20-21</x:v>
      </x:c>
      <x:c r="C7" t="str">
        <x:v>2020/07/01</x:v>
      </x:c>
      <x:c r="D7" t="str">
        <x:v>0140</x:v>
      </x:c>
      <x:c r="E7" t="str">
        <x:v>Chief Of Department, (Fire Department)</x:v>
      </x:c>
      <x:c r="F7" t="str">
        <x:v>352</x:v>
      </x:c>
      <x:c r="G7" t="str">
        <x:v>COMMN</x:v>
      </x:c>
      <x:c r="H7" t="str">
        <x:v>0140S</x:v>
      </x:c>
      <x:c r="I7" t="str">
        <x:v>$12,951</x:v>
      </x:c>
      <x:c r="J7" t="str"/>
      <x:c r="K7" t="str"/>
      <x:c r="L7" t="str">
        <x:v>$161.8875</x:v>
      </x:c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>
        <x:f>D7&amp;"|"&amp;UPPER(G7)&amp;"|"&amp;SUBSTITUTE(C7,"/","-")</x:f>
        <x:v>0140|COMMN|2020-07-01</x:v>
      </x:c>
    </x:row>
    <x:row r="8">
      <x:c r="A8" s="22" t="n">
        <x:v>26261</x:v>
      </x:c>
      <x:c r="B8" t="str">
        <x:v>FY23-24</x:v>
      </x:c>
      <x:c r="C8" t="str">
        <x:v>2024/01/06</x:v>
      </x:c>
      <x:c r="D8" t="str">
        <x:v>0140</x:v>
      </x:c>
      <x:c r="E8" t="str">
        <x:v>Chief Of Department, (Fire Department)</x:v>
      </x:c>
      <x:c r="F8" t="str">
        <x:v>352</x:v>
      </x:c>
      <x:c r="G8" t="str">
        <x:v>COMMN</x:v>
      </x:c>
      <x:c r="H8" t="str">
        <x:v>0140Y</x:v>
      </x:c>
      <x:c r="I8" t="str">
        <x:v>$14,832</x:v>
      </x:c>
      <x:c r="J8" t="str"/>
      <x:c r="K8" t="str"/>
      <x:c r="L8" t="str">
        <x:v>$185.4000</x:v>
      </x:c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>
        <x:f>D8&amp;"|"&amp;UPPER(G8)&amp;"|"&amp;SUBSTITUTE(C8,"/","-")</x:f>
        <x:v>0140|COMMN|2024-01-06</x:v>
      </x:c>
    </x:row>
    <x:row r="9">
      <x:c r="A9" s="22" t="n">
        <x:v>26262</x:v>
      </x:c>
      <x:c r="B9" t="str">
        <x:v>FY23-24</x:v>
      </x:c>
      <x:c r="C9" t="str">
        <x:v>2024/01/06</x:v>
      </x:c>
      <x:c r="D9" t="str">
        <x:v>0140</x:v>
      </x:c>
      <x:c r="E9" t="str">
        <x:v>Chief Of Department, (Fire Department)</x:v>
      </x:c>
      <x:c r="F9" t="str">
        <x:v>352</x:v>
      </x:c>
      <x:c r="G9" t="str">
        <x:v>SUPPRESSION</x:v>
      </x:c>
      <x:c r="H9" t="str">
        <x:v>0140Y</x:v>
      </x:c>
      <x:c r="I9" t="str">
        <x:v>$12,182</x:v>
      </x:c>
      <x:c r="J9" t="str"/>
      <x:c r="K9" t="str"/>
      <x:c r="L9" t="str">
        <x:v>$152.2793</x:v>
      </x:c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>
        <x:f>D9&amp;"|"&amp;UPPER(G9)&amp;"|"&amp;SUBSTITUTE(C9,"/","-")</x:f>
        <x:v>0140|SUPPRESSION|2024-01-06</x:v>
      </x:c>
    </x:row>
    <x:row r="10">
      <x:c r="A10" s="22" t="n">
        <x:v>28006</x:v>
      </x:c>
      <x:c r="B10" t="str">
        <x:v>FY24-25</x:v>
      </x:c>
      <x:c r="C10" t="str">
        <x:v>2024/07/01</x:v>
      </x:c>
      <x:c r="D10" t="str">
        <x:v>0140</x:v>
      </x:c>
      <x:c r="E10" t="str">
        <x:v>Chief Of Department, (Fire Department)</x:v>
      </x:c>
      <x:c r="F10" t="str">
        <x:v>352</x:v>
      </x:c>
      <x:c r="G10" t="str">
        <x:v>COMMN</x:v>
      </x:c>
      <x:c r="H10" t="str">
        <x:v>0140Z</x:v>
      </x:c>
      <x:c r="I10" t="str">
        <x:v>$14,832</x:v>
      </x:c>
      <x:c r="J10" t="str"/>
      <x:c r="K10" t="str"/>
      <x:c r="L10" t="str">
        <x:v>$185.4000</x:v>
      </x:c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>
        <x:f>D10&amp;"|"&amp;UPPER(G10)&amp;"|"&amp;SUBSTITUTE(C10,"/","-")</x:f>
        <x:v>0140|COMMN|2024-07-01</x:v>
      </x:c>
    </x:row>
    <x:row r="11">
      <x:c r="A11" s="22" t="n">
        <x:v>28007</x:v>
      </x:c>
      <x:c r="B11" t="str">
        <x:v>FY24-25</x:v>
      </x:c>
      <x:c r="C11" t="str">
        <x:v>2024/07/01</x:v>
      </x:c>
      <x:c r="D11" t="str">
        <x:v>0140</x:v>
      </x:c>
      <x:c r="E11" t="str">
        <x:v>Chief Of Department, (Fire Department)</x:v>
      </x:c>
      <x:c r="F11" t="str">
        <x:v>352</x:v>
      </x:c>
      <x:c r="G11" t="str">
        <x:v>SUPPRESSION</x:v>
      </x:c>
      <x:c r="H11" t="str">
        <x:v>0140Z</x:v>
      </x:c>
      <x:c r="I11" t="str">
        <x:v>$12,182</x:v>
      </x:c>
      <x:c r="J11" t="str"/>
      <x:c r="K11" t="str"/>
      <x:c r="L11" t="str">
        <x:v>$152.2793</x:v>
      </x:c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>
        <x:f>D11&amp;"|"&amp;UPPER(G11)&amp;"|"&amp;SUBSTITUTE(C11,"/","-")</x:f>
        <x:v>0140|SUPPRESSION|2024-07-01</x:v>
      </x:c>
    </x:row>
    <x:row r="12">
      <x:c r="A12" s="22" t="n">
        <x:v>29712</x:v>
      </x:c>
      <x:c r="B12" t="str">
        <x:v>FY24-25</x:v>
      </x:c>
      <x:c r="C12" t="str">
        <x:v>2025/01/04</x:v>
      </x:c>
      <x:c r="D12" t="str">
        <x:v>0140</x:v>
      </x:c>
      <x:c r="E12" t="str">
        <x:v>Chief Of Department, (Fire Department)</x:v>
      </x:c>
      <x:c r="F12" t="str">
        <x:v>352</x:v>
      </x:c>
      <x:c r="G12" t="str">
        <x:v>COMMN</x:v>
      </x:c>
      <x:c r="H12" t="str">
        <x:v>0140A</x:v>
      </x:c>
      <x:c r="I12" t="str">
        <x:v>$15,277</x:v>
      </x:c>
      <x:c r="J12" t="str"/>
      <x:c r="K12" t="str"/>
      <x:c r="L12" t="str">
        <x:v>$190.9625</x:v>
      </x:c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>
        <x:f>D12&amp;"|"&amp;UPPER(G12)&amp;"|"&amp;SUBSTITUTE(C12,"/","-")</x:f>
        <x:v>0140|COMMN|2025-01-04</x:v>
      </x:c>
    </x:row>
    <x:row r="13">
      <x:c r="A13" s="22" t="n">
        <x:v>29713</x:v>
      </x:c>
      <x:c r="B13" t="str">
        <x:v>FY24-25</x:v>
      </x:c>
      <x:c r="C13" t="str">
        <x:v>2025/01/04</x:v>
      </x:c>
      <x:c r="D13" t="str">
        <x:v>0140</x:v>
      </x:c>
      <x:c r="E13" t="str">
        <x:v>Chief Of Department, (Fire Department)</x:v>
      </x:c>
      <x:c r="F13" t="str">
        <x:v>352</x:v>
      </x:c>
      <x:c r="G13" t="str">
        <x:v>SUPPRESSION</x:v>
      </x:c>
      <x:c r="H13" t="str">
        <x:v>0140A</x:v>
      </x:c>
      <x:c r="I13" t="str">
        <x:v>$12,548</x:v>
      </x:c>
      <x:c r="J13" t="str"/>
      <x:c r="K13" t="str"/>
      <x:c r="L13" t="str">
        <x:v>$156.8480</x:v>
      </x:c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>
        <x:f>D13&amp;"|"&amp;UPPER(G13)&amp;"|"&amp;SUBSTITUTE(C13,"/","-")</x:f>
        <x:v>0140|SUPPRESSION|2025-01-04</x:v>
      </x:c>
    </x:row>
    <x:row r="14">
      <x:c r="A14" s="22" t="n">
        <x:v>31424</x:v>
      </x:c>
      <x:c r="B14" t="str">
        <x:v>FY25-26</x:v>
      </x:c>
      <x:c r="C14" t="str">
        <x:v>2025/07/01</x:v>
      </x:c>
      <x:c r="D14" t="str">
        <x:v>0140</x:v>
      </x:c>
      <x:c r="E14" t="str">
        <x:v>Chief, Fire Department</x:v>
      </x:c>
      <x:c r="F14" t="str">
        <x:v>352</x:v>
      </x:c>
      <x:c r="G14" t="str">
        <x:v>COMMN</x:v>
      </x:c>
      <x:c r="H14" t="str">
        <x:v>0140B</x:v>
      </x:c>
      <x:c r="I14" t="str">
        <x:v>$15,735</x:v>
      </x:c>
      <x:c r="J14" t="str"/>
      <x:c r="K14" t="str"/>
      <x:c r="L14" t="str">
        <x:v>$196.6875</x:v>
      </x:c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>
        <x:f>D14&amp;"|"&amp;UPPER(G14)&amp;"|"&amp;SUBSTITUTE(C14,"/","-")</x:f>
        <x:v>0140|COMMN|2025-07-01</x:v>
      </x:c>
    </x:row>
    <x:row r="15">
      <x:c r="A15" s="22" t="n">
        <x:v>31425</x:v>
      </x:c>
      <x:c r="B15" t="str">
        <x:v>FY25-26</x:v>
      </x:c>
      <x:c r="C15" t="str">
        <x:v>2025/07/01</x:v>
      </x:c>
      <x:c r="D15" t="str">
        <x:v>0140</x:v>
      </x:c>
      <x:c r="E15" t="str">
        <x:v>Chief, Fire Department</x:v>
      </x:c>
      <x:c r="F15" t="str">
        <x:v>352</x:v>
      </x:c>
      <x:c r="G15" t="str">
        <x:v>SUPPRESSION</x:v>
      </x:c>
      <x:c r="H15" t="str">
        <x:v>0140B</x:v>
      </x:c>
      <x:c r="I15" t="str">
        <x:v>$12,924</x:v>
      </x:c>
      <x:c r="J15" t="str"/>
      <x:c r="K15" t="str"/>
      <x:c r="L15" t="str">
        <x:v>$161.5503</x:v>
      </x:c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>
        <x:f>D15&amp;"|"&amp;UPPER(G15)&amp;"|"&amp;SUBSTITUTE(C15,"/","-")</x:f>
        <x:v>0140|SUPPRESSION|2025-07-01</x:v>
      </x:c>
    </x:row>
    <x:row r="16">
      <x:c r="A16" s="22" t="n">
        <x:v>26263</x:v>
      </x:c>
      <x:c r="B16" t="str">
        <x:v>FY23-24</x:v>
      </x:c>
      <x:c r="C16" t="str">
        <x:v>2024/01/06</x:v>
      </x:c>
      <x:c r="D16" t="str">
        <x:v>0145</x:v>
      </x:c>
      <x:c r="E16" t="str">
        <x:v>Chief of Department (Transitional), (Fire Department)</x:v>
      </x:c>
      <x:c r="F16" t="str">
        <x:v>352</x:v>
      </x:c>
      <x:c r="G16" t="str">
        <x:v>COMMN</x:v>
      </x:c>
      <x:c r="H16" t="str">
        <x:v>0145Y</x:v>
      </x:c>
      <x:c r="I16" t="str">
        <x:v>$14,832</x:v>
      </x:c>
      <x:c r="J16" t="str"/>
      <x:c r="K16" t="str"/>
      <x:c r="L16" t="str">
        <x:v>$185.4000</x:v>
      </x:c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>
        <x:f>D16&amp;"|"&amp;UPPER(G16)&amp;"|"&amp;SUBSTITUTE(C16,"/","-")</x:f>
        <x:v>0145|COMMN|2024-01-06</x:v>
      </x:c>
    </x:row>
    <x:row r="17">
      <x:c r="A17" s="22" t="n">
        <x:v>26264</x:v>
      </x:c>
      <x:c r="B17" t="str">
        <x:v>FY23-24</x:v>
      </x:c>
      <x:c r="C17" t="str">
        <x:v>2024/01/06</x:v>
      </x:c>
      <x:c r="D17" t="str">
        <x:v>0145</x:v>
      </x:c>
      <x:c r="E17" t="str">
        <x:v>Chief of Department (Transitional), (Fire Department)</x:v>
      </x:c>
      <x:c r="F17" t="str">
        <x:v>352</x:v>
      </x:c>
      <x:c r="G17" t="str">
        <x:v>SUPPRESSION</x:v>
      </x:c>
      <x:c r="H17" t="str">
        <x:v>0145Y</x:v>
      </x:c>
      <x:c r="I17" t="str">
        <x:v>$12,182</x:v>
      </x:c>
      <x:c r="J17" t="str"/>
      <x:c r="K17" t="str"/>
      <x:c r="L17" t="str">
        <x:v>$152.2793</x:v>
      </x:c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>
        <x:f>D17&amp;"|"&amp;UPPER(G17)&amp;"|"&amp;SUBSTITUTE(C17,"/","-")</x:f>
        <x:v>0145|SUPPRESSION|2024-01-06</x:v>
      </x:c>
    </x:row>
    <x:row r="18">
      <x:c r="A18" s="22" t="n">
        <x:v>28008</x:v>
      </x:c>
      <x:c r="B18" t="str">
        <x:v>FY24-25</x:v>
      </x:c>
      <x:c r="C18" t="str">
        <x:v>2024/07/01</x:v>
      </x:c>
      <x:c r="D18" t="str">
        <x:v>0145</x:v>
      </x:c>
      <x:c r="E18" t="str">
        <x:v>Chief of Department (Transitional), (Fire Department)</x:v>
      </x:c>
      <x:c r="F18" t="str">
        <x:v>352</x:v>
      </x:c>
      <x:c r="G18" t="str">
        <x:v>COMMN</x:v>
      </x:c>
      <x:c r="H18" t="str">
        <x:v>0145Z</x:v>
      </x:c>
      <x:c r="I18" t="str">
        <x:v>$14,832</x:v>
      </x:c>
      <x:c r="J18" t="str"/>
      <x:c r="K18" t="str"/>
      <x:c r="L18" t="str">
        <x:v>$185.4000</x:v>
      </x:c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>
        <x:f>D18&amp;"|"&amp;UPPER(G18)&amp;"|"&amp;SUBSTITUTE(C18,"/","-")</x:f>
        <x:v>0145|COMMN|2024-07-01</x:v>
      </x:c>
    </x:row>
    <x:row r="19">
      <x:c r="A19" s="22" t="n">
        <x:v>28009</x:v>
      </x:c>
      <x:c r="B19" t="str">
        <x:v>FY24-25</x:v>
      </x:c>
      <x:c r="C19" t="str">
        <x:v>2024/07/01</x:v>
      </x:c>
      <x:c r="D19" t="str">
        <x:v>0145</x:v>
      </x:c>
      <x:c r="E19" t="str">
        <x:v>Chief of Department (Transitional), (Fire Department)</x:v>
      </x:c>
      <x:c r="F19" t="str">
        <x:v>352</x:v>
      </x:c>
      <x:c r="G19" t="str">
        <x:v>SUPPRESSION</x:v>
      </x:c>
      <x:c r="H19" t="str">
        <x:v>0145Z</x:v>
      </x:c>
      <x:c r="I19" t="str">
        <x:v>$12,182</x:v>
      </x:c>
      <x:c r="J19" t="str"/>
      <x:c r="K19" t="str"/>
      <x:c r="L19" t="str">
        <x:v>$152.2793</x:v>
      </x:c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>
        <x:f>D19&amp;"|"&amp;UPPER(G19)&amp;"|"&amp;SUBSTITUTE(C19,"/","-")</x:f>
        <x:v>0145|SUPPRESSION|2024-07-01</x:v>
      </x:c>
    </x:row>
    <x:row r="20">
      <x:c r="A20" s="22" t="n">
        <x:v>29714</x:v>
      </x:c>
      <x:c r="B20" t="str">
        <x:v>FY24-25</x:v>
      </x:c>
      <x:c r="C20" t="str">
        <x:v>2025/01/04</x:v>
      </x:c>
      <x:c r="D20" t="str">
        <x:v>0145</x:v>
      </x:c>
      <x:c r="E20" t="str">
        <x:v>Chief of Department (Transitional), (Fire Department)</x:v>
      </x:c>
      <x:c r="F20" t="str">
        <x:v>352</x:v>
      </x:c>
      <x:c r="G20" t="str">
        <x:v>COMMN</x:v>
      </x:c>
      <x:c r="H20" t="str">
        <x:v>0145A</x:v>
      </x:c>
      <x:c r="I20" t="str">
        <x:v>$15,277</x:v>
      </x:c>
      <x:c r="J20" t="str"/>
      <x:c r="K20" t="str"/>
      <x:c r="L20" t="str">
        <x:v>$190.9625</x:v>
      </x:c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>
        <x:f>D20&amp;"|"&amp;UPPER(G20)&amp;"|"&amp;SUBSTITUTE(C20,"/","-")</x:f>
        <x:v>0145|COMMN|2025-01-04</x:v>
      </x:c>
    </x:row>
    <x:row r="21">
      <x:c r="A21" s="22" t="n">
        <x:v>29715</x:v>
      </x:c>
      <x:c r="B21" t="str">
        <x:v>FY24-25</x:v>
      </x:c>
      <x:c r="C21" t="str">
        <x:v>2025/01/04</x:v>
      </x:c>
      <x:c r="D21" t="str">
        <x:v>0145</x:v>
      </x:c>
      <x:c r="E21" t="str">
        <x:v>Chief of Department (Transitional), (Fire Department)</x:v>
      </x:c>
      <x:c r="F21" t="str">
        <x:v>352</x:v>
      </x:c>
      <x:c r="G21" t="str">
        <x:v>SUPPRESSION</x:v>
      </x:c>
      <x:c r="H21" t="str">
        <x:v>0145A</x:v>
      </x:c>
      <x:c r="I21" t="str">
        <x:v>$12,548</x:v>
      </x:c>
      <x:c r="J21" t="str"/>
      <x:c r="K21" t="str"/>
      <x:c r="L21" t="str">
        <x:v>$156.8480</x:v>
      </x:c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>
        <x:f>D21&amp;"|"&amp;UPPER(G21)&amp;"|"&amp;SUBSTITUTE(C21,"/","-")</x:f>
        <x:v>0145|SUPPRESSION|2025-01-04</x:v>
      </x:c>
    </x:row>
    <x:row r="22">
      <x:c r="A22" s="22" t="n">
        <x:v>31426</x:v>
      </x:c>
      <x:c r="B22" t="str">
        <x:v>FY25-26</x:v>
      </x:c>
      <x:c r="C22" t="str">
        <x:v>2025/07/01</x:v>
      </x:c>
      <x:c r="D22" t="str">
        <x:v>0145</x:v>
      </x:c>
      <x:c r="E22" t="str">
        <x:v>Chief (Transitional), FIR Dept</x:v>
      </x:c>
      <x:c r="F22" t="str">
        <x:v>352</x:v>
      </x:c>
      <x:c r="G22" t="str">
        <x:v>COMMN</x:v>
      </x:c>
      <x:c r="H22" t="str">
        <x:v>0145B</x:v>
      </x:c>
      <x:c r="I22" t="str">
        <x:v>$15,735</x:v>
      </x:c>
      <x:c r="J22" t="str"/>
      <x:c r="K22" t="str"/>
      <x:c r="L22" t="str">
        <x:v>$196.6875</x:v>
      </x:c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>
        <x:f>D22&amp;"|"&amp;UPPER(G22)&amp;"|"&amp;SUBSTITUTE(C22,"/","-")</x:f>
        <x:v>0145|COMMN|2025-07-01</x:v>
      </x:c>
    </x:row>
    <x:row r="23">
      <x:c r="A23" s="22" t="n">
        <x:v>31427</x:v>
      </x:c>
      <x:c r="B23" t="str">
        <x:v>FY25-26</x:v>
      </x:c>
      <x:c r="C23" t="str">
        <x:v>2025/07/01</x:v>
      </x:c>
      <x:c r="D23" t="str">
        <x:v>0145</x:v>
      </x:c>
      <x:c r="E23" t="str">
        <x:v>Chief (Transitional), FIR Dept</x:v>
      </x:c>
      <x:c r="F23" t="str">
        <x:v>352</x:v>
      </x:c>
      <x:c r="G23" t="str">
        <x:v>SUPPRESSION</x:v>
      </x:c>
      <x:c r="H23" t="str">
        <x:v>0145B</x:v>
      </x:c>
      <x:c r="I23" t="str">
        <x:v>$12,924</x:v>
      </x:c>
      <x:c r="J23" t="str"/>
      <x:c r="K23" t="str"/>
      <x:c r="L23" t="str">
        <x:v>$161.5503</x:v>
      </x:c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>
        <x:f>D23&amp;"|"&amp;UPPER(G23)&amp;"|"&amp;SUBSTITUTE(C23,"/","-")</x:f>
        <x:v>0145|SUPPRESSION|2025-07-01</x:v>
      </x:c>
    </x:row>
    <x:row r="24">
      <x:c r="A24" s="22" t="n">
        <x:v>4</x:v>
      </x:c>
      <x:c r="B24" t="str">
        <x:v>FY14-15</x:v>
      </x:c>
      <x:c r="C24" t="str">
        <x:v>2014/07/01</x:v>
      </x:c>
      <x:c r="D24" t="str">
        <x:v>0150</x:v>
      </x:c>
      <x:c r="E24" t="str">
        <x:v>Dep Chf of Dept (Fire Dept)</x:v>
      </x:c>
      <x:c r="F24" t="str">
        <x:v>352</x:v>
      </x:c>
      <x:c r="G24" t="str">
        <x:v>COMMN</x:v>
      </x:c>
      <x:c r="H24" t="str">
        <x:v>0150C</x:v>
      </x:c>
      <x:c r="I24" t="str">
        <x:v>$10,028</x:v>
      </x:c>
      <x:c r="J24" t="str">
        <x:v>$10,028</x:v>
      </x:c>
      <x:c r="K24" t="str"/>
      <x:c r="L24" t="str">
        <x:v>$125.3500</x:v>
      </x:c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>
        <x:f>D24&amp;"|"&amp;UPPER(G24)&amp;"|"&amp;SUBSTITUTE(C24,"/","-")</x:f>
        <x:v>0150|COMMN|2014-07-01</x:v>
      </x:c>
    </x:row>
    <x:row r="25">
      <x:c r="A25" s="22" t="n">
        <x:v>5</x:v>
      </x:c>
      <x:c r="B25" t="str">
        <x:v>FY14-15</x:v>
      </x:c>
      <x:c r="C25" t="str">
        <x:v>2014/07/01</x:v>
      </x:c>
      <x:c r="D25" t="str">
        <x:v>0150</x:v>
      </x:c>
      <x:c r="E25" t="str">
        <x:v>Dep Chf of Dept (Fire Dept)</x:v>
      </x:c>
      <x:c r="F25" t="str">
        <x:v>352</x:v>
      </x:c>
      <x:c r="G25" t="str">
        <x:v>Suppression</x:v>
      </x:c>
      <x:c r="H25" t="str">
        <x:v>0150C</x:v>
      </x:c>
      <x:c r="I25" t="str">
        <x:v>$8,237</x:v>
      </x:c>
      <x:c r="J25" t="str">
        <x:v>$8,237</x:v>
      </x:c>
      <x:c r="K25" t="str"/>
      <x:c r="L25" t="str">
        <x:v>$102.9569</x:v>
      </x:c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>
        <x:f>D25&amp;"|"&amp;UPPER(G25)&amp;"|"&amp;SUBSTITUTE(C25,"/","-")</x:f>
        <x:v>0150|SUPPRESSION|2014-07-01</x:v>
      </x:c>
    </x:row>
    <x:row r="26">
      <x:c r="A26" s="22" t="n">
        <x:v>15913</x:v>
      </x:c>
      <x:c r="B26" t="str">
        <x:v>FY20-21</x:v>
      </x:c>
      <x:c r="C26" t="str">
        <x:v>2020/07/01</x:v>
      </x:c>
      <x:c r="D26" t="str">
        <x:v>0150</x:v>
      </x:c>
      <x:c r="E26" t="str">
        <x:v>Deputy Chief Of Department, (Fire Department)</x:v>
      </x:c>
      <x:c r="F26" t="str">
        <x:v>352</x:v>
      </x:c>
      <x:c r="G26" t="str">
        <x:v>COMMN</x:v>
      </x:c>
      <x:c r="H26" t="str">
        <x:v>0150S</x:v>
      </x:c>
      <x:c r="I26" t="str">
        <x:v>$11,180</x:v>
      </x:c>
      <x:c r="J26" t="str"/>
      <x:c r="K26" t="str"/>
      <x:c r="L26" t="str">
        <x:v>$139.7500</x:v>
      </x:c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>
        <x:f>D26&amp;"|"&amp;UPPER(G26)&amp;"|"&amp;SUBSTITUTE(C26,"/","-")</x:f>
        <x:v>0150|COMMN|2020-07-01</x:v>
      </x:c>
    </x:row>
    <x:row r="27">
      <x:c r="A27" s="22" t="n">
        <x:v>26265</x:v>
      </x:c>
      <x:c r="B27" t="str">
        <x:v>FY23-24</x:v>
      </x:c>
      <x:c r="C27" t="str">
        <x:v>2024/01/06</x:v>
      </x:c>
      <x:c r="D27" t="str">
        <x:v>0150</x:v>
      </x:c>
      <x:c r="E27" t="str">
        <x:v>Deputy Chief Of Department, (Fire Department)</x:v>
      </x:c>
      <x:c r="F27" t="str">
        <x:v>352</x:v>
      </x:c>
      <x:c r="G27" t="str">
        <x:v>COMMN</x:v>
      </x:c>
      <x:c r="H27" t="str">
        <x:v>0150Y</x:v>
      </x:c>
      <x:c r="I27" t="str">
        <x:v>$12,803</x:v>
      </x:c>
      <x:c r="J27" t="str"/>
      <x:c r="K27" t="str"/>
      <x:c r="L27" t="str">
        <x:v>$160.0375</x:v>
      </x:c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>
        <x:f>D27&amp;"|"&amp;UPPER(G27)&amp;"|"&amp;SUBSTITUTE(C27,"/","-")</x:f>
        <x:v>0150|COMMN|2024-01-06</x:v>
      </x:c>
    </x:row>
    <x:row r="28">
      <x:c r="A28" s="22" t="n">
        <x:v>26266</x:v>
      </x:c>
      <x:c r="B28" t="str">
        <x:v>FY23-24</x:v>
      </x:c>
      <x:c r="C28" t="str">
        <x:v>2024/01/06</x:v>
      </x:c>
      <x:c r="D28" t="str">
        <x:v>0150</x:v>
      </x:c>
      <x:c r="E28" t="str">
        <x:v>Deputy Chief Of Department, (Fire Department)</x:v>
      </x:c>
      <x:c r="F28" t="str">
        <x:v>352</x:v>
      </x:c>
      <x:c r="G28" t="str">
        <x:v>SUPPRESSION</x:v>
      </x:c>
      <x:c r="H28" t="str">
        <x:v>0150Y</x:v>
      </x:c>
      <x:c r="I28" t="str">
        <x:v>$10,516</x:v>
      </x:c>
      <x:c r="J28" t="str"/>
      <x:c r="K28" t="str"/>
      <x:c r="L28" t="str">
        <x:v>$131.4476</x:v>
      </x:c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>
        <x:f>D28&amp;"|"&amp;UPPER(G28)&amp;"|"&amp;SUBSTITUTE(C28,"/","-")</x:f>
        <x:v>0150|SUPPRESSION|2024-01-06</x:v>
      </x:c>
    </x:row>
    <x:row r="29">
      <x:c r="A29" s="22" t="n">
        <x:v>28010</x:v>
      </x:c>
      <x:c r="B29" t="str">
        <x:v>FY24-25</x:v>
      </x:c>
      <x:c r="C29" t="str">
        <x:v>2024/07/01</x:v>
      </x:c>
      <x:c r="D29" t="str">
        <x:v>0150</x:v>
      </x:c>
      <x:c r="E29" t="str">
        <x:v>Deputy Chief Of Department, (Fire Department)</x:v>
      </x:c>
      <x:c r="F29" t="str">
        <x:v>352</x:v>
      </x:c>
      <x:c r="G29" t="str">
        <x:v>COMMN</x:v>
      </x:c>
      <x:c r="H29" t="str">
        <x:v>0150Z</x:v>
      </x:c>
      <x:c r="I29" t="str">
        <x:v>$12,803</x:v>
      </x:c>
      <x:c r="J29" t="str"/>
      <x:c r="K29" t="str"/>
      <x:c r="L29" t="str">
        <x:v>$160.0375</x:v>
      </x:c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>
        <x:f>D29&amp;"|"&amp;UPPER(G29)&amp;"|"&amp;SUBSTITUTE(C29,"/","-")</x:f>
        <x:v>0150|COMMN|2024-07-01</x:v>
      </x:c>
    </x:row>
    <x:row r="30">
      <x:c r="A30" s="22" t="n">
        <x:v>28011</x:v>
      </x:c>
      <x:c r="B30" t="str">
        <x:v>FY24-25</x:v>
      </x:c>
      <x:c r="C30" t="str">
        <x:v>2024/07/01</x:v>
      </x:c>
      <x:c r="D30" t="str">
        <x:v>0150</x:v>
      </x:c>
      <x:c r="E30" t="str">
        <x:v>Deputy Chief Of Department, (Fire Department)</x:v>
      </x:c>
      <x:c r="F30" t="str">
        <x:v>352</x:v>
      </x:c>
      <x:c r="G30" t="str">
        <x:v>SUPPRESSION</x:v>
      </x:c>
      <x:c r="H30" t="str">
        <x:v>0150Z</x:v>
      </x:c>
      <x:c r="I30" t="str">
        <x:v>$10,516</x:v>
      </x:c>
      <x:c r="J30" t="str"/>
      <x:c r="K30" t="str"/>
      <x:c r="L30" t="str">
        <x:v>$131.4476</x:v>
      </x:c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>
        <x:f>D30&amp;"|"&amp;UPPER(G30)&amp;"|"&amp;SUBSTITUTE(C30,"/","-")</x:f>
        <x:v>0150|SUPPRESSION|2024-07-01</x:v>
      </x:c>
    </x:row>
    <x:row r="31">
      <x:c r="A31" s="22" t="n">
        <x:v>29716</x:v>
      </x:c>
      <x:c r="B31" t="str">
        <x:v>FY24-25</x:v>
      </x:c>
      <x:c r="C31" t="str">
        <x:v>2025/01/04</x:v>
      </x:c>
      <x:c r="D31" t="str">
        <x:v>0150</x:v>
      </x:c>
      <x:c r="E31" t="str">
        <x:v>Deputy Chief Of Department, (Fire Department)</x:v>
      </x:c>
      <x:c r="F31" t="str">
        <x:v>352</x:v>
      </x:c>
      <x:c r="G31" t="str">
        <x:v>COMMN</x:v>
      </x:c>
      <x:c r="H31" t="str">
        <x:v>0150A</x:v>
      </x:c>
      <x:c r="I31" t="str">
        <x:v>$13,187</x:v>
      </x:c>
      <x:c r="J31" t="str"/>
      <x:c r="K31" t="str"/>
      <x:c r="L31" t="str">
        <x:v>$164.8375</x:v>
      </x:c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>
        <x:f>D31&amp;"|"&amp;UPPER(G31)&amp;"|"&amp;SUBSTITUTE(C31,"/","-")</x:f>
        <x:v>0150|COMMN|2025-01-04</x:v>
      </x:c>
    </x:row>
    <x:row r="32">
      <x:c r="A32" s="22" t="n">
        <x:v>29717</x:v>
      </x:c>
      <x:c r="B32" t="str">
        <x:v>FY24-25</x:v>
      </x:c>
      <x:c r="C32" t="str">
        <x:v>2025/01/04</x:v>
      </x:c>
      <x:c r="D32" t="str">
        <x:v>0150</x:v>
      </x:c>
      <x:c r="E32" t="str">
        <x:v>Deputy Chief Of Department, (Fire Department)</x:v>
      </x:c>
      <x:c r="F32" t="str">
        <x:v>352</x:v>
      </x:c>
      <x:c r="G32" t="str">
        <x:v>SUPPRESSION</x:v>
      </x:c>
      <x:c r="H32" t="str">
        <x:v>0150A</x:v>
      </x:c>
      <x:c r="I32" t="str">
        <x:v>$10,831</x:v>
      </x:c>
      <x:c r="J32" t="str"/>
      <x:c r="K32" t="str"/>
      <x:c r="L32" t="str">
        <x:v>$135.3901</x:v>
      </x:c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>
        <x:f>D32&amp;"|"&amp;UPPER(G32)&amp;"|"&amp;SUBSTITUTE(C32,"/","-")</x:f>
        <x:v>0150|SUPPRESSION|2025-01-04</x:v>
      </x:c>
    </x:row>
    <x:row r="33">
      <x:c r="A33" s="22" t="n">
        <x:v>31428</x:v>
      </x:c>
      <x:c r="B33" t="str">
        <x:v>FY25-26</x:v>
      </x:c>
      <x:c r="C33" t="str">
        <x:v>2025/07/01</x:v>
      </x:c>
      <x:c r="D33" t="str">
        <x:v>0150</x:v>
      </x:c>
      <x:c r="E33" t="str">
        <x:v>Dep Chf of Dept (Fire Dept)</x:v>
      </x:c>
      <x:c r="F33" t="str">
        <x:v>352</x:v>
      </x:c>
      <x:c r="G33" t="str">
        <x:v>COMMN</x:v>
      </x:c>
      <x:c r="H33" t="str">
        <x:v>0150B</x:v>
      </x:c>
      <x:c r="I33" t="str">
        <x:v>$13,583</x:v>
      </x:c>
      <x:c r="J33" t="str"/>
      <x:c r="K33" t="str"/>
      <x:c r="L33" t="str">
        <x:v>$169.7875</x:v>
      </x:c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>
        <x:f>D33&amp;"|"&amp;UPPER(G33)&amp;"|"&amp;SUBSTITUTE(C33,"/","-")</x:f>
        <x:v>0150|COMMN|2025-07-01</x:v>
      </x:c>
    </x:row>
    <x:row r="34">
      <x:c r="A34" s="22" t="n">
        <x:v>31429</x:v>
      </x:c>
      <x:c r="B34" t="str">
        <x:v>FY25-26</x:v>
      </x:c>
      <x:c r="C34" t="str">
        <x:v>2025/07/01</x:v>
      </x:c>
      <x:c r="D34" t="str">
        <x:v>0150</x:v>
      </x:c>
      <x:c r="E34" t="str">
        <x:v>Dep Chf of Dept (Fire Dept)</x:v>
      </x:c>
      <x:c r="F34" t="str">
        <x:v>352</x:v>
      </x:c>
      <x:c r="G34" t="str">
        <x:v>SUPPRESSION</x:v>
      </x:c>
      <x:c r="H34" t="str">
        <x:v>0150B</x:v>
      </x:c>
      <x:c r="I34" t="str">
        <x:v>$11,156</x:v>
      </x:c>
      <x:c r="J34" t="str"/>
      <x:c r="K34" t="str"/>
      <x:c r="L34" t="str">
        <x:v>$139.4559</x:v>
      </x:c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>
        <x:f>D34&amp;"|"&amp;UPPER(G34)&amp;"|"&amp;SUBSTITUTE(C34,"/","-")</x:f>
        <x:v>0150|SUPPRESSION|2025-07-01</x:v>
      </x:c>
    </x:row>
    <x:row r="35">
      <x:c r="A35" s="22" t="n">
        <x:v>26267</x:v>
      </x:c>
      <x:c r="B35" t="str">
        <x:v>FY23-24</x:v>
      </x:c>
      <x:c r="C35" t="str">
        <x:v>2024/01/06</x:v>
      </x:c>
      <x:c r="D35" t="str">
        <x:v>0380</x:v>
      </x:c>
      <x:c r="E35" t="str">
        <x:v>Inspector, (Police Department)</x:v>
      </x:c>
      <x:c r="F35" t="str">
        <x:v>911</x:v>
      </x:c>
      <x:c r="G35" t="str">
        <x:v>COMMN</x:v>
      </x:c>
      <x:c r="H35" t="str">
        <x:v>0380Y</x:v>
      </x:c>
      <x:c r="I35" t="str">
        <x:v>$6,397</x:v>
      </x:c>
      <x:c r="J35" t="str"/>
      <x:c r="K35" t="str"/>
      <x:c r="L35" t="str">
        <x:v>$79.9625</x:v>
      </x:c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>
        <x:f>D35&amp;"|"&amp;UPPER(G35)&amp;"|"&amp;SUBSTITUTE(C35,"/","-")</x:f>
        <x:v>0380|COMMN|2024-01-06</x:v>
      </x:c>
    </x:row>
    <x:row r="36">
      <x:c r="A36" s="22" t="n">
        <x:v>28012</x:v>
      </x:c>
      <x:c r="B36" t="str">
        <x:v>FY24-25</x:v>
      </x:c>
      <x:c r="C36" t="str">
        <x:v>2024/07/01</x:v>
      </x:c>
      <x:c r="D36" t="str">
        <x:v>0380</x:v>
      </x:c>
      <x:c r="E36" t="str">
        <x:v>Inspector, (Police Department)</x:v>
      </x:c>
      <x:c r="F36" t="str">
        <x:v>911</x:v>
      </x:c>
      <x:c r="G36" t="str">
        <x:v>COMMN</x:v>
      </x:c>
      <x:c r="H36" t="str">
        <x:v>0380Z</x:v>
      </x:c>
      <x:c r="I36" t="str">
        <x:v>$6,397</x:v>
      </x:c>
      <x:c r="J36" t="str"/>
      <x:c r="K36" t="str"/>
      <x:c r="L36" t="str">
        <x:v>$79.9625</x:v>
      </x:c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>
        <x:f>D36&amp;"|"&amp;UPPER(G36)&amp;"|"&amp;SUBSTITUTE(C36,"/","-")</x:f>
        <x:v>0380|COMMN|2024-07-01</x:v>
      </x:c>
    </x:row>
    <x:row r="37">
      <x:c r="A37" s="22" t="n">
        <x:v>29718</x:v>
      </x:c>
      <x:c r="B37" t="str">
        <x:v>FY24-25</x:v>
      </x:c>
      <x:c r="C37" t="str">
        <x:v>2025/01/04</x:v>
      </x:c>
      <x:c r="D37" t="str">
        <x:v>0380</x:v>
      </x:c>
      <x:c r="E37" t="str">
        <x:v>Inspector, (Police Department)</x:v>
      </x:c>
      <x:c r="F37" t="str">
        <x:v>911</x:v>
      </x:c>
      <x:c r="G37" t="str">
        <x:v>COMMN</x:v>
      </x:c>
      <x:c r="H37" t="str">
        <x:v>0380A</x:v>
      </x:c>
      <x:c r="I37" t="str">
        <x:v>$6,589</x:v>
      </x:c>
      <x:c r="J37" t="str"/>
      <x:c r="K37" t="str"/>
      <x:c r="L37" t="str">
        <x:v>$82.3625</x:v>
      </x:c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>
        <x:f>D37&amp;"|"&amp;UPPER(G37)&amp;"|"&amp;SUBSTITUTE(C37,"/","-")</x:f>
        <x:v>0380|COMMN|2025-01-04</x:v>
      </x:c>
    </x:row>
    <x:row r="38">
      <x:c r="A38" s="22" t="n">
        <x:v>31430</x:v>
      </x:c>
      <x:c r="B38" t="str">
        <x:v>FY25-26</x:v>
      </x:c>
      <x:c r="C38" t="str">
        <x:v>2025/07/01</x:v>
      </x:c>
      <x:c r="D38" t="str">
        <x:v>0380</x:v>
      </x:c>
      <x:c r="E38" t="str">
        <x:v>Inspector, (Police Department)</x:v>
      </x:c>
      <x:c r="F38" t="str">
        <x:v>911</x:v>
      </x:c>
      <x:c r="G38" t="str">
        <x:v>COMMN</x:v>
      </x:c>
      <x:c r="H38" t="str">
        <x:v>0380B</x:v>
      </x:c>
      <x:c r="I38" t="str">
        <x:v>$6,787</x:v>
      </x:c>
      <x:c r="J38" t="str"/>
      <x:c r="K38" t="str"/>
      <x:c r="L38" t="str">
        <x:v>$84.8375</x:v>
      </x:c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>
        <x:f>D38&amp;"|"&amp;UPPER(G38)&amp;"|"&amp;SUBSTITUTE(C38,"/","-")</x:f>
        <x:v>0380|COMMN|2025-07-01</x:v>
      </x:c>
    </x:row>
    <x:row r="39">
      <x:c r="A39" s="22" t="n">
        <x:v>15916</x:v>
      </x:c>
      <x:c r="B39" t="str">
        <x:v>FY20-21</x:v>
      </x:c>
      <x:c r="C39" t="str">
        <x:v>2020/07/01</x:v>
      </x:c>
      <x:c r="D39" t="str">
        <x:v>0381</x:v>
      </x:c>
      <x:c r="E39" t="str">
        <x:v>Inspector II</x:v>
      </x:c>
      <x:c r="F39" t="str">
        <x:v>911</x:v>
      </x:c>
      <x:c r="G39" t="str">
        <x:v>COMMN</x:v>
      </x:c>
      <x:c r="H39" t="str">
        <x:v>0381S</x:v>
      </x:c>
      <x:c r="I39" t="str">
        <x:v>$5,921</x:v>
      </x:c>
      <x:c r="J39" t="str"/>
      <x:c r="K39" t="str"/>
      <x:c r="L39" t="str">
        <x:v>$74.0125</x:v>
      </x:c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>
        <x:f>D39&amp;"|"&amp;UPPER(G39)&amp;"|"&amp;SUBSTITUTE(C39,"/","-")</x:f>
        <x:v>0381|COMMN|2020-07-01</x:v>
      </x:c>
    </x:row>
    <x:row r="40">
      <x:c r="A40" s="22" t="n">
        <x:v>26268</x:v>
      </x:c>
      <x:c r="B40" t="str">
        <x:v>FY23-24</x:v>
      </x:c>
      <x:c r="C40" t="str">
        <x:v>2024/01/06</x:v>
      </x:c>
      <x:c r="D40" t="str">
        <x:v>0381</x:v>
      </x:c>
      <x:c r="E40" t="str">
        <x:v>Inspector II</x:v>
      </x:c>
      <x:c r="F40" t="str">
        <x:v>911</x:v>
      </x:c>
      <x:c r="G40" t="str">
        <x:v>COMMN</x:v>
      </x:c>
      <x:c r="H40" t="str">
        <x:v>0381Y</x:v>
      </x:c>
      <x:c r="I40" t="str">
        <x:v>$6,781</x:v>
      </x:c>
      <x:c r="J40" t="str"/>
      <x:c r="K40" t="str"/>
      <x:c r="L40" t="str">
        <x:v>$84.7625</x:v>
      </x:c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t="str"/>
      <x:c r="AD40" t="str"/>
      <x:c r="AE40" t="str"/>
      <x:c r="AF40" t="str">
        <x:f>D40&amp;"|"&amp;UPPER(G40)&amp;"|"&amp;SUBSTITUTE(C40,"/","-")</x:f>
        <x:v>0381|COMMN|2024-01-06</x:v>
      </x:c>
    </x:row>
    <x:row r="41">
      <x:c r="A41" s="22" t="n">
        <x:v>28013</x:v>
      </x:c>
      <x:c r="B41" t="str">
        <x:v>FY24-25</x:v>
      </x:c>
      <x:c r="C41" t="str">
        <x:v>2024/07/01</x:v>
      </x:c>
      <x:c r="D41" t="str">
        <x:v>0381</x:v>
      </x:c>
      <x:c r="E41" t="str">
        <x:v>Inspector II</x:v>
      </x:c>
      <x:c r="F41" t="str">
        <x:v>911</x:v>
      </x:c>
      <x:c r="G41" t="str">
        <x:v>COMMN</x:v>
      </x:c>
      <x:c r="H41" t="str">
        <x:v>0381Z</x:v>
      </x:c>
      <x:c r="I41" t="str">
        <x:v>$6,781</x:v>
      </x:c>
      <x:c r="J41" t="str"/>
      <x:c r="K41" t="str"/>
      <x:c r="L41" t="str">
        <x:v>$84.7625</x:v>
      </x:c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>
        <x:f>D41&amp;"|"&amp;UPPER(G41)&amp;"|"&amp;SUBSTITUTE(C41,"/","-")</x:f>
        <x:v>0381|COMMN|2024-07-01</x:v>
      </x:c>
    </x:row>
    <x:row r="42">
      <x:c r="A42" s="22" t="n">
        <x:v>29719</x:v>
      </x:c>
      <x:c r="B42" t="str">
        <x:v>FY24-25</x:v>
      </x:c>
      <x:c r="C42" t="str">
        <x:v>2025/01/04</x:v>
      </x:c>
      <x:c r="D42" t="str">
        <x:v>0381</x:v>
      </x:c>
      <x:c r="E42" t="str">
        <x:v>Inspector II</x:v>
      </x:c>
      <x:c r="F42" t="str">
        <x:v>911</x:v>
      </x:c>
      <x:c r="G42" t="str">
        <x:v>COMMN</x:v>
      </x:c>
      <x:c r="H42" t="str">
        <x:v>0381A</x:v>
      </x:c>
      <x:c r="I42" t="str">
        <x:v>$6,984</x:v>
      </x:c>
      <x:c r="J42" t="str"/>
      <x:c r="K42" t="str"/>
      <x:c r="L42" t="str">
        <x:v>$87.3000</x:v>
      </x:c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>
        <x:f>D42&amp;"|"&amp;UPPER(G42)&amp;"|"&amp;SUBSTITUTE(C42,"/","-")</x:f>
        <x:v>0381|COMMN|2025-01-04</x:v>
      </x:c>
    </x:row>
    <x:row r="43">
      <x:c r="A43" s="22" t="n">
        <x:v>31431</x:v>
      </x:c>
      <x:c r="B43" t="str">
        <x:v>FY25-26</x:v>
      </x:c>
      <x:c r="C43" t="str">
        <x:v>2025/07/01</x:v>
      </x:c>
      <x:c r="D43" t="str">
        <x:v>0381</x:v>
      </x:c>
      <x:c r="E43" t="str">
        <x:v>Inspector 2</x:v>
      </x:c>
      <x:c r="F43" t="str">
        <x:v>911</x:v>
      </x:c>
      <x:c r="G43" t="str">
        <x:v>COMMN</x:v>
      </x:c>
      <x:c r="H43" t="str">
        <x:v>0381B</x:v>
      </x:c>
      <x:c r="I43" t="str">
        <x:v>$7,194</x:v>
      </x:c>
      <x:c r="J43" t="str"/>
      <x:c r="K43" t="str"/>
      <x:c r="L43" t="str">
        <x:v>$89.9250</x:v>
      </x:c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>
        <x:f>D43&amp;"|"&amp;UPPER(G43)&amp;"|"&amp;SUBSTITUTE(C43,"/","-")</x:f>
        <x:v>0381|COMMN|2025-07-01</x:v>
      </x:c>
    </x:row>
    <x:row r="44">
      <x:c r="A44" s="22" t="n">
        <x:v>15917</x:v>
      </x:c>
      <x:c r="B44" t="str">
        <x:v>FY20-21</x:v>
      </x:c>
      <x:c r="C44" t="str">
        <x:v>2020/07/01</x:v>
      </x:c>
      <x:c r="D44" t="str">
        <x:v>0382</x:v>
      </x:c>
      <x:c r="E44" t="str">
        <x:v>Inspector III</x:v>
      </x:c>
      <x:c r="F44" t="str">
        <x:v>911</x:v>
      </x:c>
      <x:c r="G44" t="str">
        <x:v>COMMN</x:v>
      </x:c>
      <x:c r="H44" t="str">
        <x:v>0382S</x:v>
      </x:c>
      <x:c r="I44" t="str">
        <x:v>$6,034</x:v>
      </x:c>
      <x:c r="J44" t="str"/>
      <x:c r="K44" t="str"/>
      <x:c r="L44" t="str">
        <x:v>$75.4250</x:v>
      </x:c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>
        <x:f>D44&amp;"|"&amp;UPPER(G44)&amp;"|"&amp;SUBSTITUTE(C44,"/","-")</x:f>
        <x:v>0382|COMMN|2020-07-01</x:v>
      </x:c>
    </x:row>
    <x:row r="45">
      <x:c r="A45" s="22" t="n">
        <x:v>26269</x:v>
      </x:c>
      <x:c r="B45" t="str">
        <x:v>FY23-24</x:v>
      </x:c>
      <x:c r="C45" t="str">
        <x:v>2024/01/06</x:v>
      </x:c>
      <x:c r="D45" t="str">
        <x:v>0382</x:v>
      </x:c>
      <x:c r="E45" t="str">
        <x:v>Inspector III</x:v>
      </x:c>
      <x:c r="F45" t="str">
        <x:v>911</x:v>
      </x:c>
      <x:c r="G45" t="str">
        <x:v>COMMN</x:v>
      </x:c>
      <x:c r="H45" t="str">
        <x:v>0382Y</x:v>
      </x:c>
      <x:c r="I45" t="str">
        <x:v>$6,910</x:v>
      </x:c>
      <x:c r="J45" t="str"/>
      <x:c r="K45" t="str"/>
      <x:c r="L45" t="str">
        <x:v>$86.3750</x:v>
      </x:c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>
        <x:f>D45&amp;"|"&amp;UPPER(G45)&amp;"|"&amp;SUBSTITUTE(C45,"/","-")</x:f>
        <x:v>0382|COMMN|2024-01-06</x:v>
      </x:c>
    </x:row>
    <x:row r="46">
      <x:c r="A46" s="22" t="n">
        <x:v>28014</x:v>
      </x:c>
      <x:c r="B46" t="str">
        <x:v>FY24-25</x:v>
      </x:c>
      <x:c r="C46" t="str">
        <x:v>2024/07/01</x:v>
      </x:c>
      <x:c r="D46" t="str">
        <x:v>0382</x:v>
      </x:c>
      <x:c r="E46" t="str">
        <x:v>Inspector III</x:v>
      </x:c>
      <x:c r="F46" t="str">
        <x:v>911</x:v>
      </x:c>
      <x:c r="G46" t="str">
        <x:v>COMMN</x:v>
      </x:c>
      <x:c r="H46" t="str">
        <x:v>0382Z</x:v>
      </x:c>
      <x:c r="I46" t="str">
        <x:v>$6,910</x:v>
      </x:c>
      <x:c r="J46" t="str"/>
      <x:c r="K46" t="str"/>
      <x:c r="L46" t="str">
        <x:v>$86.3750</x:v>
      </x:c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t="str"/>
      <x:c r="AD46" t="str"/>
      <x:c r="AE46" t="str"/>
      <x:c r="AF46" t="str">
        <x:f>D46&amp;"|"&amp;UPPER(G46)&amp;"|"&amp;SUBSTITUTE(C46,"/","-")</x:f>
        <x:v>0382|COMMN|2024-07-01</x:v>
      </x:c>
    </x:row>
    <x:row r="47">
      <x:c r="A47" s="22" t="n">
        <x:v>29720</x:v>
      </x:c>
      <x:c r="B47" t="str">
        <x:v>FY24-25</x:v>
      </x:c>
      <x:c r="C47" t="str">
        <x:v>2025/01/04</x:v>
      </x:c>
      <x:c r="D47" t="str">
        <x:v>0382</x:v>
      </x:c>
      <x:c r="E47" t="str">
        <x:v>Inspector III</x:v>
      </x:c>
      <x:c r="F47" t="str">
        <x:v>911</x:v>
      </x:c>
      <x:c r="G47" t="str">
        <x:v>COMMN</x:v>
      </x:c>
      <x:c r="H47" t="str">
        <x:v>0382A</x:v>
      </x:c>
      <x:c r="I47" t="str">
        <x:v>$7,117</x:v>
      </x:c>
      <x:c r="J47" t="str"/>
      <x:c r="K47" t="str"/>
      <x:c r="L47" t="str">
        <x:v>$88.9625</x:v>
      </x:c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>
        <x:f>D47&amp;"|"&amp;UPPER(G47)&amp;"|"&amp;SUBSTITUTE(C47,"/","-")</x:f>
        <x:v>0382|COMMN|2025-01-04</x:v>
      </x:c>
    </x:row>
    <x:row r="48">
      <x:c r="A48" s="22" t="n">
        <x:v>31432</x:v>
      </x:c>
      <x:c r="B48" t="str">
        <x:v>FY25-26</x:v>
      </x:c>
      <x:c r="C48" t="str">
        <x:v>2025/07/01</x:v>
      </x:c>
      <x:c r="D48" t="str">
        <x:v>0382</x:v>
      </x:c>
      <x:c r="E48" t="str">
        <x:v>Inspector 3</x:v>
      </x:c>
      <x:c r="F48" t="str">
        <x:v>911</x:v>
      </x:c>
      <x:c r="G48" t="str">
        <x:v>COMMN</x:v>
      </x:c>
      <x:c r="H48" t="str">
        <x:v>0382B</x:v>
      </x:c>
      <x:c r="I48" t="str">
        <x:v>$7,331</x:v>
      </x:c>
      <x:c r="J48" t="str"/>
      <x:c r="K48" t="str"/>
      <x:c r="L48" t="str">
        <x:v>$91.6375</x:v>
      </x:c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>
        <x:f>D48&amp;"|"&amp;UPPER(G48)&amp;"|"&amp;SUBSTITUTE(C48,"/","-")</x:f>
        <x:v>0382|COMMN|2025-07-01</x:v>
      </x:c>
    </x:row>
    <x:row r="49">
      <x:c r="A49" s="22" t="n">
        <x:v>31433</x:v>
      </x:c>
      <x:c r="B49" t="str">
        <x:v>FY25-26</x:v>
      </x:c>
      <x:c r="C49" t="str">
        <x:v>2025/07/01</x:v>
      </x:c>
      <x:c r="D49" t="str">
        <x:v>0385</x:v>
      </x:c>
      <x:c r="E49" t="str">
        <x:v>Chief of Police (Transitional)</x:v>
      </x:c>
      <x:c r="F49" t="str">
        <x:v>353</x:v>
      </x:c>
      <x:c r="G49" t="str">
        <x:v>COMMN</x:v>
      </x:c>
      <x:c r="H49" t="str">
        <x:v>0385B</x:v>
      </x:c>
      <x:c r="I49" t="str">
        <x:v>$16,017</x:v>
      </x:c>
      <x:c r="J49" t="str"/>
      <x:c r="K49" t="str"/>
      <x:c r="L49" t="str">
        <x:v>$200.2125</x:v>
      </x:c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t="str"/>
      <x:c r="AD49" t="str"/>
      <x:c r="AE49" t="str"/>
      <x:c r="AF49" t="str">
        <x:f>D49&amp;"|"&amp;UPPER(G49)&amp;"|"&amp;SUBSTITUTE(C49,"/","-")</x:f>
        <x:v>0385|COMMN|2025-07-01</x:v>
      </x:c>
    </x:row>
    <x:row r="50">
      <x:c r="A50" s="22" t="n">
        <x:v>15921</x:v>
      </x:c>
      <x:c r="B50" t="str">
        <x:v>FY20-21</x:v>
      </x:c>
      <x:c r="C50" t="str">
        <x:v>2020/07/01</x:v>
      </x:c>
      <x:c r="D50" t="str">
        <x:v>0390</x:v>
      </x:c>
      <x:c r="E50" t="str">
        <x:v>Chief Of Police</x:v>
      </x:c>
      <x:c r="F50" t="str">
        <x:v>353</x:v>
      </x:c>
      <x:c r="G50" t="str">
        <x:v>COMMN</x:v>
      </x:c>
      <x:c r="H50" t="str">
        <x:v>0390S</x:v>
      </x:c>
      <x:c r="I50" t="str">
        <x:v>$13,183</x:v>
      </x:c>
      <x:c r="J50" t="str"/>
      <x:c r="K50" t="str"/>
      <x:c r="L50" t="str">
        <x:v>$164.7875</x:v>
      </x:c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>
        <x:f>D50&amp;"|"&amp;UPPER(G50)&amp;"|"&amp;SUBSTITUTE(C50,"/","-")</x:f>
        <x:v>0390|COMMN|2020-07-01</x:v>
      </x:c>
    </x:row>
    <x:row r="51">
      <x:c r="A51" s="22" t="n">
        <x:v>26273</x:v>
      </x:c>
      <x:c r="B51" t="str">
        <x:v>FY23-24</x:v>
      </x:c>
      <x:c r="C51" t="str">
        <x:v>2024/01/06</x:v>
      </x:c>
      <x:c r="D51" t="str">
        <x:v>0390</x:v>
      </x:c>
      <x:c r="E51" t="str">
        <x:v>Chief Of Police</x:v>
      </x:c>
      <x:c r="F51" t="str">
        <x:v>353</x:v>
      </x:c>
      <x:c r="G51" t="str">
        <x:v>COMMN</x:v>
      </x:c>
      <x:c r="H51" t="str">
        <x:v>0390Y</x:v>
      </x:c>
      <x:c r="I51" t="str">
        <x:v>$15,097</x:v>
      </x:c>
      <x:c r="J51" t="str"/>
      <x:c r="K51" t="str"/>
      <x:c r="L51" t="str">
        <x:v>$188.7125</x:v>
      </x:c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t="str"/>
      <x:c r="AD51" t="str"/>
      <x:c r="AE51" t="str"/>
      <x:c r="AF51" t="str">
        <x:f>D51&amp;"|"&amp;UPPER(G51)&amp;"|"&amp;SUBSTITUTE(C51,"/","-")</x:f>
        <x:v>0390|COMMN|2024-01-06</x:v>
      </x:c>
    </x:row>
    <x:row r="52">
      <x:c r="A52" s="22" t="n">
        <x:v>28015</x:v>
      </x:c>
      <x:c r="B52" t="str">
        <x:v>FY24-25</x:v>
      </x:c>
      <x:c r="C52" t="str">
        <x:v>2024/07/01</x:v>
      </x:c>
      <x:c r="D52" t="str">
        <x:v>0390</x:v>
      </x:c>
      <x:c r="E52" t="str">
        <x:v>Chief Of Police</x:v>
      </x:c>
      <x:c r="F52" t="str">
        <x:v>353</x:v>
      </x:c>
      <x:c r="G52" t="str">
        <x:v>COMMN</x:v>
      </x:c>
      <x:c r="H52" t="str">
        <x:v>0390Z</x:v>
      </x:c>
      <x:c r="I52" t="str">
        <x:v>$15,097</x:v>
      </x:c>
      <x:c r="J52" t="str"/>
      <x:c r="K52" t="str"/>
      <x:c r="L52" t="str">
        <x:v>$188.7125</x:v>
      </x:c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t="str"/>
      <x:c r="AD52" t="str"/>
      <x:c r="AE52" t="str"/>
      <x:c r="AF52" t="str">
        <x:f>D52&amp;"|"&amp;UPPER(G52)&amp;"|"&amp;SUBSTITUTE(C52,"/","-")</x:f>
        <x:v>0390|COMMN|2024-07-01</x:v>
      </x:c>
    </x:row>
    <x:row r="53">
      <x:c r="A53" s="22" t="n">
        <x:v>29721</x:v>
      </x:c>
      <x:c r="B53" t="str">
        <x:v>FY24-25</x:v>
      </x:c>
      <x:c r="C53" t="str">
        <x:v>2025/01/04</x:v>
      </x:c>
      <x:c r="D53" t="str">
        <x:v>0390</x:v>
      </x:c>
      <x:c r="E53" t="str">
        <x:v>Chief Of Police</x:v>
      </x:c>
      <x:c r="F53" t="str">
        <x:v>353</x:v>
      </x:c>
      <x:c r="G53" t="str">
        <x:v>COMMN</x:v>
      </x:c>
      <x:c r="H53" t="str">
        <x:v>0390A</x:v>
      </x:c>
      <x:c r="I53" t="str">
        <x:v>$15,550</x:v>
      </x:c>
      <x:c r="J53" t="str"/>
      <x:c r="K53" t="str"/>
      <x:c r="L53" t="str">
        <x:v>$194.3750</x:v>
      </x:c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  <x:c r="X53" t="str"/>
      <x:c r="Y53" t="str"/>
      <x:c r="Z53" t="str"/>
      <x:c r="AA53" t="str"/>
      <x:c r="AB53" t="str"/>
      <x:c r="AC53" t="str"/>
      <x:c r="AD53" t="str"/>
      <x:c r="AE53" t="str"/>
      <x:c r="AF53" t="str">
        <x:f>D53&amp;"|"&amp;UPPER(G53)&amp;"|"&amp;SUBSTITUTE(C53,"/","-")</x:f>
        <x:v>0390|COMMN|2025-01-04</x:v>
      </x:c>
    </x:row>
    <x:row r="54">
      <x:c r="A54" s="22" t="n">
        <x:v>31434</x:v>
      </x:c>
      <x:c r="B54" t="str">
        <x:v>FY25-26</x:v>
      </x:c>
      <x:c r="C54" t="str">
        <x:v>2025/07/01</x:v>
      </x:c>
      <x:c r="D54" t="str">
        <x:v>0390</x:v>
      </x:c>
      <x:c r="E54" t="str">
        <x:v>Chief of Police</x:v>
      </x:c>
      <x:c r="F54" t="str">
        <x:v>353</x:v>
      </x:c>
      <x:c r="G54" t="str">
        <x:v>COMMN</x:v>
      </x:c>
      <x:c r="H54" t="str">
        <x:v>0390B</x:v>
      </x:c>
      <x:c r="I54" t="str">
        <x:v>$16,017</x:v>
      </x:c>
      <x:c r="J54" t="str"/>
      <x:c r="K54" t="str"/>
      <x:c r="L54" t="str">
        <x:v>$200.2125</x:v>
      </x:c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>
        <x:f>D54&amp;"|"&amp;UPPER(G54)&amp;"|"&amp;SUBSTITUTE(C54,"/","-")</x:f>
        <x:v>0390|COMMN|2025-07-01</x:v>
      </x:c>
    </x:row>
    <x:row r="55">
      <x:c r="A55" s="22" t="n">
        <x:v>26274</x:v>
      </x:c>
      <x:c r="B55" t="str">
        <x:v>FY23-24</x:v>
      </x:c>
      <x:c r="C55" t="str">
        <x:v>2024/01/06</x:v>
      </x:c>
      <x:c r="D55" t="str">
        <x:v>0395</x:v>
      </x:c>
      <x:c r="E55" t="str">
        <x:v>Assistant Chief Of Police</x:v>
      </x:c>
      <x:c r="F55" t="str">
        <x:v>353</x:v>
      </x:c>
      <x:c r="G55" t="str">
        <x:v>COMMN</x:v>
      </x:c>
      <x:c r="H55" t="str">
        <x:v>0395Y</x:v>
      </x:c>
      <x:c r="I55" t="str">
        <x:v>$13,918</x:v>
      </x:c>
      <x:c r="J55" t="str"/>
      <x:c r="K55" t="str"/>
      <x:c r="L55" t="str">
        <x:v>$173.9750</x:v>
      </x:c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>
        <x:f>D55&amp;"|"&amp;UPPER(G55)&amp;"|"&amp;SUBSTITUTE(C55,"/","-")</x:f>
        <x:v>0395|COMMN|2024-01-06</x:v>
      </x:c>
    </x:row>
    <x:row r="56">
      <x:c r="A56" s="22" t="n">
        <x:v>28016</x:v>
      </x:c>
      <x:c r="B56" t="str">
        <x:v>FY24-25</x:v>
      </x:c>
      <x:c r="C56" t="str">
        <x:v>2024/07/01</x:v>
      </x:c>
      <x:c r="D56" t="str">
        <x:v>0395</x:v>
      </x:c>
      <x:c r="E56" t="str">
        <x:v>Assistant Chief Of Police</x:v>
      </x:c>
      <x:c r="F56" t="str">
        <x:v>353</x:v>
      </x:c>
      <x:c r="G56" t="str">
        <x:v>COMMN</x:v>
      </x:c>
      <x:c r="H56" t="str">
        <x:v>0395Z</x:v>
      </x:c>
      <x:c r="I56" t="str">
        <x:v>$13,918</x:v>
      </x:c>
      <x:c r="J56" t="str"/>
      <x:c r="K56" t="str"/>
      <x:c r="L56" t="str">
        <x:v>$173.9750</x:v>
      </x:c>
      <x:c r="M56" t="str">
        <x:v>$179.2000</x:v>
      </x:c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>
        <x:f>D56&amp;"|"&amp;UPPER(G56)&amp;"|"&amp;SUBSTITUTE(C56,"/","-")</x:f>
        <x:v>0395|COMMN|2024-07-01</x:v>
      </x:c>
    </x:row>
    <x:row r="57">
      <x:c r="A57" s="22" t="n">
        <x:v>29722</x:v>
      </x:c>
      <x:c r="B57" t="str">
        <x:v>FY24-25</x:v>
      </x:c>
      <x:c r="C57" t="str">
        <x:v>2025/01/04</x:v>
      </x:c>
      <x:c r="D57" t="str">
        <x:v>0395</x:v>
      </x:c>
      <x:c r="E57" t="str">
        <x:v>Assistant Chief Of Police</x:v>
      </x:c>
      <x:c r="F57" t="str">
        <x:v>353</x:v>
      </x:c>
      <x:c r="G57" t="str">
        <x:v>COMMN</x:v>
      </x:c>
      <x:c r="H57" t="str">
        <x:v>0395A</x:v>
      </x:c>
      <x:c r="I57" t="str">
        <x:v>$14,336</x:v>
      </x:c>
      <x:c r="J57" t="str"/>
      <x:c r="K57" t="str"/>
      <x:c r="L57" t="str">
        <x:v>$179.2000</x:v>
      </x:c>
      <x:c r="M57" t="str">
        <x:v>$184.5750</x:v>
      </x:c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>
        <x:f>D57&amp;"|"&amp;UPPER(G57)&amp;"|"&amp;SUBSTITUTE(C57,"/","-")</x:f>
        <x:v>0395|COMMN|2025-01-04</x:v>
      </x:c>
    </x:row>
    <x:row r="58">
      <x:c r="A58" s="22" t="n">
        <x:v>31435</x:v>
      </x:c>
      <x:c r="B58" t="str">
        <x:v>FY25-26</x:v>
      </x:c>
      <x:c r="C58" t="str">
        <x:v>2025/07/01</x:v>
      </x:c>
      <x:c r="D58" t="str">
        <x:v>0395</x:v>
      </x:c>
      <x:c r="E58" t="str">
        <x:v>Assistant Chief of Police</x:v>
      </x:c>
      <x:c r="F58" t="str">
        <x:v>353</x:v>
      </x:c>
      <x:c r="G58" t="str">
        <x:v>COMMN</x:v>
      </x:c>
      <x:c r="H58" t="str">
        <x:v>0395B</x:v>
      </x:c>
      <x:c r="I58" t="str">
        <x:v>$14,766</x:v>
      </x:c>
      <x:c r="J58" t="str"/>
      <x:c r="K58" t="str"/>
      <x:c r="L58" t="str">
        <x:v>$184.5750</x:v>
      </x:c>
      <x:c r="M58" t="str">
        <x:v>$190.1125</x:v>
      </x:c>
      <x:c r="N58" t="str"/>
      <x:c r="O58" t="str"/>
      <x:c r="P58" t="str"/>
      <x:c r="Q58" t="str"/>
      <x:c r="R58" t="str"/>
      <x:c r="S58" t="str"/>
      <x:c r="T58" t="str"/>
      <x:c r="U58" t="str"/>
      <x:c r="V58" t="str"/>
      <x:c r="W58" t="str"/>
      <x:c r="X58" t="str"/>
      <x:c r="Y58" t="str"/>
      <x:c r="Z58" t="str"/>
      <x:c r="AA58" t="str"/>
      <x:c r="AB58" t="str"/>
      <x:c r="AC58" t="str"/>
      <x:c r="AD58" t="str"/>
      <x:c r="AE58" t="str"/>
      <x:c r="AF58" t="str">
        <x:f>D58&amp;"|"&amp;UPPER(G58)&amp;"|"&amp;SUBSTITUTE(C58,"/","-")</x:f>
        <x:v>0395|COMMN|2025-07-01</x:v>
      </x:c>
    </x:row>
    <x:row r="59">
      <x:c r="A59" s="22" t="n">
        <x:v>26275</x:v>
      </x:c>
      <x:c r="B59" t="str">
        <x:v>FY23-24</x:v>
      </x:c>
      <x:c r="C59" t="str">
        <x:v>2024/01/06</x:v>
      </x:c>
      <x:c r="D59" t="str">
        <x:v>0400</x:v>
      </x:c>
      <x:c r="E59" t="str">
        <x:v>Deputy Chief</x:v>
      </x:c>
      <x:c r="F59" t="str">
        <x:v>353</x:v>
      </x:c>
      <x:c r="G59" t="str">
        <x:v>COMMN</x:v>
      </x:c>
      <x:c r="H59" t="str">
        <x:v>0400Y</x:v>
      </x:c>
      <x:c r="I59" t="str">
        <x:v>$12,444</x:v>
      </x:c>
      <x:c r="J59" t="str"/>
      <x:c r="K59" t="str"/>
      <x:c r="L59" t="str">
        <x:v>$155.5500</x:v>
      </x:c>
      <x:c r="M59" t="str"/>
      <x:c r="N59" t="str"/>
      <x:c r="O59" t="str"/>
      <x:c r="P59" t="str"/>
      <x:c r="Q59" t="str"/>
      <x:c r="R59" t="str"/>
      <x:c r="S59" t="str"/>
      <x:c r="T59" t="str"/>
      <x:c r="U59" t="str"/>
      <x:c r="V59" t="str"/>
      <x:c r="W59" t="str"/>
      <x:c r="X59" t="str"/>
      <x:c r="Y59" t="str"/>
      <x:c r="Z59" t="str"/>
      <x:c r="AA59" t="str"/>
      <x:c r="AB59" t="str"/>
      <x:c r="AC59" t="str"/>
      <x:c r="AD59" t="str"/>
      <x:c r="AE59" t="str"/>
      <x:c r="AF59" t="str">
        <x:f>D59&amp;"|"&amp;UPPER(G59)&amp;"|"&amp;SUBSTITUTE(C59,"/","-")</x:f>
        <x:v>0400|COMMN|2024-01-06</x:v>
      </x:c>
    </x:row>
    <x:row r="60">
      <x:c r="A60" s="22" t="n">
        <x:v>28017</x:v>
      </x:c>
      <x:c r="B60" t="str">
        <x:v>FY24-25</x:v>
      </x:c>
      <x:c r="C60" t="str">
        <x:v>2024/07/01</x:v>
      </x:c>
      <x:c r="D60" t="str">
        <x:v>0400</x:v>
      </x:c>
      <x:c r="E60" t="str">
        <x:v>Deputy Chief</x:v>
      </x:c>
      <x:c r="F60" t="str">
        <x:v>353</x:v>
      </x:c>
      <x:c r="G60" t="str">
        <x:v>COMMN</x:v>
      </x:c>
      <x:c r="H60" t="str">
        <x:v>0400Z</x:v>
      </x:c>
      <x:c r="I60" t="str">
        <x:v>$12,444</x:v>
      </x:c>
      <x:c r="J60" t="str"/>
      <x:c r="K60" t="str"/>
      <x:c r="L60" t="str">
        <x:v>$155.5500</x:v>
      </x:c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>
        <x:f>D60&amp;"|"&amp;UPPER(G60)&amp;"|"&amp;SUBSTITUTE(C60,"/","-")</x:f>
        <x:v>0400|COMMN|2024-07-01</x:v>
      </x:c>
    </x:row>
    <x:row r="61">
      <x:c r="A61" s="22" t="n">
        <x:v>29723</x:v>
      </x:c>
      <x:c r="B61" t="str">
        <x:v>FY24-25</x:v>
      </x:c>
      <x:c r="C61" t="str">
        <x:v>2025/01/04</x:v>
      </x:c>
      <x:c r="D61" t="str">
        <x:v>0400</x:v>
      </x:c>
      <x:c r="E61" t="str">
        <x:v>Deputy Chief</x:v>
      </x:c>
      <x:c r="F61" t="str">
        <x:v>353</x:v>
      </x:c>
      <x:c r="G61" t="str">
        <x:v>COMMN</x:v>
      </x:c>
      <x:c r="H61" t="str">
        <x:v>0400A</x:v>
      </x:c>
      <x:c r="I61" t="str">
        <x:v>$12,817</x:v>
      </x:c>
      <x:c r="J61" t="str"/>
      <x:c r="K61" t="str"/>
      <x:c r="L61" t="str">
        <x:v>$160.2125</x:v>
      </x:c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>
        <x:f>D61&amp;"|"&amp;UPPER(G61)&amp;"|"&amp;SUBSTITUTE(C61,"/","-")</x:f>
        <x:v>0400|COMMN|2025-01-04</x:v>
      </x:c>
    </x:row>
    <x:row r="62">
      <x:c r="A62" s="22" t="n">
        <x:v>31436</x:v>
      </x:c>
      <x:c r="B62" t="str">
        <x:v>FY25-26</x:v>
      </x:c>
      <x:c r="C62" t="str">
        <x:v>2025/07/01</x:v>
      </x:c>
      <x:c r="D62" t="str">
        <x:v>0400</x:v>
      </x:c>
      <x:c r="E62" t="str">
        <x:v>Deputy Chief</x:v>
      </x:c>
      <x:c r="F62" t="str">
        <x:v>353</x:v>
      </x:c>
      <x:c r="G62" t="str">
        <x:v>COMMN</x:v>
      </x:c>
      <x:c r="H62" t="str">
        <x:v>0400B</x:v>
      </x:c>
      <x:c r="I62" t="str">
        <x:v>$13,202</x:v>
      </x:c>
      <x:c r="J62" t="str"/>
      <x:c r="K62" t="str"/>
      <x:c r="L62" t="str">
        <x:v>$165.0250</x:v>
      </x:c>
      <x:c r="M62" t="str"/>
      <x:c r="N62" t="str"/>
      <x:c r="O62" t="str"/>
      <x:c r="P62" t="str"/>
      <x:c r="Q62" t="str"/>
      <x:c r="R62" t="str"/>
      <x:c r="S62" t="str"/>
      <x:c r="T62" t="str"/>
      <x:c r="U62" t="str"/>
      <x:c r="V62" t="str"/>
      <x:c r="W62" t="str"/>
      <x:c r="X62" t="str"/>
      <x:c r="Y62" t="str"/>
      <x:c r="Z62" t="str"/>
      <x:c r="AA62" t="str"/>
      <x:c r="AB62" t="str"/>
      <x:c r="AC62" t="str"/>
      <x:c r="AD62" t="str"/>
      <x:c r="AE62" t="str"/>
      <x:c r="AF62" t="str">
        <x:f>D62&amp;"|"&amp;UPPER(G62)&amp;"|"&amp;SUBSTITUTE(C62,"/","-")</x:f>
        <x:v>0400|COMMN|2025-07-01</x:v>
      </x:c>
    </x:row>
    <x:row r="63">
      <x:c r="A63" s="22" t="n">
        <x:v>26276</x:v>
      </x:c>
      <x:c r="B63" t="str">
        <x:v>FY23-24</x:v>
      </x:c>
      <x:c r="C63" t="str">
        <x:v>2024/01/06</x:v>
      </x:c>
      <x:c r="D63" t="str">
        <x:v>0401</x:v>
      </x:c>
      <x:c r="E63" t="str">
        <x:v>Deputy Chief II</x:v>
      </x:c>
      <x:c r="F63" t="str">
        <x:v>353</x:v>
      </x:c>
      <x:c r="G63" t="str">
        <x:v>COMMN</x:v>
      </x:c>
      <x:c r="H63" t="str">
        <x:v>0401Y</x:v>
      </x:c>
      <x:c r="I63" t="str">
        <x:v>$13,193</x:v>
      </x:c>
      <x:c r="J63" t="str"/>
      <x:c r="K63" t="str"/>
      <x:c r="L63" t="str">
        <x:v>$164.9125</x:v>
      </x:c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>
        <x:f>D63&amp;"|"&amp;UPPER(G63)&amp;"|"&amp;SUBSTITUTE(C63,"/","-")</x:f>
        <x:v>0401|COMMN|2024-01-06</x:v>
      </x:c>
    </x:row>
    <x:row r="64">
      <x:c r="A64" s="22" t="n">
        <x:v>28018</x:v>
      </x:c>
      <x:c r="B64" t="str">
        <x:v>FY24-25</x:v>
      </x:c>
      <x:c r="C64" t="str">
        <x:v>2024/07/01</x:v>
      </x:c>
      <x:c r="D64" t="str">
        <x:v>0401</x:v>
      </x:c>
      <x:c r="E64" t="str">
        <x:v>Deputy Chief II</x:v>
      </x:c>
      <x:c r="F64" t="str">
        <x:v>353</x:v>
      </x:c>
      <x:c r="G64" t="str">
        <x:v>COMMN</x:v>
      </x:c>
      <x:c r="H64" t="str">
        <x:v>0401Z</x:v>
      </x:c>
      <x:c r="I64" t="str">
        <x:v>$13,193</x:v>
      </x:c>
      <x:c r="J64" t="str"/>
      <x:c r="K64" t="str"/>
      <x:c r="L64" t="str">
        <x:v>$164.9125</x:v>
      </x:c>
      <x:c r="M64" t="str"/>
      <x:c r="N64" t="str"/>
      <x:c r="O64" t="str"/>
      <x:c r="P64" t="str"/>
      <x:c r="Q64" t="str"/>
      <x:c r="R64" t="str"/>
      <x:c r="S64" t="str"/>
      <x:c r="T64" t="str"/>
      <x:c r="U64" t="str"/>
      <x:c r="V64" t="str"/>
      <x:c r="W64" t="str"/>
      <x:c r="X64" t="str"/>
      <x:c r="Y64" t="str"/>
      <x:c r="Z64" t="str"/>
      <x:c r="AA64" t="str"/>
      <x:c r="AB64" t="str"/>
      <x:c r="AC64" t="str"/>
      <x:c r="AD64" t="str"/>
      <x:c r="AE64" t="str"/>
      <x:c r="AF64" t="str">
        <x:f>D64&amp;"|"&amp;UPPER(G64)&amp;"|"&amp;SUBSTITUTE(C64,"/","-")</x:f>
        <x:v>0401|COMMN|2024-07-01</x:v>
      </x:c>
    </x:row>
    <x:row r="65">
      <x:c r="A65" s="22" t="n">
        <x:v>29724</x:v>
      </x:c>
      <x:c r="B65" t="str">
        <x:v>FY24-25</x:v>
      </x:c>
      <x:c r="C65" t="str">
        <x:v>2025/01/04</x:v>
      </x:c>
      <x:c r="D65" t="str">
        <x:v>0401</x:v>
      </x:c>
      <x:c r="E65" t="str">
        <x:v>Deputy Chief II</x:v>
      </x:c>
      <x:c r="F65" t="str">
        <x:v>353</x:v>
      </x:c>
      <x:c r="G65" t="str">
        <x:v>COMMN</x:v>
      </x:c>
      <x:c r="H65" t="str">
        <x:v>0401A</x:v>
      </x:c>
      <x:c r="I65" t="str">
        <x:v>$13,589</x:v>
      </x:c>
      <x:c r="J65" t="str"/>
      <x:c r="K65" t="str"/>
      <x:c r="L65" t="str">
        <x:v>$169.8625</x:v>
      </x:c>
      <x:c r="M65" t="str"/>
      <x:c r="N65" t="str"/>
      <x:c r="O65" t="str"/>
      <x:c r="P65" t="str"/>
      <x:c r="Q65" t="str"/>
      <x:c r="R65" t="str"/>
      <x:c r="S65" t="str"/>
      <x:c r="T65" t="str"/>
      <x:c r="U65" t="str"/>
      <x:c r="V65" t="str"/>
      <x:c r="W65" t="str"/>
      <x:c r="X65" t="str"/>
      <x:c r="Y65" t="str"/>
      <x:c r="Z65" t="str"/>
      <x:c r="AA65" t="str"/>
      <x:c r="AB65" t="str"/>
      <x:c r="AC65" t="str"/>
      <x:c r="AD65" t="str"/>
      <x:c r="AE65" t="str"/>
      <x:c r="AF65" t="str">
        <x:f>D65&amp;"|"&amp;UPPER(G65)&amp;"|"&amp;SUBSTITUTE(C65,"/","-")</x:f>
        <x:v>0401|COMMN|2025-01-04</x:v>
      </x:c>
    </x:row>
    <x:row r="66">
      <x:c r="A66" s="22" t="n">
        <x:v>31437</x:v>
      </x:c>
      <x:c r="B66" t="str">
        <x:v>FY25-26</x:v>
      </x:c>
      <x:c r="C66" t="str">
        <x:v>2025/07/01</x:v>
      </x:c>
      <x:c r="D66" t="str">
        <x:v>0401</x:v>
      </x:c>
      <x:c r="E66" t="str">
        <x:v>Deputy Chief 2</x:v>
      </x:c>
      <x:c r="F66" t="str">
        <x:v>353</x:v>
      </x:c>
      <x:c r="G66" t="str">
        <x:v>COMMN</x:v>
      </x:c>
      <x:c r="H66" t="str">
        <x:v>0401B</x:v>
      </x:c>
      <x:c r="I66" t="str">
        <x:v>$13,997</x:v>
      </x:c>
      <x:c r="J66" t="str"/>
      <x:c r="K66" t="str"/>
      <x:c r="L66" t="str">
        <x:v>$174.9625</x:v>
      </x:c>
      <x:c r="M66" t="str"/>
      <x:c r="N66" t="str"/>
      <x:c r="O66" t="str"/>
      <x:c r="P66" t="str"/>
      <x:c r="Q66" t="str"/>
      <x:c r="R66" t="str"/>
      <x:c r="S66" t="str"/>
      <x:c r="T66" t="str"/>
      <x:c r="U66" t="str"/>
      <x:c r="V66" t="str"/>
      <x:c r="W66" t="str"/>
      <x:c r="X66" t="str"/>
      <x:c r="Y66" t="str"/>
      <x:c r="Z66" t="str"/>
      <x:c r="AA66" t="str"/>
      <x:c r="AB66" t="str"/>
      <x:c r="AC66" t="str"/>
      <x:c r="AD66" t="str"/>
      <x:c r="AE66" t="str"/>
      <x:c r="AF66" t="str">
        <x:f>D66&amp;"|"&amp;UPPER(G66)&amp;"|"&amp;SUBSTITUTE(C66,"/","-")</x:f>
        <x:v>0401|COMMN|2025-07-01</x:v>
      </x:c>
    </x:row>
    <x:row r="67">
      <x:c r="A67" s="22" t="n">
        <x:v>26277</x:v>
      </x:c>
      <x:c r="B67" t="str">
        <x:v>FY23-24</x:v>
      </x:c>
      <x:c r="C67" t="str">
        <x:v>2024/01/06</x:v>
      </x:c>
      <x:c r="D67" t="str">
        <x:v>0402</x:v>
      </x:c>
      <x:c r="E67" t="str">
        <x:v>Deputy Chief III</x:v>
      </x:c>
      <x:c r="F67" t="str">
        <x:v>353</x:v>
      </x:c>
      <x:c r="G67" t="str">
        <x:v>COMMN</x:v>
      </x:c>
      <x:c r="H67" t="str">
        <x:v>0402Y</x:v>
      </x:c>
      <x:c r="I67" t="str">
        <x:v>$13,443</x:v>
      </x:c>
      <x:c r="J67" t="str"/>
      <x:c r="K67" t="str"/>
      <x:c r="L67" t="str">
        <x:v>$168.0375</x:v>
      </x:c>
      <x:c r="M67" t="str"/>
      <x:c r="N67" t="str"/>
      <x:c r="O67" t="str"/>
      <x:c r="P67" t="str"/>
      <x:c r="Q67" t="str"/>
      <x:c r="R67" t="str"/>
      <x:c r="S67" t="str"/>
      <x:c r="T67" t="str"/>
      <x:c r="U67" t="str"/>
      <x:c r="V67" t="str"/>
      <x:c r="W67" t="str"/>
      <x:c r="X67" t="str"/>
      <x:c r="Y67" t="str"/>
      <x:c r="Z67" t="str"/>
      <x:c r="AA67" t="str"/>
      <x:c r="AB67" t="str"/>
      <x:c r="AC67" t="str"/>
      <x:c r="AD67" t="str"/>
      <x:c r="AE67" t="str"/>
      <x:c r="AF67" t="str">
        <x:f>D67&amp;"|"&amp;UPPER(G67)&amp;"|"&amp;SUBSTITUTE(C67,"/","-")</x:f>
        <x:v>0402|COMMN|2024-01-06</x:v>
      </x:c>
    </x:row>
    <x:row r="68">
      <x:c r="A68" s="22" t="n">
        <x:v>28019</x:v>
      </x:c>
      <x:c r="B68" t="str">
        <x:v>FY24-25</x:v>
      </x:c>
      <x:c r="C68" t="str">
        <x:v>2024/07/01</x:v>
      </x:c>
      <x:c r="D68" t="str">
        <x:v>0402</x:v>
      </x:c>
      <x:c r="E68" t="str">
        <x:v>Deputy Chief III</x:v>
      </x:c>
      <x:c r="F68" t="str">
        <x:v>353</x:v>
      </x:c>
      <x:c r="G68" t="str">
        <x:v>COMMN</x:v>
      </x:c>
      <x:c r="H68" t="str">
        <x:v>0402Z</x:v>
      </x:c>
      <x:c r="I68" t="str">
        <x:v>$13,443</x:v>
      </x:c>
      <x:c r="J68" t="str"/>
      <x:c r="K68" t="str"/>
      <x:c r="L68" t="str">
        <x:v>$168.0375</x:v>
      </x:c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>
        <x:f>D68&amp;"|"&amp;UPPER(G68)&amp;"|"&amp;SUBSTITUTE(C68,"/","-")</x:f>
        <x:v>0402|COMMN|2024-07-01</x:v>
      </x:c>
    </x:row>
    <x:row r="69">
      <x:c r="A69" s="22" t="n">
        <x:v>29725</x:v>
      </x:c>
      <x:c r="B69" t="str">
        <x:v>FY24-25</x:v>
      </x:c>
      <x:c r="C69" t="str">
        <x:v>2025/01/04</x:v>
      </x:c>
      <x:c r="D69" t="str">
        <x:v>0402</x:v>
      </x:c>
      <x:c r="E69" t="str">
        <x:v>Deputy Chief III</x:v>
      </x:c>
      <x:c r="F69" t="str">
        <x:v>353</x:v>
      </x:c>
      <x:c r="G69" t="str">
        <x:v>COMMN</x:v>
      </x:c>
      <x:c r="H69" t="str">
        <x:v>0402A</x:v>
      </x:c>
      <x:c r="I69" t="str">
        <x:v>$13,846</x:v>
      </x:c>
      <x:c r="J69" t="str"/>
      <x:c r="K69" t="str"/>
      <x:c r="L69" t="str">
        <x:v>$173.0750</x:v>
      </x:c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  <x:c r="X69" t="str"/>
      <x:c r="Y69" t="str"/>
      <x:c r="Z69" t="str"/>
      <x:c r="AA69" t="str"/>
      <x:c r="AB69" t="str"/>
      <x:c r="AC69" t="str"/>
      <x:c r="AD69" t="str"/>
      <x:c r="AE69" t="str"/>
      <x:c r="AF69" t="str">
        <x:f>D69&amp;"|"&amp;UPPER(G69)&amp;"|"&amp;SUBSTITUTE(C69,"/","-")</x:f>
        <x:v>0402|COMMN|2025-01-04</x:v>
      </x:c>
    </x:row>
    <x:row r="70">
      <x:c r="A70" s="22" t="n">
        <x:v>31438</x:v>
      </x:c>
      <x:c r="B70" t="str">
        <x:v>FY25-26</x:v>
      </x:c>
      <x:c r="C70" t="str">
        <x:v>2025/07/01</x:v>
      </x:c>
      <x:c r="D70" t="str">
        <x:v>0402</x:v>
      </x:c>
      <x:c r="E70" t="str">
        <x:v>Deputy Chief 3</x:v>
      </x:c>
      <x:c r="F70" t="str">
        <x:v>353</x:v>
      </x:c>
      <x:c r="G70" t="str">
        <x:v>COMMN</x:v>
      </x:c>
      <x:c r="H70" t="str">
        <x:v>0402B</x:v>
      </x:c>
      <x:c r="I70" t="str">
        <x:v>$14,261</x:v>
      </x:c>
      <x:c r="J70" t="str"/>
      <x:c r="K70" t="str"/>
      <x:c r="L70" t="str">
        <x:v>$178.2625</x:v>
      </x:c>
      <x:c r="M70" t="str"/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  <x:c r="X70" t="str"/>
      <x:c r="Y70" t="str"/>
      <x:c r="Z70" t="str"/>
      <x:c r="AA70" t="str"/>
      <x:c r="AB70" t="str"/>
      <x:c r="AC70" t="str"/>
      <x:c r="AD70" t="str"/>
      <x:c r="AE70" t="str"/>
      <x:c r="AF70" t="str">
        <x:f>D70&amp;"|"&amp;UPPER(G70)&amp;"|"&amp;SUBSTITUTE(C70,"/","-")</x:f>
        <x:v>0402|COMMN|2025-07-01</x:v>
      </x:c>
    </x:row>
    <x:row r="71">
      <x:c r="A71" s="22" t="n">
        <x:v>26278</x:v>
      </x:c>
      <x:c r="B71" t="str">
        <x:v>FY23-24</x:v>
      </x:c>
      <x:c r="C71" t="str">
        <x:v>2024/01/06</x:v>
      </x:c>
      <x:c r="D71" t="str">
        <x:v>0488</x:v>
      </x:c>
      <x:c r="E71" t="str">
        <x:v>Commander (Police Department)</x:v>
      </x:c>
      <x:c r="F71" t="str">
        <x:v>353</x:v>
      </x:c>
      <x:c r="G71" t="str">
        <x:v>COMMN</x:v>
      </x:c>
      <x:c r="H71" t="str">
        <x:v>0488Y</x:v>
      </x:c>
      <x:c r="I71" t="str">
        <x:v>$10,113</x:v>
      </x:c>
      <x:c r="J71" t="str"/>
      <x:c r="K71" t="str"/>
      <x:c r="L71" t="str">
        <x:v>$126.4125</x:v>
      </x:c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  <x:c r="X71" t="str"/>
      <x:c r="Y71" t="str"/>
      <x:c r="Z71" t="str"/>
      <x:c r="AA71" t="str"/>
      <x:c r="AB71" t="str"/>
      <x:c r="AC71" t="str"/>
      <x:c r="AD71" t="str"/>
      <x:c r="AE71" t="str"/>
      <x:c r="AF71" t="str">
        <x:f>D71&amp;"|"&amp;UPPER(G71)&amp;"|"&amp;SUBSTITUTE(C71,"/","-")</x:f>
        <x:v>0488|COMMN|2024-01-06</x:v>
      </x:c>
    </x:row>
    <x:row r="72">
      <x:c r="A72" s="22" t="n">
        <x:v>28020</x:v>
      </x:c>
      <x:c r="B72" t="str">
        <x:v>FY24-25</x:v>
      </x:c>
      <x:c r="C72" t="str">
        <x:v>2024/07/01</x:v>
      </x:c>
      <x:c r="D72" t="str">
        <x:v>0488</x:v>
      </x:c>
      <x:c r="E72" t="str">
        <x:v>Commander (Police Department)</x:v>
      </x:c>
      <x:c r="F72" t="str">
        <x:v>353</x:v>
      </x:c>
      <x:c r="G72" t="str">
        <x:v>COMMN</x:v>
      </x:c>
      <x:c r="H72" t="str">
        <x:v>0488Z</x:v>
      </x:c>
      <x:c r="I72" t="str">
        <x:v>$10,315</x:v>
      </x:c>
      <x:c r="J72" t="str"/>
      <x:c r="K72" t="str"/>
      <x:c r="L72" t="str">
        <x:v>$128.9375</x:v>
      </x:c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>
        <x:f>D72&amp;"|"&amp;UPPER(G72)&amp;"|"&amp;SUBSTITUTE(C72,"/","-")</x:f>
        <x:v>0488|COMMN|2024-07-01</x:v>
      </x:c>
    </x:row>
    <x:row r="73">
      <x:c r="A73" s="22" t="n">
        <x:v>29726</x:v>
      </x:c>
      <x:c r="B73" t="str">
        <x:v>FY24-25</x:v>
      </x:c>
      <x:c r="C73" t="str">
        <x:v>2025/01/04</x:v>
      </x:c>
      <x:c r="D73" t="str">
        <x:v>0488</x:v>
      </x:c>
      <x:c r="E73" t="str">
        <x:v>Commander (Police Department)</x:v>
      </x:c>
      <x:c r="F73" t="str">
        <x:v>353</x:v>
      </x:c>
      <x:c r="G73" t="str">
        <x:v>COMMN</x:v>
      </x:c>
      <x:c r="H73" t="str">
        <x:v>0488A</x:v>
      </x:c>
      <x:c r="I73" t="str">
        <x:v>$10,624</x:v>
      </x:c>
      <x:c r="J73" t="str"/>
      <x:c r="K73" t="str"/>
      <x:c r="L73" t="str">
        <x:v>$132.8000</x:v>
      </x:c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>
        <x:f>D73&amp;"|"&amp;UPPER(G73)&amp;"|"&amp;SUBSTITUTE(C73,"/","-")</x:f>
        <x:v>0488|COMMN|2025-01-04</x:v>
      </x:c>
    </x:row>
    <x:row r="74">
      <x:c r="A74" s="22" t="n">
        <x:v>31439</x:v>
      </x:c>
      <x:c r="B74" t="str">
        <x:v>FY25-26</x:v>
      </x:c>
      <x:c r="C74" t="str">
        <x:v>2025/07/01</x:v>
      </x:c>
      <x:c r="D74" t="str">
        <x:v>0488</x:v>
      </x:c>
      <x:c r="E74" t="str">
        <x:v>Commander (Police Department)</x:v>
      </x:c>
      <x:c r="F74" t="str">
        <x:v>353</x:v>
      </x:c>
      <x:c r="G74" t="str">
        <x:v>COMMN</x:v>
      </x:c>
      <x:c r="H74" t="str">
        <x:v>0488B</x:v>
      </x:c>
      <x:c r="I74" t="str">
        <x:v>$10,943</x:v>
      </x:c>
      <x:c r="J74" t="str"/>
      <x:c r="K74" t="str"/>
      <x:c r="L74" t="str">
        <x:v>$136.7875</x:v>
      </x:c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>
        <x:f>D74&amp;"|"&amp;UPPER(G74)&amp;"|"&amp;SUBSTITUTE(C74,"/","-")</x:f>
        <x:v>0488|COMMN|2025-07-01</x:v>
      </x:c>
    </x:row>
    <x:row r="75">
      <x:c r="A75" s="22" t="n">
        <x:v>33126</x:v>
      </x:c>
      <x:c r="B75" t="str">
        <x:v>FY25-26</x:v>
      </x:c>
      <x:c r="C75" t="str">
        <x:v>2026/01/03</x:v>
      </x:c>
      <x:c r="D75" t="str">
        <x:v>0488</x:v>
      </x:c>
      <x:c r="E75" t="str">
        <x:v>Commander (Police Department)</x:v>
      </x:c>
      <x:c r="F75" t="str">
        <x:v>353</x:v>
      </x:c>
      <x:c r="G75" t="str">
        <x:v>COMMN</x:v>
      </x:c>
      <x:c r="H75" t="str">
        <x:v>0488C</x:v>
      </x:c>
      <x:c r="I75" t="str">
        <x:v>$11,271</x:v>
      </x:c>
      <x:c r="J75" t="str"/>
      <x:c r="K75" t="str"/>
      <x:c r="L75" t="str">
        <x:v>$140.8875</x:v>
      </x:c>
      <x:c r="M75" t="str"/>
      <x:c r="N75" t="str"/>
      <x:c r="O75" t="str"/>
      <x:c r="P75" t="str"/>
      <x:c r="Q75" t="str"/>
      <x:c r="R75" t="str"/>
      <x:c r="S75" t="str"/>
      <x:c r="T75" t="str"/>
      <x:c r="U75" t="str"/>
      <x:c r="V75" t="str"/>
      <x:c r="W75" t="str"/>
      <x:c r="X75" t="str"/>
      <x:c r="Y75" t="str"/>
      <x:c r="Z75" t="str"/>
      <x:c r="AA75" t="str"/>
      <x:c r="AB75" t="str"/>
      <x:c r="AC75" t="str"/>
      <x:c r="AD75" t="str"/>
      <x:c r="AE75" t="str"/>
      <x:c r="AF75" t="str">
        <x:f>D75&amp;"|"&amp;UPPER(G75)&amp;"|"&amp;SUBSTITUTE(C75,"/","-")</x:f>
        <x:v>0488|COMMN|2026-01-03</x:v>
      </x:c>
    </x:row>
    <x:row r="76">
      <x:c r="A76" s="22" t="n">
        <x:v>26279</x:v>
      </x:c>
      <x:c r="B76" t="str">
        <x:v>FY23-24</x:v>
      </x:c>
      <x:c r="C76" t="str">
        <x:v>2024/01/06</x:v>
      </x:c>
      <x:c r="D76" t="str">
        <x:v>0489</x:v>
      </x:c>
      <x:c r="E76" t="str">
        <x:v>Commander 2</x:v>
      </x:c>
      <x:c r="F76" t="str">
        <x:v>353</x:v>
      </x:c>
      <x:c r="G76" t="str">
        <x:v>COMMN</x:v>
      </x:c>
      <x:c r="H76" t="str">
        <x:v>0489Y</x:v>
      </x:c>
      <x:c r="I76" t="str">
        <x:v>$10,722</x:v>
      </x:c>
      <x:c r="J76" t="str"/>
      <x:c r="K76" t="str"/>
      <x:c r="L76" t="str">
        <x:v>$134.0250</x:v>
      </x:c>
      <x:c r="M76" t="str"/>
      <x:c r="N76" t="str"/>
      <x:c r="O76" t="str"/>
      <x:c r="P76" t="str"/>
      <x:c r="Q76" t="str"/>
      <x:c r="R76" t="str"/>
      <x:c r="S76" t="str"/>
      <x:c r="T76" t="str"/>
      <x:c r="U76" t="str"/>
      <x:c r="V76" t="str"/>
      <x:c r="W76" t="str"/>
      <x:c r="X76" t="str"/>
      <x:c r="Y76" t="str"/>
      <x:c r="Z76" t="str"/>
      <x:c r="AA76" t="str"/>
      <x:c r="AB76" t="str"/>
      <x:c r="AC76" t="str"/>
      <x:c r="AD76" t="str"/>
      <x:c r="AE76" t="str"/>
      <x:c r="AF76" t="str">
        <x:f>D76&amp;"|"&amp;UPPER(G76)&amp;"|"&amp;SUBSTITUTE(C76,"/","-")</x:f>
        <x:v>0489|COMMN|2024-01-06</x:v>
      </x:c>
    </x:row>
    <x:row r="77">
      <x:c r="A77" s="22" t="n">
        <x:v>28021</x:v>
      </x:c>
      <x:c r="B77" t="str">
        <x:v>FY24-25</x:v>
      </x:c>
      <x:c r="C77" t="str">
        <x:v>2024/07/01</x:v>
      </x:c>
      <x:c r="D77" t="str">
        <x:v>0489</x:v>
      </x:c>
      <x:c r="E77" t="str">
        <x:v>Commander 2</x:v>
      </x:c>
      <x:c r="F77" t="str">
        <x:v>353</x:v>
      </x:c>
      <x:c r="G77" t="str">
        <x:v>COMMN</x:v>
      </x:c>
      <x:c r="H77" t="str">
        <x:v>0489Z</x:v>
      </x:c>
      <x:c r="I77" t="str">
        <x:v>$10,936</x:v>
      </x:c>
      <x:c r="J77" t="str"/>
      <x:c r="K77" t="str"/>
      <x:c r="L77" t="str">
        <x:v>$136.7000</x:v>
      </x:c>
      <x:c r="M77" t="str"/>
      <x:c r="N77" t="str"/>
      <x:c r="O77" t="str"/>
      <x:c r="P77" t="str"/>
      <x:c r="Q77" t="str"/>
      <x:c r="R77" t="str"/>
      <x:c r="S77" t="str"/>
      <x:c r="T77" t="str"/>
      <x:c r="U77" t="str"/>
      <x:c r="V77" t="str"/>
      <x:c r="W77" t="str"/>
      <x:c r="X77" t="str"/>
      <x:c r="Y77" t="str"/>
      <x:c r="Z77" t="str"/>
      <x:c r="AA77" t="str"/>
      <x:c r="AB77" t="str"/>
      <x:c r="AC77" t="str"/>
      <x:c r="AD77" t="str"/>
      <x:c r="AE77" t="str"/>
      <x:c r="AF77" t="str">
        <x:f>D77&amp;"|"&amp;UPPER(G77)&amp;"|"&amp;SUBSTITUTE(C77,"/","-")</x:f>
        <x:v>0489|COMMN|2024-07-01</x:v>
      </x:c>
    </x:row>
    <x:row r="78">
      <x:c r="A78" s="22" t="n">
        <x:v>29727</x:v>
      </x:c>
      <x:c r="B78" t="str">
        <x:v>FY24-25</x:v>
      </x:c>
      <x:c r="C78" t="str">
        <x:v>2025/01/04</x:v>
      </x:c>
      <x:c r="D78" t="str">
        <x:v>0489</x:v>
      </x:c>
      <x:c r="E78" t="str">
        <x:v>Commander 2</x:v>
      </x:c>
      <x:c r="F78" t="str">
        <x:v>353</x:v>
      </x:c>
      <x:c r="G78" t="str">
        <x:v>COMMN</x:v>
      </x:c>
      <x:c r="H78" t="str">
        <x:v>0489A</x:v>
      </x:c>
      <x:c r="I78" t="str">
        <x:v>$11,264</x:v>
      </x:c>
      <x:c r="J78" t="str"/>
      <x:c r="K78" t="str"/>
      <x:c r="L78" t="str">
        <x:v>$140.8000</x:v>
      </x:c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>
        <x:f>D78&amp;"|"&amp;UPPER(G78)&amp;"|"&amp;SUBSTITUTE(C78,"/","-")</x:f>
        <x:v>0489|COMMN|2025-01-04</x:v>
      </x:c>
    </x:row>
    <x:row r="79">
      <x:c r="A79" s="22" t="n">
        <x:v>31440</x:v>
      </x:c>
      <x:c r="B79" t="str">
        <x:v>FY25-26</x:v>
      </x:c>
      <x:c r="C79" t="str">
        <x:v>2025/07/01</x:v>
      </x:c>
      <x:c r="D79" t="str">
        <x:v>0489</x:v>
      </x:c>
      <x:c r="E79" t="str">
        <x:v>Commander 2</x:v>
      </x:c>
      <x:c r="F79" t="str">
        <x:v>353</x:v>
      </x:c>
      <x:c r="G79" t="str">
        <x:v>COMMN</x:v>
      </x:c>
      <x:c r="H79" t="str">
        <x:v>0489B</x:v>
      </x:c>
      <x:c r="I79" t="str">
        <x:v>$11,602</x:v>
      </x:c>
      <x:c r="J79" t="str"/>
      <x:c r="K79" t="str"/>
      <x:c r="L79" t="str">
        <x:v>$145.0250</x:v>
      </x:c>
      <x:c r="M79" t="str"/>
      <x:c r="N79" t="str"/>
      <x:c r="O79" t="str"/>
      <x:c r="P79" t="str"/>
      <x:c r="Q79" t="str"/>
      <x:c r="R79" t="str"/>
      <x:c r="S79" t="str"/>
      <x:c r="T79" t="str"/>
      <x:c r="U79" t="str"/>
      <x:c r="V79" t="str"/>
      <x:c r="W79" t="str"/>
      <x:c r="X79" t="str"/>
      <x:c r="Y79" t="str"/>
      <x:c r="Z79" t="str"/>
      <x:c r="AA79" t="str"/>
      <x:c r="AB79" t="str"/>
      <x:c r="AC79" t="str"/>
      <x:c r="AD79" t="str"/>
      <x:c r="AE79" t="str"/>
      <x:c r="AF79" t="str">
        <x:f>D79&amp;"|"&amp;UPPER(G79)&amp;"|"&amp;SUBSTITUTE(C79,"/","-")</x:f>
        <x:v>0489|COMMN|2025-07-01</x:v>
      </x:c>
    </x:row>
    <x:row r="80">
      <x:c r="A80" s="22" t="n">
        <x:v>33127</x:v>
      </x:c>
      <x:c r="B80" t="str">
        <x:v>FY25-26</x:v>
      </x:c>
      <x:c r="C80" t="str">
        <x:v>2026/01/03</x:v>
      </x:c>
      <x:c r="D80" t="str">
        <x:v>0489</x:v>
      </x:c>
      <x:c r="E80" t="str">
        <x:v>Commander 2</x:v>
      </x:c>
      <x:c r="F80" t="str">
        <x:v>353</x:v>
      </x:c>
      <x:c r="G80" t="str">
        <x:v>COMMN</x:v>
      </x:c>
      <x:c r="H80" t="str">
        <x:v>0489C</x:v>
      </x:c>
      <x:c r="I80" t="str">
        <x:v>$11,950</x:v>
      </x:c>
      <x:c r="J80" t="str"/>
      <x:c r="K80" t="str"/>
      <x:c r="L80" t="str">
        <x:v>$149.3750</x:v>
      </x:c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>
        <x:f>D80&amp;"|"&amp;UPPER(G80)&amp;"|"&amp;SUBSTITUTE(C80,"/","-")</x:f>
        <x:v>0489|COMMN|2026-01-03</x:v>
      </x:c>
    </x:row>
    <x:row r="81">
      <x:c r="A81" s="22" t="n">
        <x:v>26280</x:v>
      </x:c>
      <x:c r="B81" t="str">
        <x:v>FY23-24</x:v>
      </x:c>
      <x:c r="C81" t="str">
        <x:v>2024/01/06</x:v>
      </x:c>
      <x:c r="D81" t="str">
        <x:v>0490</x:v>
      </x:c>
      <x:c r="E81" t="str">
        <x:v>Commander III</x:v>
      </x:c>
      <x:c r="F81" t="str">
        <x:v>353</x:v>
      </x:c>
      <x:c r="G81" t="str">
        <x:v>COMMN</x:v>
      </x:c>
      <x:c r="H81" t="str">
        <x:v>0490Y</x:v>
      </x:c>
      <x:c r="I81" t="str">
        <x:v>$10,925</x:v>
      </x:c>
      <x:c r="J81" t="str"/>
      <x:c r="K81" t="str"/>
      <x:c r="L81" t="str">
        <x:v>$136.5625</x:v>
      </x:c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>
        <x:f>D81&amp;"|"&amp;UPPER(G81)&amp;"|"&amp;SUBSTITUTE(C81,"/","-")</x:f>
        <x:v>0490|COMMN|2024-01-06</x:v>
      </x:c>
    </x:row>
    <x:row r="82">
      <x:c r="A82" s="22" t="n">
        <x:v>28022</x:v>
      </x:c>
      <x:c r="B82" t="str">
        <x:v>FY24-25</x:v>
      </x:c>
      <x:c r="C82" t="str">
        <x:v>2024/07/01</x:v>
      </x:c>
      <x:c r="D82" t="str">
        <x:v>0490</x:v>
      </x:c>
      <x:c r="E82" t="str">
        <x:v>Commander III</x:v>
      </x:c>
      <x:c r="F82" t="str">
        <x:v>353</x:v>
      </x:c>
      <x:c r="G82" t="str">
        <x:v>COMMN</x:v>
      </x:c>
      <x:c r="H82" t="str">
        <x:v>0490Z</x:v>
      </x:c>
      <x:c r="I82" t="str">
        <x:v>$11,144</x:v>
      </x:c>
      <x:c r="J82" t="str"/>
      <x:c r="K82" t="str"/>
      <x:c r="L82" t="str">
        <x:v>$139.3000</x:v>
      </x:c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>
        <x:f>D82&amp;"|"&amp;UPPER(G82)&amp;"|"&amp;SUBSTITUTE(C82,"/","-")</x:f>
        <x:v>0490|COMMN|2024-07-01</x:v>
      </x:c>
    </x:row>
    <x:row r="83">
      <x:c r="A83" s="22" t="n">
        <x:v>29728</x:v>
      </x:c>
      <x:c r="B83" t="str">
        <x:v>FY24-25</x:v>
      </x:c>
      <x:c r="C83" t="str">
        <x:v>2025/01/04</x:v>
      </x:c>
      <x:c r="D83" t="str">
        <x:v>0490</x:v>
      </x:c>
      <x:c r="E83" t="str">
        <x:v>Commander III</x:v>
      </x:c>
      <x:c r="F83" t="str">
        <x:v>353</x:v>
      </x:c>
      <x:c r="G83" t="str">
        <x:v>COMMN</x:v>
      </x:c>
      <x:c r="H83" t="str">
        <x:v>0490A</x:v>
      </x:c>
      <x:c r="I83" t="str">
        <x:v>$11,478</x:v>
      </x:c>
      <x:c r="J83" t="str"/>
      <x:c r="K83" t="str"/>
      <x:c r="L83" t="str">
        <x:v>$143.4750</x:v>
      </x:c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>
        <x:f>D83&amp;"|"&amp;UPPER(G83)&amp;"|"&amp;SUBSTITUTE(C83,"/","-")</x:f>
        <x:v>0490|COMMN|2025-01-04</x:v>
      </x:c>
    </x:row>
    <x:row r="84">
      <x:c r="A84" s="22" t="n">
        <x:v>31441</x:v>
      </x:c>
      <x:c r="B84" t="str">
        <x:v>FY25-26</x:v>
      </x:c>
      <x:c r="C84" t="str">
        <x:v>2025/07/01</x:v>
      </x:c>
      <x:c r="D84" t="str">
        <x:v>0490</x:v>
      </x:c>
      <x:c r="E84" t="str">
        <x:v>Commander 3</x:v>
      </x:c>
      <x:c r="F84" t="str">
        <x:v>353</x:v>
      </x:c>
      <x:c r="G84" t="str">
        <x:v>COMMN</x:v>
      </x:c>
      <x:c r="H84" t="str">
        <x:v>0490B</x:v>
      </x:c>
      <x:c r="I84" t="str">
        <x:v>$11,822</x:v>
      </x:c>
      <x:c r="J84" t="str"/>
      <x:c r="K84" t="str"/>
      <x:c r="L84" t="str">
        <x:v>$147.7750</x:v>
      </x:c>
      <x:c r="M84" t="str"/>
      <x:c r="N84" t="str"/>
      <x:c r="O84" t="str"/>
      <x:c r="P84" t="str"/>
      <x:c r="Q84" t="str"/>
      <x:c r="R84" t="str"/>
      <x:c r="S84" t="str"/>
      <x:c r="T84" t="str"/>
      <x:c r="U84" t="str"/>
      <x:c r="V84" t="str"/>
      <x:c r="W84" t="str"/>
      <x:c r="X84" t="str"/>
      <x:c r="Y84" t="str"/>
      <x:c r="Z84" t="str"/>
      <x:c r="AA84" t="str"/>
      <x:c r="AB84" t="str"/>
      <x:c r="AC84" t="str"/>
      <x:c r="AD84" t="str"/>
      <x:c r="AE84" t="str"/>
      <x:c r="AF84" t="str">
        <x:f>D84&amp;"|"&amp;UPPER(G84)&amp;"|"&amp;SUBSTITUTE(C84,"/","-")</x:f>
        <x:v>0490|COMMN|2025-07-01</x:v>
      </x:c>
    </x:row>
    <x:row r="85">
      <x:c r="A85" s="22" t="n">
        <x:v>33128</x:v>
      </x:c>
      <x:c r="B85" t="str">
        <x:v>FY25-26</x:v>
      </x:c>
      <x:c r="C85" t="str">
        <x:v>2026/01/03</x:v>
      </x:c>
      <x:c r="D85" t="str">
        <x:v>0490</x:v>
      </x:c>
      <x:c r="E85" t="str">
        <x:v>Commander 3</x:v>
      </x:c>
      <x:c r="F85" t="str">
        <x:v>353</x:v>
      </x:c>
      <x:c r="G85" t="str">
        <x:v>COMMN</x:v>
      </x:c>
      <x:c r="H85" t="str">
        <x:v>0490C</x:v>
      </x:c>
      <x:c r="I85" t="str">
        <x:v>$12,177</x:v>
      </x:c>
      <x:c r="J85" t="str"/>
      <x:c r="K85" t="str"/>
      <x:c r="L85" t="str">
        <x:v>$152.2125</x:v>
      </x:c>
      <x:c r="M85" t="str"/>
      <x:c r="N85" t="str"/>
      <x:c r="O85" t="str"/>
      <x:c r="P85" t="str"/>
      <x:c r="Q85" t="str"/>
      <x:c r="R85" t="str"/>
      <x:c r="S85" t="str"/>
      <x:c r="T85" t="str"/>
      <x:c r="U85" t="str"/>
      <x:c r="V85" t="str"/>
      <x:c r="W85" t="str"/>
      <x:c r="X85" t="str"/>
      <x:c r="Y85" t="str"/>
      <x:c r="Z85" t="str"/>
      <x:c r="AA85" t="str"/>
      <x:c r="AB85" t="str"/>
      <x:c r="AC85" t="str"/>
      <x:c r="AD85" t="str"/>
      <x:c r="AE85" t="str"/>
      <x:c r="AF85" t="str">
        <x:f>D85&amp;"|"&amp;UPPER(G85)&amp;"|"&amp;SUBSTITUTE(C85,"/","-")</x:f>
        <x:v>0490|COMMN|2026-01-03</x:v>
      </x:c>
    </x:row>
    <x:row r="86">
      <x:c r="A86" s="22" t="n">
        <x:v>26281</x:v>
      </x:c>
      <x:c r="B86" t="str">
        <x:v>FY23-24</x:v>
      </x:c>
      <x:c r="C86" t="str">
        <x:v>2024/01/06</x:v>
      </x:c>
      <x:c r="D86" t="str">
        <x:v>0720</x:v>
      </x:c>
      <x:c r="E86" t="str">
        <x:v>Member, Board Of Supervisors</x:v>
      </x:c>
      <x:c r="F86" t="str">
        <x:v>257</x:v>
      </x:c>
      <x:c r="G86" t="str">
        <x:v>COMMN</x:v>
      </x:c>
      <x:c r="H86" t="str">
        <x:v>0720Y</x:v>
      </x:c>
      <x:c r="I86" t="str">
        <x:v>$6,303</x:v>
      </x:c>
      <x:c r="J86" t="str"/>
      <x:c r="K86" t="str"/>
      <x:c r="L86" t="str">
        <x:v>$78.7875</x:v>
      </x:c>
      <x:c r="M86" t="str"/>
      <x:c r="N86" t="str"/>
      <x:c r="O86" t="str"/>
      <x:c r="P86" t="str"/>
      <x:c r="Q86" t="str"/>
      <x:c r="R86" t="str"/>
      <x:c r="S86" t="str"/>
      <x:c r="T86" t="str"/>
      <x:c r="U86" t="str"/>
      <x:c r="V86" t="str"/>
      <x:c r="W86" t="str"/>
      <x:c r="X86" t="str"/>
      <x:c r="Y86" t="str"/>
      <x:c r="Z86" t="str"/>
      <x:c r="AA86" t="str"/>
      <x:c r="AB86" t="str"/>
      <x:c r="AC86" t="str"/>
      <x:c r="AD86" t="str"/>
      <x:c r="AE86" t="str"/>
      <x:c r="AF86" t="str">
        <x:f>D86&amp;"|"&amp;UPPER(G86)&amp;"|"&amp;SUBSTITUTE(C86,"/","-")</x:f>
        <x:v>0720|COMMN|2024-01-06</x:v>
      </x:c>
    </x:row>
    <x:row r="87">
      <x:c r="A87" s="22" t="n">
        <x:v>28023</x:v>
      </x:c>
      <x:c r="B87" t="str">
        <x:v>FY24-25</x:v>
      </x:c>
      <x:c r="C87" t="str">
        <x:v>2024/07/01</x:v>
      </x:c>
      <x:c r="D87" t="str">
        <x:v>0720</x:v>
      </x:c>
      <x:c r="E87" t="str">
        <x:v>Member, Board Of Supervisors</x:v>
      </x:c>
      <x:c r="F87" t="str">
        <x:v>257</x:v>
      </x:c>
      <x:c r="G87" t="str">
        <x:v>COMMN</x:v>
      </x:c>
      <x:c r="H87" t="str">
        <x:v>0720Z</x:v>
      </x:c>
      <x:c r="I87" t="str">
        <x:v>$6,555</x:v>
      </x:c>
      <x:c r="J87" t="str"/>
      <x:c r="K87" t="str"/>
      <x:c r="L87" t="str">
        <x:v>$81.9375</x:v>
      </x:c>
      <x:c r="M87" t="str"/>
      <x:c r="N87" t="str"/>
      <x:c r="O87" t="str"/>
      <x:c r="P87" t="str"/>
      <x:c r="Q87" t="str"/>
      <x:c r="R87" t="str"/>
      <x:c r="S87" t="str"/>
      <x:c r="T87" t="str"/>
      <x:c r="U87" t="str"/>
      <x:c r="V87" t="str"/>
      <x:c r="W87" t="str"/>
      <x:c r="X87" t="str"/>
      <x:c r="Y87" t="str"/>
      <x:c r="Z87" t="str"/>
      <x:c r="AA87" t="str"/>
      <x:c r="AB87" t="str"/>
      <x:c r="AC87" t="str"/>
      <x:c r="AD87" t="str"/>
      <x:c r="AE87" t="str"/>
      <x:c r="AF87" t="str">
        <x:f>D87&amp;"|"&amp;UPPER(G87)&amp;"|"&amp;SUBSTITUTE(C87,"/","-")</x:f>
        <x:v>0720|COMMN|2024-07-01</x:v>
      </x:c>
    </x:row>
    <x:row r="88">
      <x:c r="A88" s="22" t="n">
        <x:v>29729</x:v>
      </x:c>
      <x:c r="B88" t="str">
        <x:v>FY24-25</x:v>
      </x:c>
      <x:c r="C88" t="str">
        <x:v>2025/01/04</x:v>
      </x:c>
      <x:c r="D88" t="str">
        <x:v>0720</x:v>
      </x:c>
      <x:c r="E88" t="str">
        <x:v>Member, Board Of Supervisors</x:v>
      </x:c>
      <x:c r="F88" t="str">
        <x:v>257</x:v>
      </x:c>
      <x:c r="G88" t="str">
        <x:v>COMMN</x:v>
      </x:c>
      <x:c r="H88" t="str">
        <x:v>0720A</x:v>
      </x:c>
      <x:c r="I88" t="str">
        <x:v>$6,555</x:v>
      </x:c>
      <x:c r="J88" t="str"/>
      <x:c r="K88" t="str"/>
      <x:c r="L88" t="str">
        <x:v>$81.9375</x:v>
      </x:c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>
        <x:f>D88&amp;"|"&amp;UPPER(G88)&amp;"|"&amp;SUBSTITUTE(C88,"/","-")</x:f>
        <x:v>0720|COMMN|2025-01-04</x:v>
      </x:c>
    </x:row>
    <x:row r="89">
      <x:c r="A89" s="22" t="n">
        <x:v>31442</x:v>
      </x:c>
      <x:c r="B89" t="str">
        <x:v>FY25-26</x:v>
      </x:c>
      <x:c r="C89" t="str">
        <x:v>2025/07/01</x:v>
      </x:c>
      <x:c r="D89" t="str">
        <x:v>0720</x:v>
      </x:c>
      <x:c r="E89" t="str">
        <x:v>Member, Board of Supervisors</x:v>
      </x:c>
      <x:c r="F89" t="str">
        <x:v>257</x:v>
      </x:c>
      <x:c r="G89" t="str">
        <x:v>COMMN</x:v>
      </x:c>
      <x:c r="H89" t="str">
        <x:v>0720B</x:v>
      </x:c>
      <x:c r="I89" t="str">
        <x:v>$6,745</x:v>
      </x:c>
      <x:c r="J89" t="str"/>
      <x:c r="K89" t="str"/>
      <x:c r="L89" t="str">
        <x:v>$84.3125</x:v>
      </x:c>
      <x:c r="M89" t="str"/>
      <x:c r="N89" t="str"/>
      <x:c r="O89" t="str"/>
      <x:c r="P89" t="str"/>
      <x:c r="Q89" t="str"/>
      <x:c r="R89" t="str"/>
      <x:c r="S89" t="str"/>
      <x:c r="T89" t="str"/>
      <x:c r="U89" t="str"/>
      <x:c r="V89" t="str"/>
      <x:c r="W89" t="str"/>
      <x:c r="X89" t="str"/>
      <x:c r="Y89" t="str"/>
      <x:c r="Z89" t="str"/>
      <x:c r="AA89" t="str"/>
      <x:c r="AB89" t="str"/>
      <x:c r="AC89" t="str"/>
      <x:c r="AD89" t="str"/>
      <x:c r="AE89" t="str"/>
      <x:c r="AF89" t="str">
        <x:f>D89&amp;"|"&amp;UPPER(G89)&amp;"|"&amp;SUBSTITUTE(C89,"/","-")</x:f>
        <x:v>0720|COMMN|2025-07-01</x:v>
      </x:c>
    </x:row>
    <x:row r="90">
      <x:c r="A90" s="22" t="n">
        <x:v>26282</x:v>
      </x:c>
      <x:c r="B90" t="str">
        <x:v>FY23-24</x:v>
      </x:c>
      <x:c r="C90" t="str">
        <x:v>2024/01/06</x:v>
      </x:c>
      <x:c r="D90" t="str">
        <x:v>0881</x:v>
      </x:c>
      <x:c r="E90" t="str">
        <x:v>Mayoral Staff I</x:v>
      </x:c>
      <x:c r="F90" t="str">
        <x:v>002</x:v>
      </x:c>
      <x:c r="G90" t="str">
        <x:v>COMMN</x:v>
      </x:c>
      <x:c r="H90" t="str">
        <x:v>0881Y</x:v>
      </x:c>
      <x:c r="I90" t="str">
        <x:v>$2,081</x:v>
      </x:c>
      <x:c r="J90" t="str"/>
      <x:c r="K90" t="str"/>
      <x:c r="L90" t="str">
        <x:v>$26.0125</x:v>
      </x:c>
      <x:c r="M90" t="str">
        <x:v>$27.3125</x:v>
      </x:c>
      <x:c r="N90" t="str">
        <x:v>$28.6625</x:v>
      </x:c>
      <x:c r="O90" t="str">
        <x:v>$30.0750</x:v>
      </x:c>
      <x:c r="P90" t="str">
        <x:v>$31.6000</x:v>
      </x:c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>
        <x:f>D90&amp;"|"&amp;UPPER(G90)&amp;"|"&amp;SUBSTITUTE(C90,"/","-")</x:f>
        <x:v>0881|COMMN|2024-01-06</x:v>
      </x:c>
    </x:row>
    <x:row r="91">
      <x:c r="A91" s="22" t="n">
        <x:v>28024</x:v>
      </x:c>
      <x:c r="B91" t="str">
        <x:v>FY24-25</x:v>
      </x:c>
      <x:c r="C91" t="str">
        <x:v>2024/07/01</x:v>
      </x:c>
      <x:c r="D91" t="str">
        <x:v>0881</x:v>
      </x:c>
      <x:c r="E91" t="str">
        <x:v>Mayoral Staff I</x:v>
      </x:c>
      <x:c r="F91" t="str">
        <x:v>002</x:v>
      </x:c>
      <x:c r="G91" t="str">
        <x:v>COMMN</x:v>
      </x:c>
      <x:c r="H91" t="str">
        <x:v>0881Z</x:v>
      </x:c>
      <x:c r="I91" t="str">
        <x:v>$2,112</x:v>
      </x:c>
      <x:c r="J91" t="str"/>
      <x:c r="K91" t="str"/>
      <x:c r="L91" t="str">
        <x:v>$26.4000</x:v>
      </x:c>
      <x:c r="M91" t="str">
        <x:v>$27.7250</x:v>
      </x:c>
      <x:c r="N91" t="str">
        <x:v>$29.0875</x:v>
      </x:c>
      <x:c r="O91" t="str">
        <x:v>$30.5250</x:v>
      </x:c>
      <x:c r="P91" t="str">
        <x:v>$32.0750</x:v>
      </x:c>
      <x:c r="Q91" t="str"/>
      <x:c r="R91" t="str"/>
      <x:c r="S91" t="str"/>
      <x:c r="T91" t="str"/>
      <x:c r="U91" t="str"/>
      <x:c r="V91" t="str"/>
      <x:c r="W91" t="str"/>
      <x:c r="X91" t="str"/>
      <x:c r="Y91" t="str"/>
      <x:c r="Z91" t="str"/>
      <x:c r="AA91" t="str"/>
      <x:c r="AB91" t="str"/>
      <x:c r="AC91" t="str"/>
      <x:c r="AD91" t="str"/>
      <x:c r="AE91" t="str"/>
      <x:c r="AF91" t="str">
        <x:f>D91&amp;"|"&amp;UPPER(G91)&amp;"|"&amp;SUBSTITUTE(C91,"/","-")</x:f>
        <x:v>0881|COMMN|2024-07-01</x:v>
      </x:c>
    </x:row>
    <x:row r="92">
      <x:c r="A92" s="22" t="n">
        <x:v>29730</x:v>
      </x:c>
      <x:c r="B92" t="str">
        <x:v>FY24-25</x:v>
      </x:c>
      <x:c r="C92" t="str">
        <x:v>2025/01/04</x:v>
      </x:c>
      <x:c r="D92" t="str">
        <x:v>0881</x:v>
      </x:c>
      <x:c r="E92" t="str">
        <x:v>Mayoral Staff I</x:v>
      </x:c>
      <x:c r="F92" t="str">
        <x:v>002</x:v>
      </x:c>
      <x:c r="G92" t="str">
        <x:v>COMMN</x:v>
      </x:c>
      <x:c r="H92" t="str">
        <x:v>0881A</x:v>
      </x:c>
      <x:c r="I92" t="str">
        <x:v>$2,144</x:v>
      </x:c>
      <x:c r="J92" t="str"/>
      <x:c r="K92" t="str"/>
      <x:c r="L92" t="str">
        <x:v>$26.8000</x:v>
      </x:c>
      <x:c r="M92" t="str">
        <x:v>$28.1375</x:v>
      </x:c>
      <x:c r="N92" t="str">
        <x:v>$29.5250</x:v>
      </x:c>
      <x:c r="O92" t="str">
        <x:v>$30.9875</x:v>
      </x:c>
      <x:c r="P92" t="str">
        <x:v>$32.5500</x:v>
      </x:c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>
        <x:f>D92&amp;"|"&amp;UPPER(G92)&amp;"|"&amp;SUBSTITUTE(C92,"/","-")</x:f>
        <x:v>0881|COMMN|2025-01-04</x:v>
      </x:c>
    </x:row>
    <x:row r="93">
      <x:c r="A93" s="22" t="n">
        <x:v>31443</x:v>
      </x:c>
      <x:c r="B93" t="str">
        <x:v>FY25-26</x:v>
      </x:c>
      <x:c r="C93" t="str">
        <x:v>2025/07/01</x:v>
      </x:c>
      <x:c r="D93" t="str">
        <x:v>0881</x:v>
      </x:c>
      <x:c r="E93" t="str">
        <x:v>Mayoral Staff I</x:v>
      </x:c>
      <x:c r="F93" t="str">
        <x:v>002</x:v>
      </x:c>
      <x:c r="G93" t="str">
        <x:v>COMMN</x:v>
      </x:c>
      <x:c r="H93" t="str">
        <x:v>0881B</x:v>
      </x:c>
      <x:c r="I93" t="str">
        <x:v>$2,187</x:v>
      </x:c>
      <x:c r="J93" t="str"/>
      <x:c r="K93" t="str"/>
      <x:c r="L93" t="str">
        <x:v>$27.3375</x:v>
      </x:c>
      <x:c r="M93" t="str">
        <x:v>$28.7000</x:v>
      </x:c>
      <x:c r="N93" t="str">
        <x:v>$30.1125</x:v>
      </x:c>
      <x:c r="O93" t="str">
        <x:v>$31.6125</x:v>
      </x:c>
      <x:c r="P93" t="str">
        <x:v>$33.2000</x:v>
      </x:c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>
        <x:f>D93&amp;"|"&amp;UPPER(G93)&amp;"|"&amp;SUBSTITUTE(C93,"/","-")</x:f>
        <x:v>0881|COMMN|2025-07-01</x:v>
      </x:c>
    </x:row>
    <x:row r="94">
      <x:c r="A94" s="22" t="n">
        <x:v>33129</x:v>
      </x:c>
      <x:c r="B94" t="str">
        <x:v>FY25-26</x:v>
      </x:c>
      <x:c r="C94" t="str">
        <x:v>2026/01/03</x:v>
      </x:c>
      <x:c r="D94" t="str">
        <x:v>0881</x:v>
      </x:c>
      <x:c r="E94" t="str">
        <x:v>Mayoral Staff I</x:v>
      </x:c>
      <x:c r="F94" t="str">
        <x:v>002</x:v>
      </x:c>
      <x:c r="G94" t="str">
        <x:v>COMMN</x:v>
      </x:c>
      <x:c r="H94" t="str">
        <x:v>0881C</x:v>
      </x:c>
      <x:c r="I94" t="str">
        <x:v>$2,220</x:v>
      </x:c>
      <x:c r="J94" t="str"/>
      <x:c r="K94" t="str"/>
      <x:c r="L94" t="str">
        <x:v>$27.7500</x:v>
      </x:c>
      <x:c r="M94" t="str">
        <x:v>$29.1250</x:v>
      </x:c>
      <x:c r="N94" t="str">
        <x:v>$30.5625</x:v>
      </x:c>
      <x:c r="O94" t="str">
        <x:v>$32.0875</x:v>
      </x:c>
      <x:c r="P94" t="str">
        <x:v>$33.7000</x:v>
      </x:c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>
        <x:f>D94&amp;"|"&amp;UPPER(G94)&amp;"|"&amp;SUBSTITUTE(C94,"/","-")</x:f>
        <x:v>0881|COMMN|2026-01-03</x:v>
      </x:c>
    </x:row>
    <x:row r="95">
      <x:c r="A95" s="22" t="n">
        <x:v>26283</x:v>
      </x:c>
      <x:c r="B95" t="str">
        <x:v>FY23-24</x:v>
      </x:c>
      <x:c r="C95" t="str">
        <x:v>2024/01/06</x:v>
      </x:c>
      <x:c r="D95" t="str">
        <x:v>0882</x:v>
      </x:c>
      <x:c r="E95" t="str">
        <x:v>Mayoral Staff II</x:v>
      </x:c>
      <x:c r="F95" t="str">
        <x:v>002</x:v>
      </x:c>
      <x:c r="G95" t="str">
        <x:v>COMMN</x:v>
      </x:c>
      <x:c r="H95" t="str">
        <x:v>0882Y</x:v>
      </x:c>
      <x:c r="I95" t="str">
        <x:v>$2,237</x:v>
      </x:c>
      <x:c r="J95" t="str"/>
      <x:c r="K95" t="str"/>
      <x:c r="L95" t="str">
        <x:v>$27.9625</x:v>
      </x:c>
      <x:c r="M95" t="str">
        <x:v>$29.3375</x:v>
      </x:c>
      <x:c r="N95" t="str">
        <x:v>$30.8125</x:v>
      </x:c>
      <x:c r="O95" t="str">
        <x:v>$32.3875</x:v>
      </x:c>
      <x:c r="P95" t="str">
        <x:v>$33.9875</x:v>
      </x:c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>
        <x:f>D95&amp;"|"&amp;UPPER(G95)&amp;"|"&amp;SUBSTITUTE(C95,"/","-")</x:f>
        <x:v>0882|COMMN|2024-01-06</x:v>
      </x:c>
    </x:row>
    <x:row r="96">
      <x:c r="A96" s="22" t="n">
        <x:v>28025</x:v>
      </x:c>
      <x:c r="B96" t="str">
        <x:v>FY24-25</x:v>
      </x:c>
      <x:c r="C96" t="str">
        <x:v>2024/07/01</x:v>
      </x:c>
      <x:c r="D96" t="str">
        <x:v>0882</x:v>
      </x:c>
      <x:c r="E96" t="str">
        <x:v>Mayoral Staff II</x:v>
      </x:c>
      <x:c r="F96" t="str">
        <x:v>002</x:v>
      </x:c>
      <x:c r="G96" t="str">
        <x:v>COMMN</x:v>
      </x:c>
      <x:c r="H96" t="str">
        <x:v>0882Z</x:v>
      </x:c>
      <x:c r="I96" t="str">
        <x:v>$2,271</x:v>
      </x:c>
      <x:c r="J96" t="str"/>
      <x:c r="K96" t="str"/>
      <x:c r="L96" t="str">
        <x:v>$28.3875</x:v>
      </x:c>
      <x:c r="M96" t="str">
        <x:v>$29.7750</x:v>
      </x:c>
      <x:c r="N96" t="str">
        <x:v>$31.2750</x:v>
      </x:c>
      <x:c r="O96" t="str">
        <x:v>$32.8750</x:v>
      </x:c>
      <x:c r="P96" t="str">
        <x:v>$34.5000</x:v>
      </x:c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>
        <x:f>D96&amp;"|"&amp;UPPER(G96)&amp;"|"&amp;SUBSTITUTE(C96,"/","-")</x:f>
        <x:v>0882|COMMN|2024-07-01</x:v>
      </x:c>
    </x:row>
    <x:row r="97">
      <x:c r="A97" s="22" t="n">
        <x:v>29731</x:v>
      </x:c>
      <x:c r="B97" t="str">
        <x:v>FY24-25</x:v>
      </x:c>
      <x:c r="C97" t="str">
        <x:v>2025/01/04</x:v>
      </x:c>
      <x:c r="D97" t="str">
        <x:v>0882</x:v>
      </x:c>
      <x:c r="E97" t="str">
        <x:v>Mayoral Staff II</x:v>
      </x:c>
      <x:c r="F97" t="str">
        <x:v>002</x:v>
      </x:c>
      <x:c r="G97" t="str">
        <x:v>COMMN</x:v>
      </x:c>
      <x:c r="H97" t="str">
        <x:v>0882A</x:v>
      </x:c>
      <x:c r="I97" t="str">
        <x:v>$2,305</x:v>
      </x:c>
      <x:c r="J97" t="str"/>
      <x:c r="K97" t="str"/>
      <x:c r="L97" t="str">
        <x:v>$28.8125</x:v>
      </x:c>
      <x:c r="M97" t="str">
        <x:v>$30.2250</x:v>
      </x:c>
      <x:c r="N97" t="str">
        <x:v>$31.7500</x:v>
      </x:c>
      <x:c r="O97" t="str">
        <x:v>$33.3625</x:v>
      </x:c>
      <x:c r="P97" t="str">
        <x:v>$35.0125</x:v>
      </x:c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>
        <x:f>D97&amp;"|"&amp;UPPER(G97)&amp;"|"&amp;SUBSTITUTE(C97,"/","-")</x:f>
        <x:v>0882|COMMN|2025-01-04</x:v>
      </x:c>
    </x:row>
    <x:row r="98">
      <x:c r="A98" s="22" t="n">
        <x:v>31444</x:v>
      </x:c>
      <x:c r="B98" t="str">
        <x:v>FY25-26</x:v>
      </x:c>
      <x:c r="C98" t="str">
        <x:v>2025/07/01</x:v>
      </x:c>
      <x:c r="D98" t="str">
        <x:v>0882</x:v>
      </x:c>
      <x:c r="E98" t="str">
        <x:v>Mayoral Staff II</x:v>
      </x:c>
      <x:c r="F98" t="str">
        <x:v>002</x:v>
      </x:c>
      <x:c r="G98" t="str">
        <x:v>COMMN</x:v>
      </x:c>
      <x:c r="H98" t="str">
        <x:v>0882B</x:v>
      </x:c>
      <x:c r="I98" t="str">
        <x:v>$2,351</x:v>
      </x:c>
      <x:c r="J98" t="str"/>
      <x:c r="K98" t="str"/>
      <x:c r="L98" t="str">
        <x:v>$29.3875</x:v>
      </x:c>
      <x:c r="M98" t="str">
        <x:v>$30.8375</x:v>
      </x:c>
      <x:c r="N98" t="str">
        <x:v>$32.3875</x:v>
      </x:c>
      <x:c r="O98" t="str">
        <x:v>$34.0375</x:v>
      </x:c>
      <x:c r="P98" t="str">
        <x:v>$35.7125</x:v>
      </x:c>
      <x:c r="Q98" t="str"/>
      <x:c r="R98" t="str"/>
      <x:c r="S98" t="str"/>
      <x:c r="T98" t="str"/>
      <x:c r="U98" t="str"/>
      <x:c r="V98" t="str"/>
      <x:c r="W98" t="str"/>
      <x:c r="X98" t="str"/>
      <x:c r="Y98" t="str"/>
      <x:c r="Z98" t="str"/>
      <x:c r="AA98" t="str"/>
      <x:c r="AB98" t="str"/>
      <x:c r="AC98" t="str"/>
      <x:c r="AD98" t="str"/>
      <x:c r="AE98" t="str"/>
      <x:c r="AF98" t="str">
        <x:f>D98&amp;"|"&amp;UPPER(G98)&amp;"|"&amp;SUBSTITUTE(C98,"/","-")</x:f>
        <x:v>0882|COMMN|2025-07-01</x:v>
      </x:c>
    </x:row>
    <x:row r="99">
      <x:c r="A99" s="22" t="n">
        <x:v>33130</x:v>
      </x:c>
      <x:c r="B99" t="str">
        <x:v>FY25-26</x:v>
      </x:c>
      <x:c r="C99" t="str">
        <x:v>2026/01/03</x:v>
      </x:c>
      <x:c r="D99" t="str">
        <x:v>0882</x:v>
      </x:c>
      <x:c r="E99" t="str">
        <x:v>Mayoral Staff II</x:v>
      </x:c>
      <x:c r="F99" t="str">
        <x:v>002</x:v>
      </x:c>
      <x:c r="G99" t="str">
        <x:v>COMMN</x:v>
      </x:c>
      <x:c r="H99" t="str">
        <x:v>0882C</x:v>
      </x:c>
      <x:c r="I99" t="str">
        <x:v>$2,386</x:v>
      </x:c>
      <x:c r="J99" t="str"/>
      <x:c r="K99" t="str"/>
      <x:c r="L99" t="str">
        <x:v>$29.8250</x:v>
      </x:c>
      <x:c r="M99" t="str">
        <x:v>$31.3000</x:v>
      </x:c>
      <x:c r="N99" t="str">
        <x:v>$32.8750</x:v>
      </x:c>
      <x:c r="O99" t="str">
        <x:v>$34.5500</x:v>
      </x:c>
      <x:c r="P99" t="str">
        <x:v>$36.2500</x:v>
      </x:c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>
        <x:f>D99&amp;"|"&amp;UPPER(G99)&amp;"|"&amp;SUBSTITUTE(C99,"/","-")</x:f>
        <x:v>0882|COMMN|2026-01-03</x:v>
      </x:c>
    </x:row>
    <x:row r="100">
      <x:c r="A100" s="22" t="n">
        <x:v>26284</x:v>
      </x:c>
      <x:c r="B100" t="str">
        <x:v>FY23-24</x:v>
      </x:c>
      <x:c r="C100" t="str">
        <x:v>2024/01/06</x:v>
      </x:c>
      <x:c r="D100" t="str">
        <x:v>0883</x:v>
      </x:c>
      <x:c r="E100" t="str">
        <x:v>Mayoral Staff III</x:v>
      </x:c>
      <x:c r="F100" t="str">
        <x:v>002</x:v>
      </x:c>
      <x:c r="G100" t="str">
        <x:v>COMMN</x:v>
      </x:c>
      <x:c r="H100" t="str">
        <x:v>0883Y</x:v>
      </x:c>
      <x:c r="I100" t="str">
        <x:v>$2,406</x:v>
      </x:c>
      <x:c r="J100" t="str"/>
      <x:c r="K100" t="str"/>
      <x:c r="L100" t="str">
        <x:v>$30.0750</x:v>
      </x:c>
      <x:c r="M100" t="str">
        <x:v>$31.6000</x:v>
      </x:c>
      <x:c r="N100" t="str">
        <x:v>$33.1500</x:v>
      </x:c>
      <x:c r="O100" t="str">
        <x:v>$34.7875</x:v>
      </x:c>
      <x:c r="P100" t="str">
        <x:v>$36.6000</x:v>
      </x:c>
      <x:c r="Q100" t="str"/>
      <x:c r="R100" t="str"/>
      <x:c r="S100" t="str"/>
      <x:c r="T100" t="str"/>
      <x:c r="U100" t="str"/>
      <x:c r="V100" t="str"/>
      <x:c r="W100" t="str"/>
      <x:c r="X100" t="str"/>
      <x:c r="Y100" t="str"/>
      <x:c r="Z100" t="str"/>
      <x:c r="AA100" t="str"/>
      <x:c r="AB100" t="str"/>
      <x:c r="AC100" t="str"/>
      <x:c r="AD100" t="str"/>
      <x:c r="AE100" t="str"/>
      <x:c r="AF100" t="str">
        <x:f>D100&amp;"|"&amp;UPPER(G100)&amp;"|"&amp;SUBSTITUTE(C100,"/","-")</x:f>
        <x:v>0883|COMMN|2024-01-06</x:v>
      </x:c>
    </x:row>
    <x:row r="101">
      <x:c r="A101" s="22" t="n">
        <x:v>28026</x:v>
      </x:c>
      <x:c r="B101" t="str">
        <x:v>FY24-25</x:v>
      </x:c>
      <x:c r="C101" t="str">
        <x:v>2024/07/01</x:v>
      </x:c>
      <x:c r="D101" t="str">
        <x:v>0883</x:v>
      </x:c>
      <x:c r="E101" t="str">
        <x:v>Mayoral Staff III</x:v>
      </x:c>
      <x:c r="F101" t="str">
        <x:v>002</x:v>
      </x:c>
      <x:c r="G101" t="str">
        <x:v>COMMN</x:v>
      </x:c>
      <x:c r="H101" t="str">
        <x:v>0883Z</x:v>
      </x:c>
      <x:c r="I101" t="str">
        <x:v>$2,442</x:v>
      </x:c>
      <x:c r="J101" t="str"/>
      <x:c r="K101" t="str"/>
      <x:c r="L101" t="str">
        <x:v>$30.5250</x:v>
      </x:c>
      <x:c r="M101" t="str">
        <x:v>$32.0750</x:v>
      </x:c>
      <x:c r="N101" t="str">
        <x:v>$33.6500</x:v>
      </x:c>
      <x:c r="O101" t="str">
        <x:v>$35.3125</x:v>
      </x:c>
      <x:c r="P101" t="str">
        <x:v>$37.1500</x:v>
      </x:c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>
        <x:f>D101&amp;"|"&amp;UPPER(G101)&amp;"|"&amp;SUBSTITUTE(C101,"/","-")</x:f>
        <x:v>0883|COMMN|2024-07-01</x:v>
      </x:c>
    </x:row>
    <x:row r="102">
      <x:c r="A102" s="22" t="n">
        <x:v>29732</x:v>
      </x:c>
      <x:c r="B102" t="str">
        <x:v>FY24-25</x:v>
      </x:c>
      <x:c r="C102" t="str">
        <x:v>2025/01/04</x:v>
      </x:c>
      <x:c r="D102" t="str">
        <x:v>0883</x:v>
      </x:c>
      <x:c r="E102" t="str">
        <x:v>Mayoral Staff III</x:v>
      </x:c>
      <x:c r="F102" t="str">
        <x:v>002</x:v>
      </x:c>
      <x:c r="G102" t="str">
        <x:v>COMMN</x:v>
      </x:c>
      <x:c r="H102" t="str">
        <x:v>0883A</x:v>
      </x:c>
      <x:c r="I102" t="str">
        <x:v>$2,479</x:v>
      </x:c>
      <x:c r="J102" t="str"/>
      <x:c r="K102" t="str"/>
      <x:c r="L102" t="str">
        <x:v>$30.9875</x:v>
      </x:c>
      <x:c r="M102" t="str">
        <x:v>$32.5500</x:v>
      </x:c>
      <x:c r="N102" t="str">
        <x:v>$34.1500</x:v>
      </x:c>
      <x:c r="O102" t="str">
        <x:v>$35.8375</x:v>
      </x:c>
      <x:c r="P102" t="str">
        <x:v>$37.7125</x:v>
      </x:c>
      <x:c r="Q102" t="str"/>
      <x:c r="R102" t="str"/>
      <x:c r="S102" t="str"/>
      <x:c r="T102" t="str"/>
      <x:c r="U102" t="str"/>
      <x:c r="V102" t="str"/>
      <x:c r="W102" t="str"/>
      <x:c r="X102" t="str"/>
      <x:c r="Y102" t="str"/>
      <x:c r="Z102" t="str"/>
      <x:c r="AA102" t="str"/>
      <x:c r="AB102" t="str"/>
      <x:c r="AC102" t="str"/>
      <x:c r="AD102" t="str"/>
      <x:c r="AE102" t="str"/>
      <x:c r="AF102" t="str">
        <x:f>D102&amp;"|"&amp;UPPER(G102)&amp;"|"&amp;SUBSTITUTE(C102,"/","-")</x:f>
        <x:v>0883|COMMN|2025-01-04</x:v>
      </x:c>
    </x:row>
    <x:row r="103">
      <x:c r="A103" s="22" t="n">
        <x:v>31445</x:v>
      </x:c>
      <x:c r="B103" t="str">
        <x:v>FY25-26</x:v>
      </x:c>
      <x:c r="C103" t="str">
        <x:v>2025/07/01</x:v>
      </x:c>
      <x:c r="D103" t="str">
        <x:v>0883</x:v>
      </x:c>
      <x:c r="E103" t="str">
        <x:v>Mayoral Staff III</x:v>
      </x:c>
      <x:c r="F103" t="str">
        <x:v>002</x:v>
      </x:c>
      <x:c r="G103" t="str">
        <x:v>COMMN</x:v>
      </x:c>
      <x:c r="H103" t="str">
        <x:v>0883B</x:v>
      </x:c>
      <x:c r="I103" t="str">
        <x:v>$2,529</x:v>
      </x:c>
      <x:c r="J103" t="str"/>
      <x:c r="K103" t="str"/>
      <x:c r="L103" t="str">
        <x:v>$31.6125</x:v>
      </x:c>
      <x:c r="M103" t="str">
        <x:v>$33.2000</x:v>
      </x:c>
      <x:c r="N103" t="str">
        <x:v>$34.8375</x:v>
      </x:c>
      <x:c r="O103" t="str">
        <x:v>$36.5625</x:v>
      </x:c>
      <x:c r="P103" t="str">
        <x:v>$38.4750</x:v>
      </x:c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>
        <x:f>D103&amp;"|"&amp;UPPER(G103)&amp;"|"&amp;SUBSTITUTE(C103,"/","-")</x:f>
        <x:v>0883|COMMN|2025-07-01</x:v>
      </x:c>
    </x:row>
    <x:row r="104">
      <x:c r="A104" s="22" t="n">
        <x:v>33131</x:v>
      </x:c>
      <x:c r="B104" t="str">
        <x:v>FY25-26</x:v>
      </x:c>
      <x:c r="C104" t="str">
        <x:v>2026/01/03</x:v>
      </x:c>
      <x:c r="D104" t="str">
        <x:v>0883</x:v>
      </x:c>
      <x:c r="E104" t="str">
        <x:v>Mayoral Staff III</x:v>
      </x:c>
      <x:c r="F104" t="str">
        <x:v>002</x:v>
      </x:c>
      <x:c r="G104" t="str">
        <x:v>COMMN</x:v>
      </x:c>
      <x:c r="H104" t="str">
        <x:v>0883C</x:v>
      </x:c>
      <x:c r="I104" t="str">
        <x:v>$2,567</x:v>
      </x:c>
      <x:c r="J104" t="str"/>
      <x:c r="K104" t="str"/>
      <x:c r="L104" t="str">
        <x:v>$32.0875</x:v>
      </x:c>
      <x:c r="M104" t="str">
        <x:v>$33.7000</x:v>
      </x:c>
      <x:c r="N104" t="str">
        <x:v>$35.3625</x:v>
      </x:c>
      <x:c r="O104" t="str">
        <x:v>$37.1125</x:v>
      </x:c>
      <x:c r="P104" t="str">
        <x:v>$39.0500</x:v>
      </x:c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>
        <x:f>D104&amp;"|"&amp;UPPER(G104)&amp;"|"&amp;SUBSTITUTE(C104,"/","-")</x:f>
        <x:v>0883|COMMN|2026-01-03</x:v>
      </x:c>
    </x:row>
    <x:row r="105">
      <x:c r="A105" s="22" t="n">
        <x:v>26285</x:v>
      </x:c>
      <x:c r="B105" t="str">
        <x:v>FY23-24</x:v>
      </x:c>
      <x:c r="C105" t="str">
        <x:v>2024/01/06</x:v>
      </x:c>
      <x:c r="D105" t="str">
        <x:v>0884</x:v>
      </x:c>
      <x:c r="E105" t="str">
        <x:v>Mayoral Staff IV</x:v>
      </x:c>
      <x:c r="F105" t="str">
        <x:v>002</x:v>
      </x:c>
      <x:c r="G105" t="str">
        <x:v>COMMN</x:v>
      </x:c>
      <x:c r="H105" t="str">
        <x:v>0884Y</x:v>
      </x:c>
      <x:c r="I105" t="str">
        <x:v>$2,591</x:v>
      </x:c>
      <x:c r="J105" t="str"/>
      <x:c r="K105" t="str"/>
      <x:c r="L105" t="str">
        <x:v>$32.3875</x:v>
      </x:c>
      <x:c r="M105" t="str">
        <x:v>$33.9875</x:v>
      </x:c>
      <x:c r="N105" t="str">
        <x:v>$35.7000</x:v>
      </x:c>
      <x:c r="O105" t="str">
        <x:v>$37.4250</x:v>
      </x:c>
      <x:c r="P105" t="str">
        <x:v>$39.3250</x:v>
      </x:c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>
        <x:f>D105&amp;"|"&amp;UPPER(G105)&amp;"|"&amp;SUBSTITUTE(C105,"/","-")</x:f>
        <x:v>0884|COMMN|2024-01-06</x:v>
      </x:c>
    </x:row>
    <x:row r="106">
      <x:c r="A106" s="22" t="n">
        <x:v>28027</x:v>
      </x:c>
      <x:c r="B106" t="str">
        <x:v>FY24-25</x:v>
      </x:c>
      <x:c r="C106" t="str">
        <x:v>2024/07/01</x:v>
      </x:c>
      <x:c r="D106" t="str">
        <x:v>0884</x:v>
      </x:c>
      <x:c r="E106" t="str">
        <x:v>Mayoral Staff IV</x:v>
      </x:c>
      <x:c r="F106" t="str">
        <x:v>002</x:v>
      </x:c>
      <x:c r="G106" t="str">
        <x:v>COMMN</x:v>
      </x:c>
      <x:c r="H106" t="str">
        <x:v>0884Z</x:v>
      </x:c>
      <x:c r="I106" t="str">
        <x:v>$2,630</x:v>
      </x:c>
      <x:c r="J106" t="str"/>
      <x:c r="K106" t="str"/>
      <x:c r="L106" t="str">
        <x:v>$32.8750</x:v>
      </x:c>
      <x:c r="M106" t="str">
        <x:v>$34.5000</x:v>
      </x:c>
      <x:c r="N106" t="str">
        <x:v>$36.2375</x:v>
      </x:c>
      <x:c r="O106" t="str">
        <x:v>$37.9875</x:v>
      </x:c>
      <x:c r="P106" t="str">
        <x:v>$39.9125</x:v>
      </x:c>
      <x:c r="Q106" t="str"/>
      <x:c r="R106" t="str"/>
      <x:c r="S106" t="str"/>
      <x:c r="T106" t="str"/>
      <x:c r="U106" t="str"/>
      <x:c r="V106" t="str"/>
      <x:c r="W106" t="str"/>
      <x:c r="X106" t="str"/>
      <x:c r="Y106" t="str"/>
      <x:c r="Z106" t="str"/>
      <x:c r="AA106" t="str"/>
      <x:c r="AB106" t="str"/>
      <x:c r="AC106" t="str"/>
      <x:c r="AD106" t="str"/>
      <x:c r="AE106" t="str"/>
      <x:c r="AF106" t="str">
        <x:f>D106&amp;"|"&amp;UPPER(G106)&amp;"|"&amp;SUBSTITUTE(C106,"/","-")</x:f>
        <x:v>0884|COMMN|2024-07-01</x:v>
      </x:c>
    </x:row>
    <x:row r="107">
      <x:c r="A107" s="22" t="n">
        <x:v>29733</x:v>
      </x:c>
      <x:c r="B107" t="str">
        <x:v>FY24-25</x:v>
      </x:c>
      <x:c r="C107" t="str">
        <x:v>2025/01/04</x:v>
      </x:c>
      <x:c r="D107" t="str">
        <x:v>0884</x:v>
      </x:c>
      <x:c r="E107" t="str">
        <x:v>Mayoral Staff IV</x:v>
      </x:c>
      <x:c r="F107" t="str">
        <x:v>002</x:v>
      </x:c>
      <x:c r="G107" t="str">
        <x:v>COMMN</x:v>
      </x:c>
      <x:c r="H107" t="str">
        <x:v>0884A</x:v>
      </x:c>
      <x:c r="I107" t="str">
        <x:v>$2,669</x:v>
      </x:c>
      <x:c r="J107" t="str"/>
      <x:c r="K107" t="str"/>
      <x:c r="L107" t="str">
        <x:v>$33.3625</x:v>
      </x:c>
      <x:c r="M107" t="str">
        <x:v>$35.0125</x:v>
      </x:c>
      <x:c r="N107" t="str">
        <x:v>$36.7750</x:v>
      </x:c>
      <x:c r="O107" t="str">
        <x:v>$38.5625</x:v>
      </x:c>
      <x:c r="P107" t="str">
        <x:v>$40.5125</x:v>
      </x:c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>
        <x:f>D107&amp;"|"&amp;UPPER(G107)&amp;"|"&amp;SUBSTITUTE(C107,"/","-")</x:f>
        <x:v>0884|COMMN|2025-01-04</x:v>
      </x:c>
    </x:row>
    <x:row r="108">
      <x:c r="A108" s="22" t="n">
        <x:v>31446</x:v>
      </x:c>
      <x:c r="B108" t="str">
        <x:v>FY25-26</x:v>
      </x:c>
      <x:c r="C108" t="str">
        <x:v>2025/07/01</x:v>
      </x:c>
      <x:c r="D108" t="str">
        <x:v>0884</x:v>
      </x:c>
      <x:c r="E108" t="str">
        <x:v>Mayoral Staff IV</x:v>
      </x:c>
      <x:c r="F108" t="str">
        <x:v>002</x:v>
      </x:c>
      <x:c r="G108" t="str">
        <x:v>COMMN</x:v>
      </x:c>
      <x:c r="H108" t="str">
        <x:v>0884B</x:v>
      </x:c>
      <x:c r="I108" t="str">
        <x:v>$2,723</x:v>
      </x:c>
      <x:c r="J108" t="str"/>
      <x:c r="K108" t="str"/>
      <x:c r="L108" t="str">
        <x:v>$34.0375</x:v>
      </x:c>
      <x:c r="M108" t="str">
        <x:v>$35.7125</x:v>
      </x:c>
      <x:c r="N108" t="str">
        <x:v>$37.5125</x:v>
      </x:c>
      <x:c r="O108" t="str">
        <x:v>$39.3375</x:v>
      </x:c>
      <x:c r="P108" t="str">
        <x:v>$41.3250</x:v>
      </x:c>
      <x:c r="Q108" t="str"/>
      <x:c r="R108" t="str"/>
      <x:c r="S108" t="str"/>
      <x:c r="T108" t="str"/>
      <x:c r="U108" t="str"/>
      <x:c r="V108" t="str"/>
      <x:c r="W108" t="str"/>
      <x:c r="X108" t="str"/>
      <x:c r="Y108" t="str"/>
      <x:c r="Z108" t="str"/>
      <x:c r="AA108" t="str"/>
      <x:c r="AB108" t="str"/>
      <x:c r="AC108" t="str"/>
      <x:c r="AD108" t="str"/>
      <x:c r="AE108" t="str"/>
      <x:c r="AF108" t="str">
        <x:f>D108&amp;"|"&amp;UPPER(G108)&amp;"|"&amp;SUBSTITUTE(C108,"/","-")</x:f>
        <x:v>0884|COMMN|2025-07-01</x:v>
      </x:c>
    </x:row>
    <x:row r="109">
      <x:c r="A109" s="22" t="n">
        <x:v>33132</x:v>
      </x:c>
      <x:c r="B109" t="str">
        <x:v>FY25-26</x:v>
      </x:c>
      <x:c r="C109" t="str">
        <x:v>2026/01/03</x:v>
      </x:c>
      <x:c r="D109" t="str">
        <x:v>0884</x:v>
      </x:c>
      <x:c r="E109" t="str">
        <x:v>Mayoral Staff IV</x:v>
      </x:c>
      <x:c r="F109" t="str">
        <x:v>002</x:v>
      </x:c>
      <x:c r="G109" t="str">
        <x:v>COMMN</x:v>
      </x:c>
      <x:c r="H109" t="str">
        <x:v>0884C</x:v>
      </x:c>
      <x:c r="I109" t="str">
        <x:v>$2,764</x:v>
      </x:c>
      <x:c r="J109" t="str"/>
      <x:c r="K109" t="str"/>
      <x:c r="L109" t="str">
        <x:v>$34.5500</x:v>
      </x:c>
      <x:c r="M109" t="str">
        <x:v>$36.2500</x:v>
      </x:c>
      <x:c r="N109" t="str">
        <x:v>$38.0750</x:v>
      </x:c>
      <x:c r="O109" t="str">
        <x:v>$39.9250</x:v>
      </x:c>
      <x:c r="P109" t="str">
        <x:v>$41.9500</x:v>
      </x:c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>
        <x:f>D109&amp;"|"&amp;UPPER(G109)&amp;"|"&amp;SUBSTITUTE(C109,"/","-")</x:f>
        <x:v>0884|COMMN|2026-01-03</x:v>
      </x:c>
    </x:row>
    <x:row r="110">
      <x:c r="A110" s="22" t="n">
        <x:v>26286</x:v>
      </x:c>
      <x:c r="B110" t="str">
        <x:v>FY23-24</x:v>
      </x:c>
      <x:c r="C110" t="str">
        <x:v>2024/01/06</x:v>
      </x:c>
      <x:c r="D110" t="str">
        <x:v>0885</x:v>
      </x:c>
      <x:c r="E110" t="str">
        <x:v>Mayoral Staff V</x:v>
      </x:c>
      <x:c r="F110" t="str">
        <x:v>002</x:v>
      </x:c>
      <x:c r="G110" t="str">
        <x:v>COMMN</x:v>
      </x:c>
      <x:c r="H110" t="str">
        <x:v>0885Y</x:v>
      </x:c>
      <x:c r="I110" t="str">
        <x:v>$2,705</x:v>
      </x:c>
      <x:c r="J110" t="str"/>
      <x:c r="K110" t="str"/>
      <x:c r="L110" t="str">
        <x:v>$33.8125</x:v>
      </x:c>
      <x:c r="M110" t="str">
        <x:v>$35.5375</x:v>
      </x:c>
      <x:c r="N110" t="str">
        <x:v>$37.2750</x:v>
      </x:c>
      <x:c r="O110" t="str">
        <x:v>$39.1625</x:v>
      </x:c>
      <x:c r="P110" t="str">
        <x:v>$41.1000</x:v>
      </x:c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>
        <x:f>D110&amp;"|"&amp;UPPER(G110)&amp;"|"&amp;SUBSTITUTE(C110,"/","-")</x:f>
        <x:v>0885|COMMN|2024-01-06</x:v>
      </x:c>
    </x:row>
    <x:row r="111">
      <x:c r="A111" s="22" t="n">
        <x:v>28028</x:v>
      </x:c>
      <x:c r="B111" t="str">
        <x:v>FY24-25</x:v>
      </x:c>
      <x:c r="C111" t="str">
        <x:v>2024/07/01</x:v>
      </x:c>
      <x:c r="D111" t="str">
        <x:v>0885</x:v>
      </x:c>
      <x:c r="E111" t="str">
        <x:v>Mayoral Staff V</x:v>
      </x:c>
      <x:c r="F111" t="str">
        <x:v>002</x:v>
      </x:c>
      <x:c r="G111" t="str">
        <x:v>COMMN</x:v>
      </x:c>
      <x:c r="H111" t="str">
        <x:v>0885Z</x:v>
      </x:c>
      <x:c r="I111" t="str">
        <x:v>$2,746</x:v>
      </x:c>
      <x:c r="J111" t="str"/>
      <x:c r="K111" t="str"/>
      <x:c r="L111" t="str">
        <x:v>$34.3250</x:v>
      </x:c>
      <x:c r="M111" t="str">
        <x:v>$36.0750</x:v>
      </x:c>
      <x:c r="N111" t="str">
        <x:v>$37.8375</x:v>
      </x:c>
      <x:c r="O111" t="str">
        <x:v>$39.7500</x:v>
      </x:c>
      <x:c r="P111" t="str">
        <x:v>$41.7125</x:v>
      </x:c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>
        <x:f>D111&amp;"|"&amp;UPPER(G111)&amp;"|"&amp;SUBSTITUTE(C111,"/","-")</x:f>
        <x:v>0885|COMMN|2024-07-01</x:v>
      </x:c>
    </x:row>
    <x:row r="112">
      <x:c r="A112" s="22" t="n">
        <x:v>29734</x:v>
      </x:c>
      <x:c r="B112" t="str">
        <x:v>FY24-25</x:v>
      </x:c>
      <x:c r="C112" t="str">
        <x:v>2025/01/04</x:v>
      </x:c>
      <x:c r="D112" t="str">
        <x:v>0885</x:v>
      </x:c>
      <x:c r="E112" t="str">
        <x:v>Mayoral Staff V</x:v>
      </x:c>
      <x:c r="F112" t="str">
        <x:v>002</x:v>
      </x:c>
      <x:c r="G112" t="str">
        <x:v>COMMN</x:v>
      </x:c>
      <x:c r="H112" t="str">
        <x:v>0885A</x:v>
      </x:c>
      <x:c r="I112" t="str">
        <x:v>$2,787</x:v>
      </x:c>
      <x:c r="J112" t="str"/>
      <x:c r="K112" t="str"/>
      <x:c r="L112" t="str">
        <x:v>$34.8375</x:v>
      </x:c>
      <x:c r="M112" t="str">
        <x:v>$36.6125</x:v>
      </x:c>
      <x:c r="N112" t="str">
        <x:v>$38.4000</x:v>
      </x:c>
      <x:c r="O112" t="str">
        <x:v>$40.3500</x:v>
      </x:c>
      <x:c r="P112" t="str">
        <x:v>$42.3375</x:v>
      </x:c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>
        <x:f>D112&amp;"|"&amp;UPPER(G112)&amp;"|"&amp;SUBSTITUTE(C112,"/","-")</x:f>
        <x:v>0885|COMMN|2025-01-04</x:v>
      </x:c>
    </x:row>
    <x:row r="113">
      <x:c r="A113" s="22" t="n">
        <x:v>31447</x:v>
      </x:c>
      <x:c r="B113" t="str">
        <x:v>FY25-26</x:v>
      </x:c>
      <x:c r="C113" t="str">
        <x:v>2025/07/01</x:v>
      </x:c>
      <x:c r="D113" t="str">
        <x:v>0885</x:v>
      </x:c>
      <x:c r="E113" t="str">
        <x:v>Mayoral Staff V</x:v>
      </x:c>
      <x:c r="F113" t="str">
        <x:v>002</x:v>
      </x:c>
      <x:c r="G113" t="str">
        <x:v>COMMN</x:v>
      </x:c>
      <x:c r="H113" t="str">
        <x:v>0885B</x:v>
      </x:c>
      <x:c r="I113" t="str">
        <x:v>$2,843</x:v>
      </x:c>
      <x:c r="J113" t="str"/>
      <x:c r="K113" t="str"/>
      <x:c r="L113" t="str">
        <x:v>$35.5375</x:v>
      </x:c>
      <x:c r="M113" t="str">
        <x:v>$37.3500</x:v>
      </x:c>
      <x:c r="N113" t="str">
        <x:v>$39.1750</x:v>
      </x:c>
      <x:c r="O113" t="str">
        <x:v>$41.1625</x:v>
      </x:c>
      <x:c r="P113" t="str">
        <x:v>$43.1875</x:v>
      </x:c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>
        <x:f>D113&amp;"|"&amp;UPPER(G113)&amp;"|"&amp;SUBSTITUTE(C113,"/","-")</x:f>
        <x:v>0885|COMMN|2025-07-01</x:v>
      </x:c>
    </x:row>
    <x:row r="114">
      <x:c r="A114" s="22" t="n">
        <x:v>33133</x:v>
      </x:c>
      <x:c r="B114" t="str">
        <x:v>FY25-26</x:v>
      </x:c>
      <x:c r="C114" t="str">
        <x:v>2026/01/03</x:v>
      </x:c>
      <x:c r="D114" t="str">
        <x:v>0885</x:v>
      </x:c>
      <x:c r="E114" t="str">
        <x:v>Mayoral Staff V</x:v>
      </x:c>
      <x:c r="F114" t="str">
        <x:v>002</x:v>
      </x:c>
      <x:c r="G114" t="str">
        <x:v>COMMN</x:v>
      </x:c>
      <x:c r="H114" t="str">
        <x:v>0885C</x:v>
      </x:c>
      <x:c r="I114" t="str">
        <x:v>$2,886</x:v>
      </x:c>
      <x:c r="J114" t="str"/>
      <x:c r="K114" t="str"/>
      <x:c r="L114" t="str">
        <x:v>$36.0750</x:v>
      </x:c>
      <x:c r="M114" t="str">
        <x:v>$37.9125</x:v>
      </x:c>
      <x:c r="N114" t="str">
        <x:v>$39.7625</x:v>
      </x:c>
      <x:c r="O114" t="str">
        <x:v>$41.7750</x:v>
      </x:c>
      <x:c r="P114" t="str">
        <x:v>$43.8375</x:v>
      </x:c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>
        <x:f>D114&amp;"|"&amp;UPPER(G114)&amp;"|"&amp;SUBSTITUTE(C114,"/","-")</x:f>
        <x:v>0885|COMMN|2026-01-03</x:v>
      </x:c>
    </x:row>
    <x:row r="115">
      <x:c r="A115" s="22" t="n">
        <x:v>26287</x:v>
      </x:c>
      <x:c r="B115" t="str">
        <x:v>FY23-24</x:v>
      </x:c>
      <x:c r="C115" t="str">
        <x:v>2024/01/06</x:v>
      </x:c>
      <x:c r="D115" t="str">
        <x:v>0886</x:v>
      </x:c>
      <x:c r="E115" t="str">
        <x:v>Mayoral Staff VI</x:v>
      </x:c>
      <x:c r="F115" t="str">
        <x:v>002</x:v>
      </x:c>
      <x:c r="G115" t="str">
        <x:v>COMMN</x:v>
      </x:c>
      <x:c r="H115" t="str">
        <x:v>0886Y</x:v>
      </x:c>
      <x:c r="I115" t="str">
        <x:v>$2,897</x:v>
      </x:c>
      <x:c r="J115" t="str"/>
      <x:c r="K115" t="str"/>
      <x:c r="L115" t="str">
        <x:v>$36.2125</x:v>
      </x:c>
      <x:c r="M115" t="str">
        <x:v>$38.0125</x:v>
      </x:c>
      <x:c r="N115" t="str">
        <x:v>$39.9000</x:v>
      </x:c>
      <x:c r="O115" t="str">
        <x:v>$41.9250</x:v>
      </x:c>
      <x:c r="P115" t="str">
        <x:v>$44.0125</x:v>
      </x:c>
      <x:c r="Q115" t="str"/>
      <x:c r="R115" t="str"/>
      <x:c r="S115" t="str"/>
      <x:c r="T115" t="str"/>
      <x:c r="U115" t="str"/>
      <x:c r="V115" t="str"/>
      <x:c r="W115" t="str"/>
      <x:c r="X115" t="str"/>
      <x:c r="Y115" t="str"/>
      <x:c r="Z115" t="str"/>
      <x:c r="AA115" t="str"/>
      <x:c r="AB115" t="str"/>
      <x:c r="AC115" t="str"/>
      <x:c r="AD115" t="str"/>
      <x:c r="AE115" t="str"/>
      <x:c r="AF115" t="str">
        <x:f>D115&amp;"|"&amp;UPPER(G115)&amp;"|"&amp;SUBSTITUTE(C115,"/","-")</x:f>
        <x:v>0886|COMMN|2024-01-06</x:v>
      </x:c>
    </x:row>
    <x:row r="116">
      <x:c r="A116" s="22" t="n">
        <x:v>28029</x:v>
      </x:c>
      <x:c r="B116" t="str">
        <x:v>FY24-25</x:v>
      </x:c>
      <x:c r="C116" t="str">
        <x:v>2024/07/01</x:v>
      </x:c>
      <x:c r="D116" t="str">
        <x:v>0886</x:v>
      </x:c>
      <x:c r="E116" t="str">
        <x:v>Mayoral Staff VI</x:v>
      </x:c>
      <x:c r="F116" t="str">
        <x:v>002</x:v>
      </x:c>
      <x:c r="G116" t="str">
        <x:v>COMMN</x:v>
      </x:c>
      <x:c r="H116" t="str">
        <x:v>0886Z</x:v>
      </x:c>
      <x:c r="I116" t="str">
        <x:v>$2,940</x:v>
      </x:c>
      <x:c r="J116" t="str"/>
      <x:c r="K116" t="str"/>
      <x:c r="L116" t="str">
        <x:v>$36.7500</x:v>
      </x:c>
      <x:c r="M116" t="str">
        <x:v>$38.5875</x:v>
      </x:c>
      <x:c r="N116" t="str">
        <x:v>$40.5000</x:v>
      </x:c>
      <x:c r="O116" t="str">
        <x:v>$42.5500</x:v>
      </x:c>
      <x:c r="P116" t="str">
        <x:v>$44.6750</x:v>
      </x:c>
      <x:c r="Q116" t="str"/>
      <x:c r="R116" t="str"/>
      <x:c r="S116" t="str"/>
      <x:c r="T116" t="str"/>
      <x:c r="U116" t="str"/>
      <x:c r="V116" t="str"/>
      <x:c r="W116" t="str"/>
      <x:c r="X116" t="str"/>
      <x:c r="Y116" t="str"/>
      <x:c r="Z116" t="str"/>
      <x:c r="AA116" t="str"/>
      <x:c r="AB116" t="str"/>
      <x:c r="AC116" t="str"/>
      <x:c r="AD116" t="str"/>
      <x:c r="AE116" t="str"/>
      <x:c r="AF116" t="str">
        <x:f>D116&amp;"|"&amp;UPPER(G116)&amp;"|"&amp;SUBSTITUTE(C116,"/","-")</x:f>
        <x:v>0886|COMMN|2024-07-01</x:v>
      </x:c>
    </x:row>
    <x:row r="117">
      <x:c r="A117" s="22" t="n">
        <x:v>29735</x:v>
      </x:c>
      <x:c r="B117" t="str">
        <x:v>FY24-25</x:v>
      </x:c>
      <x:c r="C117" t="str">
        <x:v>2025/01/04</x:v>
      </x:c>
      <x:c r="D117" t="str">
        <x:v>0886</x:v>
      </x:c>
      <x:c r="E117" t="str">
        <x:v>Mayoral Staff VI</x:v>
      </x:c>
      <x:c r="F117" t="str">
        <x:v>002</x:v>
      </x:c>
      <x:c r="G117" t="str">
        <x:v>COMMN</x:v>
      </x:c>
      <x:c r="H117" t="str">
        <x:v>0886A</x:v>
      </x:c>
      <x:c r="I117" t="str">
        <x:v>$2,984</x:v>
      </x:c>
      <x:c r="J117" t="str"/>
      <x:c r="K117" t="str"/>
      <x:c r="L117" t="str">
        <x:v>$37.3000</x:v>
      </x:c>
      <x:c r="M117" t="str">
        <x:v>$39.1625</x:v>
      </x:c>
      <x:c r="N117" t="str">
        <x:v>$41.1125</x:v>
      </x:c>
      <x:c r="O117" t="str">
        <x:v>$43.1875</x:v>
      </x:c>
      <x:c r="P117" t="str">
        <x:v>$45.3500</x:v>
      </x:c>
      <x:c r="Q117" t="str"/>
      <x:c r="R117" t="str"/>
      <x:c r="S117" t="str"/>
      <x:c r="T117" t="str"/>
      <x:c r="U117" t="str"/>
      <x:c r="V117" t="str"/>
      <x:c r="W117" t="str"/>
      <x:c r="X117" t="str"/>
      <x:c r="Y117" t="str"/>
      <x:c r="Z117" t="str"/>
      <x:c r="AA117" t="str"/>
      <x:c r="AB117" t="str"/>
      <x:c r="AC117" t="str"/>
      <x:c r="AD117" t="str"/>
      <x:c r="AE117" t="str"/>
      <x:c r="AF117" t="str">
        <x:f>D117&amp;"|"&amp;UPPER(G117)&amp;"|"&amp;SUBSTITUTE(C117,"/","-")</x:f>
        <x:v>0886|COMMN|2025-01-04</x:v>
      </x:c>
    </x:row>
    <x:row r="118">
      <x:c r="A118" s="22" t="n">
        <x:v>31448</x:v>
      </x:c>
      <x:c r="B118" t="str">
        <x:v>FY25-26</x:v>
      </x:c>
      <x:c r="C118" t="str">
        <x:v>2025/07/01</x:v>
      </x:c>
      <x:c r="D118" t="str">
        <x:v>0886</x:v>
      </x:c>
      <x:c r="E118" t="str">
        <x:v>Mayoral Staff VI</x:v>
      </x:c>
      <x:c r="F118" t="str">
        <x:v>002</x:v>
      </x:c>
      <x:c r="G118" t="str">
        <x:v>COMMN</x:v>
      </x:c>
      <x:c r="H118" t="str">
        <x:v>0886B</x:v>
      </x:c>
      <x:c r="I118" t="str">
        <x:v>$3,044</x:v>
      </x:c>
      <x:c r="J118" t="str"/>
      <x:c r="K118" t="str"/>
      <x:c r="L118" t="str">
        <x:v>$38.0500</x:v>
      </x:c>
      <x:c r="M118" t="str">
        <x:v>$39.9500</x:v>
      </x:c>
      <x:c r="N118" t="str">
        <x:v>$41.9375</x:v>
      </x:c>
      <x:c r="O118" t="str">
        <x:v>$44.0500</x:v>
      </x:c>
      <x:c r="P118" t="str">
        <x:v>$46.2625</x:v>
      </x:c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>
        <x:f>D118&amp;"|"&amp;UPPER(G118)&amp;"|"&amp;SUBSTITUTE(C118,"/","-")</x:f>
        <x:v>0886|COMMN|2025-07-01</x:v>
      </x:c>
    </x:row>
    <x:row r="119">
      <x:c r="A119" s="22" t="n">
        <x:v>33134</x:v>
      </x:c>
      <x:c r="B119" t="str">
        <x:v>FY25-26</x:v>
      </x:c>
      <x:c r="C119" t="str">
        <x:v>2026/01/03</x:v>
      </x:c>
      <x:c r="D119" t="str">
        <x:v>0886</x:v>
      </x:c>
      <x:c r="E119" t="str">
        <x:v>Mayoral Staff VI</x:v>
      </x:c>
      <x:c r="F119" t="str">
        <x:v>002</x:v>
      </x:c>
      <x:c r="G119" t="str">
        <x:v>COMMN</x:v>
      </x:c>
      <x:c r="H119" t="str">
        <x:v>0886C</x:v>
      </x:c>
      <x:c r="I119" t="str">
        <x:v>$3,090</x:v>
      </x:c>
      <x:c r="J119" t="str"/>
      <x:c r="K119" t="str"/>
      <x:c r="L119" t="str">
        <x:v>$38.6250</x:v>
      </x:c>
      <x:c r="M119" t="str">
        <x:v>$40.5500</x:v>
      </x:c>
      <x:c r="N119" t="str">
        <x:v>$42.5625</x:v>
      </x:c>
      <x:c r="O119" t="str">
        <x:v>$44.7125</x:v>
      </x:c>
      <x:c r="P119" t="str">
        <x:v>$46.9625</x:v>
      </x:c>
      <x:c r="Q119" t="str"/>
      <x:c r="R119" t="str"/>
      <x:c r="S119" t="str"/>
      <x:c r="T119" t="str"/>
      <x:c r="U119" t="str"/>
      <x:c r="V119" t="str"/>
      <x:c r="W119" t="str"/>
      <x:c r="X119" t="str"/>
      <x:c r="Y119" t="str"/>
      <x:c r="Z119" t="str"/>
      <x:c r="AA119" t="str"/>
      <x:c r="AB119" t="str"/>
      <x:c r="AC119" t="str"/>
      <x:c r="AD119" t="str"/>
      <x:c r="AE119" t="str"/>
      <x:c r="AF119" t="str">
        <x:f>D119&amp;"|"&amp;UPPER(G119)&amp;"|"&amp;SUBSTITUTE(C119,"/","-")</x:f>
        <x:v>0886|COMMN|2026-01-03</x:v>
      </x:c>
    </x:row>
    <x:row r="120">
      <x:c r="A120" s="22" t="n">
        <x:v>26288</x:v>
      </x:c>
      <x:c r="B120" t="str">
        <x:v>FY23-24</x:v>
      </x:c>
      <x:c r="C120" t="str">
        <x:v>2024/01/06</x:v>
      </x:c>
      <x:c r="D120" t="str">
        <x:v>0887</x:v>
      </x:c>
      <x:c r="E120" t="str">
        <x:v>Mayoral Staff VII</x:v>
      </x:c>
      <x:c r="F120" t="str">
        <x:v>002</x:v>
      </x:c>
      <x:c r="G120" t="str">
        <x:v>COMMN</x:v>
      </x:c>
      <x:c r="H120" t="str">
        <x:v>0887Y</x:v>
      </x:c>
      <x:c r="I120" t="str">
        <x:v>$3,114</x:v>
      </x:c>
      <x:c r="J120" t="str"/>
      <x:c r="K120" t="str"/>
      <x:c r="L120" t="str">
        <x:v>$38.9250</x:v>
      </x:c>
      <x:c r="M120" t="str">
        <x:v>$40.8875</x:v>
      </x:c>
      <x:c r="N120" t="str">
        <x:v>$42.9250</x:v>
      </x:c>
      <x:c r="O120" t="str">
        <x:v>$45.0750</x:v>
      </x:c>
      <x:c r="P120" t="str">
        <x:v>$47.3125</x:v>
      </x:c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>
        <x:f>D120&amp;"|"&amp;UPPER(G120)&amp;"|"&amp;SUBSTITUTE(C120,"/","-")</x:f>
        <x:v>0887|COMMN|2024-01-06</x:v>
      </x:c>
    </x:row>
    <x:row r="121">
      <x:c r="A121" s="22" t="n">
        <x:v>28030</x:v>
      </x:c>
      <x:c r="B121" t="str">
        <x:v>FY24-25</x:v>
      </x:c>
      <x:c r="C121" t="str">
        <x:v>2024/07/01</x:v>
      </x:c>
      <x:c r="D121" t="str">
        <x:v>0887</x:v>
      </x:c>
      <x:c r="E121" t="str">
        <x:v>Mayoral Staff VII</x:v>
      </x:c>
      <x:c r="F121" t="str">
        <x:v>002</x:v>
      </x:c>
      <x:c r="G121" t="str">
        <x:v>COMMN</x:v>
      </x:c>
      <x:c r="H121" t="str">
        <x:v>0887Z</x:v>
      </x:c>
      <x:c r="I121" t="str">
        <x:v>$3,161</x:v>
      </x:c>
      <x:c r="J121" t="str"/>
      <x:c r="K121" t="str"/>
      <x:c r="L121" t="str">
        <x:v>$39.5125</x:v>
      </x:c>
      <x:c r="M121" t="str">
        <x:v>$41.5000</x:v>
      </x:c>
      <x:c r="N121" t="str">
        <x:v>$43.5750</x:v>
      </x:c>
      <x:c r="O121" t="str">
        <x:v>$45.7500</x:v>
      </x:c>
      <x:c r="P121" t="str">
        <x:v>$48.0250</x:v>
      </x:c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>
        <x:f>D121&amp;"|"&amp;UPPER(G121)&amp;"|"&amp;SUBSTITUTE(C121,"/","-")</x:f>
        <x:v>0887|COMMN|2024-07-01</x:v>
      </x:c>
    </x:row>
    <x:row r="122">
      <x:c r="A122" s="22" t="n">
        <x:v>29736</x:v>
      </x:c>
      <x:c r="B122" t="str">
        <x:v>FY24-25</x:v>
      </x:c>
      <x:c r="C122" t="str">
        <x:v>2025/01/04</x:v>
      </x:c>
      <x:c r="D122" t="str">
        <x:v>0887</x:v>
      </x:c>
      <x:c r="E122" t="str">
        <x:v>Mayoral Staff VII</x:v>
      </x:c>
      <x:c r="F122" t="str">
        <x:v>002</x:v>
      </x:c>
      <x:c r="G122" t="str">
        <x:v>COMMN</x:v>
      </x:c>
      <x:c r="H122" t="str">
        <x:v>0887A</x:v>
      </x:c>
      <x:c r="I122" t="str">
        <x:v>$3,208</x:v>
      </x:c>
      <x:c r="J122" t="str"/>
      <x:c r="K122" t="str"/>
      <x:c r="L122" t="str">
        <x:v>$40.1000</x:v>
      </x:c>
      <x:c r="M122" t="str">
        <x:v>$42.1250</x:v>
      </x:c>
      <x:c r="N122" t="str">
        <x:v>$44.2250</x:v>
      </x:c>
      <x:c r="O122" t="str">
        <x:v>$46.4375</x:v>
      </x:c>
      <x:c r="P122" t="str">
        <x:v>$48.7500</x:v>
      </x:c>
      <x:c r="Q122" t="str"/>
      <x:c r="R122" t="str"/>
      <x:c r="S122" t="str"/>
      <x:c r="T122" t="str"/>
      <x:c r="U122" t="str"/>
      <x:c r="V122" t="str"/>
      <x:c r="W122" t="str"/>
      <x:c r="X122" t="str"/>
      <x:c r="Y122" t="str"/>
      <x:c r="Z122" t="str"/>
      <x:c r="AA122" t="str"/>
      <x:c r="AB122" t="str"/>
      <x:c r="AC122" t="str"/>
      <x:c r="AD122" t="str"/>
      <x:c r="AE122" t="str"/>
      <x:c r="AF122" t="str">
        <x:f>D122&amp;"|"&amp;UPPER(G122)&amp;"|"&amp;SUBSTITUTE(C122,"/","-")</x:f>
        <x:v>0887|COMMN|2025-01-04</x:v>
      </x:c>
    </x:row>
    <x:row r="123">
      <x:c r="A123" s="22" t="n">
        <x:v>31449</x:v>
      </x:c>
      <x:c r="B123" t="str">
        <x:v>FY25-26</x:v>
      </x:c>
      <x:c r="C123" t="str">
        <x:v>2025/07/01</x:v>
      </x:c>
      <x:c r="D123" t="str">
        <x:v>0887</x:v>
      </x:c>
      <x:c r="E123" t="str">
        <x:v>Mayoral Staff VII</x:v>
      </x:c>
      <x:c r="F123" t="str">
        <x:v>002</x:v>
      </x:c>
      <x:c r="G123" t="str">
        <x:v>COMMN</x:v>
      </x:c>
      <x:c r="H123" t="str">
        <x:v>0887B</x:v>
      </x:c>
      <x:c r="I123" t="str">
        <x:v>$3,272</x:v>
      </x:c>
      <x:c r="J123" t="str"/>
      <x:c r="K123" t="str"/>
      <x:c r="L123" t="str">
        <x:v>$40.9000</x:v>
      </x:c>
      <x:c r="M123" t="str">
        <x:v>$42.9750</x:v>
      </x:c>
      <x:c r="N123" t="str">
        <x:v>$45.1125</x:v>
      </x:c>
      <x:c r="O123" t="str">
        <x:v>$47.3750</x:v>
      </x:c>
      <x:c r="P123" t="str">
        <x:v>$49.7250</x:v>
      </x:c>
      <x:c r="Q123" t="str"/>
      <x:c r="R123" t="str"/>
      <x:c r="S123" t="str"/>
      <x:c r="T123" t="str"/>
      <x:c r="U123" t="str"/>
      <x:c r="V123" t="str"/>
      <x:c r="W123" t="str"/>
      <x:c r="X123" t="str"/>
      <x:c r="Y123" t="str"/>
      <x:c r="Z123" t="str"/>
      <x:c r="AA123" t="str"/>
      <x:c r="AB123" t="str"/>
      <x:c r="AC123" t="str"/>
      <x:c r="AD123" t="str"/>
      <x:c r="AE123" t="str"/>
      <x:c r="AF123" t="str">
        <x:f>D123&amp;"|"&amp;UPPER(G123)&amp;"|"&amp;SUBSTITUTE(C123,"/","-")</x:f>
        <x:v>0887|COMMN|2025-07-01</x:v>
      </x:c>
    </x:row>
    <x:row r="124">
      <x:c r="A124" s="22" t="n">
        <x:v>33135</x:v>
      </x:c>
      <x:c r="B124" t="str">
        <x:v>FY25-26</x:v>
      </x:c>
      <x:c r="C124" t="str">
        <x:v>2026/01/03</x:v>
      </x:c>
      <x:c r="D124" t="str">
        <x:v>0887</x:v>
      </x:c>
      <x:c r="E124" t="str">
        <x:v>Mayoral Staff VII</x:v>
      </x:c>
      <x:c r="F124" t="str">
        <x:v>002</x:v>
      </x:c>
      <x:c r="G124" t="str">
        <x:v>COMMN</x:v>
      </x:c>
      <x:c r="H124" t="str">
        <x:v>0887C</x:v>
      </x:c>
      <x:c r="I124" t="str">
        <x:v>$3,321</x:v>
      </x:c>
      <x:c r="J124" t="str"/>
      <x:c r="K124" t="str"/>
      <x:c r="L124" t="str">
        <x:v>$41.5125</x:v>
      </x:c>
      <x:c r="M124" t="str">
        <x:v>$43.6250</x:v>
      </x:c>
      <x:c r="N124" t="str">
        <x:v>$45.7875</x:v>
      </x:c>
      <x:c r="O124" t="str">
        <x:v>$48.0875</x:v>
      </x:c>
      <x:c r="P124" t="str">
        <x:v>$50.4750</x:v>
      </x:c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>
        <x:f>D124&amp;"|"&amp;UPPER(G124)&amp;"|"&amp;SUBSTITUTE(C124,"/","-")</x:f>
        <x:v>0887|COMMN|2026-01-03</x:v>
      </x:c>
    </x:row>
    <x:row r="125">
      <x:c r="A125" s="22" t="n">
        <x:v>26289</x:v>
      </x:c>
      <x:c r="B125" t="str">
        <x:v>FY23-24</x:v>
      </x:c>
      <x:c r="C125" t="str">
        <x:v>2024/01/06</x:v>
      </x:c>
      <x:c r="D125" t="str">
        <x:v>0888</x:v>
      </x:c>
      <x:c r="E125" t="str">
        <x:v>Mayoral Staff VIII</x:v>
      </x:c>
      <x:c r="F125" t="str">
        <x:v>002</x:v>
      </x:c>
      <x:c r="G125" t="str">
        <x:v>COMMN</x:v>
      </x:c>
      <x:c r="H125" t="str">
        <x:v>0888Y</x:v>
      </x:c>
      <x:c r="I125" t="str">
        <x:v>$3,354</x:v>
      </x:c>
      <x:c r="J125" t="str"/>
      <x:c r="K125" t="str"/>
      <x:c r="L125" t="str">
        <x:v>$41.9250</x:v>
      </x:c>
      <x:c r="M125" t="str">
        <x:v>$44.0125</x:v>
      </x:c>
      <x:c r="N125" t="str">
        <x:v>$46.2125</x:v>
      </x:c>
      <x:c r="O125" t="str">
        <x:v>$48.5375</x:v>
      </x:c>
      <x:c r="P125" t="str">
        <x:v>$50.9625</x:v>
      </x:c>
      <x:c r="Q125" t="str"/>
      <x:c r="R12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t="str"/>
      <x:c r="AD125" t="str"/>
      <x:c r="AE125" t="str"/>
      <x:c r="AF125" t="str">
        <x:f>D125&amp;"|"&amp;UPPER(G125)&amp;"|"&amp;SUBSTITUTE(C125,"/","-")</x:f>
        <x:v>0888|COMMN|2024-01-06</x:v>
      </x:c>
    </x:row>
    <x:row r="126">
      <x:c r="A126" s="22" t="n">
        <x:v>28031</x:v>
      </x:c>
      <x:c r="B126" t="str">
        <x:v>FY24-25</x:v>
      </x:c>
      <x:c r="C126" t="str">
        <x:v>2024/07/01</x:v>
      </x:c>
      <x:c r="D126" t="str">
        <x:v>0888</x:v>
      </x:c>
      <x:c r="E126" t="str">
        <x:v>Mayoral Staff VIII</x:v>
      </x:c>
      <x:c r="F126" t="str">
        <x:v>002</x:v>
      </x:c>
      <x:c r="G126" t="str">
        <x:v>COMMN</x:v>
      </x:c>
      <x:c r="H126" t="str">
        <x:v>0888Z</x:v>
      </x:c>
      <x:c r="I126" t="str">
        <x:v>$3,404</x:v>
      </x:c>
      <x:c r="J126" t="str"/>
      <x:c r="K126" t="str"/>
      <x:c r="L126" t="str">
        <x:v>$42.5500</x:v>
      </x:c>
      <x:c r="M126" t="str">
        <x:v>$44.6750</x:v>
      </x:c>
      <x:c r="N126" t="str">
        <x:v>$46.9000</x:v>
      </x:c>
      <x:c r="O126" t="str">
        <x:v>$49.2625</x:v>
      </x:c>
      <x:c r="P126" t="str">
        <x:v>$51.7250</x:v>
      </x:c>
      <x:c r="Q126" t="str"/>
      <x:c r="R126" t="str"/>
      <x:c r="S126" t="str"/>
      <x:c r="T126" t="str"/>
      <x:c r="U126" t="str"/>
      <x:c r="V126" t="str"/>
      <x:c r="W126" t="str"/>
      <x:c r="X126" t="str"/>
      <x:c r="Y126" t="str"/>
      <x:c r="Z126" t="str"/>
      <x:c r="AA126" t="str"/>
      <x:c r="AB126" t="str"/>
      <x:c r="AC126" t="str"/>
      <x:c r="AD126" t="str"/>
      <x:c r="AE126" t="str"/>
      <x:c r="AF126" t="str">
        <x:f>D126&amp;"|"&amp;UPPER(G126)&amp;"|"&amp;SUBSTITUTE(C126,"/","-")</x:f>
        <x:v>0888|COMMN|2024-07-01</x:v>
      </x:c>
    </x:row>
    <x:row r="127">
      <x:c r="A127" s="22" t="n">
        <x:v>29737</x:v>
      </x:c>
      <x:c r="B127" t="str">
        <x:v>FY24-25</x:v>
      </x:c>
      <x:c r="C127" t="str">
        <x:v>2025/01/04</x:v>
      </x:c>
      <x:c r="D127" t="str">
        <x:v>0888</x:v>
      </x:c>
      <x:c r="E127" t="str">
        <x:v>Mayoral Staff VIII</x:v>
      </x:c>
      <x:c r="F127" t="str">
        <x:v>002</x:v>
      </x:c>
      <x:c r="G127" t="str">
        <x:v>COMMN</x:v>
      </x:c>
      <x:c r="H127" t="str">
        <x:v>0888A</x:v>
      </x:c>
      <x:c r="I127" t="str">
        <x:v>$3,455</x:v>
      </x:c>
      <x:c r="J127" t="str"/>
      <x:c r="K127" t="str"/>
      <x:c r="L127" t="str">
        <x:v>$43.1875</x:v>
      </x:c>
      <x:c r="M127" t="str">
        <x:v>$45.3500</x:v>
      </x:c>
      <x:c r="N127" t="str">
        <x:v>$47.6000</x:v>
      </x:c>
      <x:c r="O127" t="str">
        <x:v>$50.0000</x:v>
      </x:c>
      <x:c r="P127" t="str">
        <x:v>$52.5000</x:v>
      </x:c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>
        <x:f>D127&amp;"|"&amp;UPPER(G127)&amp;"|"&amp;SUBSTITUTE(C127,"/","-")</x:f>
        <x:v>0888|COMMN|2025-01-04</x:v>
      </x:c>
    </x:row>
    <x:row r="128">
      <x:c r="A128" s="22" t="n">
        <x:v>31450</x:v>
      </x:c>
      <x:c r="B128" t="str">
        <x:v>FY25-26</x:v>
      </x:c>
      <x:c r="C128" t="str">
        <x:v>2025/07/01</x:v>
      </x:c>
      <x:c r="D128" t="str">
        <x:v>0888</x:v>
      </x:c>
      <x:c r="E128" t="str">
        <x:v>Mayoral Staff VIII</x:v>
      </x:c>
      <x:c r="F128" t="str">
        <x:v>002</x:v>
      </x:c>
      <x:c r="G128" t="str">
        <x:v>COMMN</x:v>
      </x:c>
      <x:c r="H128" t="str">
        <x:v>0888B</x:v>
      </x:c>
      <x:c r="I128" t="str">
        <x:v>$3,524</x:v>
      </x:c>
      <x:c r="J128" t="str"/>
      <x:c r="K128" t="str"/>
      <x:c r="L128" t="str">
        <x:v>$44.0500</x:v>
      </x:c>
      <x:c r="M128" t="str">
        <x:v>$46.2625</x:v>
      </x:c>
      <x:c r="N128" t="str">
        <x:v>$48.5625</x:v>
      </x:c>
      <x:c r="O128" t="str">
        <x:v>$51.0000</x:v>
      </x:c>
      <x:c r="P128" t="str">
        <x:v>$53.5500</x:v>
      </x:c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>
        <x:f>D128&amp;"|"&amp;UPPER(G128)&amp;"|"&amp;SUBSTITUTE(C128,"/","-")</x:f>
        <x:v>0888|COMMN|2025-07-01</x:v>
      </x:c>
    </x:row>
    <x:row r="129">
      <x:c r="A129" s="22" t="n">
        <x:v>33136</x:v>
      </x:c>
      <x:c r="B129" t="str">
        <x:v>FY25-26</x:v>
      </x:c>
      <x:c r="C129" t="str">
        <x:v>2026/01/03</x:v>
      </x:c>
      <x:c r="D129" t="str">
        <x:v>0888</x:v>
      </x:c>
      <x:c r="E129" t="str">
        <x:v>Mayoral Staff VIII</x:v>
      </x:c>
      <x:c r="F129" t="str">
        <x:v>002</x:v>
      </x:c>
      <x:c r="G129" t="str">
        <x:v>COMMN</x:v>
      </x:c>
      <x:c r="H129" t="str">
        <x:v>0888C</x:v>
      </x:c>
      <x:c r="I129" t="str">
        <x:v>$3,577</x:v>
      </x:c>
      <x:c r="J129" t="str"/>
      <x:c r="K129" t="str"/>
      <x:c r="L129" t="str">
        <x:v>$44.7125</x:v>
      </x:c>
      <x:c r="M129" t="str">
        <x:v>$46.9625</x:v>
      </x:c>
      <x:c r="N129" t="str">
        <x:v>$49.2875</x:v>
      </x:c>
      <x:c r="O129" t="str">
        <x:v>$51.7625</x:v>
      </x:c>
      <x:c r="P129" t="str">
        <x:v>$54.3500</x:v>
      </x:c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>
        <x:f>D129&amp;"|"&amp;UPPER(G129)&amp;"|"&amp;SUBSTITUTE(C129,"/","-")</x:f>
        <x:v>0888|COMMN|2026-01-03</x:v>
      </x:c>
    </x:row>
    <x:row r="130">
      <x:c r="A130" s="22" t="n">
        <x:v>26290</x:v>
      </x:c>
      <x:c r="B130" t="str">
        <x:v>FY23-24</x:v>
      </x:c>
      <x:c r="C130" t="str">
        <x:v>2024/01/06</x:v>
      </x:c>
      <x:c r="D130" t="str">
        <x:v>0889</x:v>
      </x:c>
      <x:c r="E130" t="str">
        <x:v>Mayoral Staff IX</x:v>
      </x:c>
      <x:c r="F130" t="str">
        <x:v>002</x:v>
      </x:c>
      <x:c r="G130" t="str">
        <x:v>COMMN</x:v>
      </x:c>
      <x:c r="H130" t="str">
        <x:v>0889Y</x:v>
      </x:c>
      <x:c r="I130" t="str">
        <x:v>$3,606</x:v>
      </x:c>
      <x:c r="J130" t="str"/>
      <x:c r="K130" t="str"/>
      <x:c r="L130" t="str">
        <x:v>$45.0750</x:v>
      </x:c>
      <x:c r="M130" t="str">
        <x:v>$47.3125</x:v>
      </x:c>
      <x:c r="N130" t="str">
        <x:v>$49.7125</x:v>
      </x:c>
      <x:c r="O130" t="str">
        <x:v>$52.2000</x:v>
      </x:c>
      <x:c r="P130" t="str">
        <x:v>$54.7875</x:v>
      </x:c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>
        <x:f>D130&amp;"|"&amp;UPPER(G130)&amp;"|"&amp;SUBSTITUTE(C130,"/","-")</x:f>
        <x:v>0889|COMMN|2024-01-06</x:v>
      </x:c>
    </x:row>
    <x:row r="131">
      <x:c r="A131" s="22" t="n">
        <x:v>28032</x:v>
      </x:c>
      <x:c r="B131" t="str">
        <x:v>FY24-25</x:v>
      </x:c>
      <x:c r="C131" t="str">
        <x:v>2024/07/01</x:v>
      </x:c>
      <x:c r="D131" t="str">
        <x:v>0889</x:v>
      </x:c>
      <x:c r="E131" t="str">
        <x:v>Mayoral Staff IX</x:v>
      </x:c>
      <x:c r="F131" t="str">
        <x:v>002</x:v>
      </x:c>
      <x:c r="G131" t="str">
        <x:v>COMMN</x:v>
      </x:c>
      <x:c r="H131" t="str">
        <x:v>0889Z</x:v>
      </x:c>
      <x:c r="I131" t="str">
        <x:v>$3,660</x:v>
      </x:c>
      <x:c r="J131" t="str"/>
      <x:c r="K131" t="str"/>
      <x:c r="L131" t="str">
        <x:v>$45.7500</x:v>
      </x:c>
      <x:c r="M131" t="str">
        <x:v>$48.0250</x:v>
      </x:c>
      <x:c r="N131" t="str">
        <x:v>$50.4625</x:v>
      </x:c>
      <x:c r="O131" t="str">
        <x:v>$52.9875</x:v>
      </x:c>
      <x:c r="P131" t="str">
        <x:v>$55.6125</x:v>
      </x:c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>
        <x:f>D131&amp;"|"&amp;UPPER(G131)&amp;"|"&amp;SUBSTITUTE(C131,"/","-")</x:f>
        <x:v>0889|COMMN|2024-07-01</x:v>
      </x:c>
    </x:row>
    <x:row r="132">
      <x:c r="A132" s="22" t="n">
        <x:v>29738</x:v>
      </x:c>
      <x:c r="B132" t="str">
        <x:v>FY24-25</x:v>
      </x:c>
      <x:c r="C132" t="str">
        <x:v>2025/01/04</x:v>
      </x:c>
      <x:c r="D132" t="str">
        <x:v>0889</x:v>
      </x:c>
      <x:c r="E132" t="str">
        <x:v>Mayoral Staff IX</x:v>
      </x:c>
      <x:c r="F132" t="str">
        <x:v>002</x:v>
      </x:c>
      <x:c r="G132" t="str">
        <x:v>COMMN</x:v>
      </x:c>
      <x:c r="H132" t="str">
        <x:v>0889A</x:v>
      </x:c>
      <x:c r="I132" t="str">
        <x:v>$3,715</x:v>
      </x:c>
      <x:c r="J132" t="str"/>
      <x:c r="K132" t="str"/>
      <x:c r="L132" t="str">
        <x:v>$46.4375</x:v>
      </x:c>
      <x:c r="M132" t="str">
        <x:v>$48.7500</x:v>
      </x:c>
      <x:c r="N132" t="str">
        <x:v>$51.2250</x:v>
      </x:c>
      <x:c r="O132" t="str">
        <x:v>$53.7875</x:v>
      </x:c>
      <x:c r="P132" t="str">
        <x:v>$56.4500</x:v>
      </x:c>
      <x:c r="Q132" t="str"/>
      <x:c r="R132" t="str"/>
      <x:c r="S132" t="str"/>
      <x:c r="T132" t="str"/>
      <x:c r="U132" t="str"/>
      <x:c r="V132" t="str"/>
      <x:c r="W132" t="str"/>
      <x:c r="X132" t="str"/>
      <x:c r="Y132" t="str"/>
      <x:c r="Z132" t="str"/>
      <x:c r="AA132" t="str"/>
      <x:c r="AB132" t="str"/>
      <x:c r="AC132" t="str"/>
      <x:c r="AD132" t="str"/>
      <x:c r="AE132" t="str"/>
      <x:c r="AF132" t="str">
        <x:f>D132&amp;"|"&amp;UPPER(G132)&amp;"|"&amp;SUBSTITUTE(C132,"/","-")</x:f>
        <x:v>0889|COMMN|2025-01-04</x:v>
      </x:c>
    </x:row>
    <x:row r="133">
      <x:c r="A133" s="22" t="n">
        <x:v>31451</x:v>
      </x:c>
      <x:c r="B133" t="str">
        <x:v>FY25-26</x:v>
      </x:c>
      <x:c r="C133" t="str">
        <x:v>2025/07/01</x:v>
      </x:c>
      <x:c r="D133" t="str">
        <x:v>0889</x:v>
      </x:c>
      <x:c r="E133" t="str">
        <x:v>Mayoral Staff IX</x:v>
      </x:c>
      <x:c r="F133" t="str">
        <x:v>002</x:v>
      </x:c>
      <x:c r="G133" t="str">
        <x:v>COMMN</x:v>
      </x:c>
      <x:c r="H133" t="str">
        <x:v>0889B</x:v>
      </x:c>
      <x:c r="I133" t="str">
        <x:v>$3,790</x:v>
      </x:c>
      <x:c r="J133" t="str"/>
      <x:c r="K133" t="str"/>
      <x:c r="L133" t="str">
        <x:v>$47.3750</x:v>
      </x:c>
      <x:c r="M133" t="str">
        <x:v>$49.7250</x:v>
      </x:c>
      <x:c r="N133" t="str">
        <x:v>$52.2500</x:v>
      </x:c>
      <x:c r="O133" t="str">
        <x:v>$54.8625</x:v>
      </x:c>
      <x:c r="P133" t="str">
        <x:v>$57.5875</x:v>
      </x:c>
      <x:c r="Q133" t="str"/>
      <x:c r="R133" t="str"/>
      <x:c r="S133" t="str"/>
      <x:c r="T133" t="str"/>
      <x:c r="U133" t="str"/>
      <x:c r="V133" t="str"/>
      <x:c r="W133" t="str"/>
      <x:c r="X133" t="str"/>
      <x:c r="Y133" t="str"/>
      <x:c r="Z133" t="str"/>
      <x:c r="AA133" t="str"/>
      <x:c r="AB133" t="str"/>
      <x:c r="AC133" t="str"/>
      <x:c r="AD133" t="str"/>
      <x:c r="AE133" t="str"/>
      <x:c r="AF133" t="str">
        <x:f>D133&amp;"|"&amp;UPPER(G133)&amp;"|"&amp;SUBSTITUTE(C133,"/","-")</x:f>
        <x:v>0889|COMMN|2025-07-01</x:v>
      </x:c>
    </x:row>
    <x:row r="134">
      <x:c r="A134" s="22" t="n">
        <x:v>33137</x:v>
      </x:c>
      <x:c r="B134" t="str">
        <x:v>FY25-26</x:v>
      </x:c>
      <x:c r="C134" t="str">
        <x:v>2026/01/03</x:v>
      </x:c>
      <x:c r="D134" t="str">
        <x:v>0889</x:v>
      </x:c>
      <x:c r="E134" t="str">
        <x:v>Mayoral Staff IX</x:v>
      </x:c>
      <x:c r="F134" t="str">
        <x:v>002</x:v>
      </x:c>
      <x:c r="G134" t="str">
        <x:v>COMMN</x:v>
      </x:c>
      <x:c r="H134" t="str">
        <x:v>0889C</x:v>
      </x:c>
      <x:c r="I134" t="str">
        <x:v>$3,847</x:v>
      </x:c>
      <x:c r="J134" t="str"/>
      <x:c r="K134" t="str"/>
      <x:c r="L134" t="str">
        <x:v>$48.0875</x:v>
      </x:c>
      <x:c r="M134" t="str">
        <x:v>$50.4750</x:v>
      </x:c>
      <x:c r="N134" t="str">
        <x:v>$53.0375</x:v>
      </x:c>
      <x:c r="O134" t="str">
        <x:v>$55.6875</x:v>
      </x:c>
      <x:c r="P134" t="str">
        <x:v>$58.4500</x:v>
      </x:c>
      <x:c r="Q134" t="str"/>
      <x:c r="R134" t="str"/>
      <x:c r="S134" t="str"/>
      <x:c r="T134" t="str"/>
      <x:c r="U134" t="str"/>
      <x:c r="V134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/>
      <x:c r="AF134" t="str">
        <x:f>D134&amp;"|"&amp;UPPER(G134)&amp;"|"&amp;SUBSTITUTE(C134,"/","-")</x:f>
        <x:v>0889|COMMN|2026-01-03</x:v>
      </x:c>
    </x:row>
    <x:row r="135">
      <x:c r="A135" s="22" t="n">
        <x:v>15976</x:v>
      </x:c>
      <x:c r="B135" t="str">
        <x:v>FY20-21</x:v>
      </x:c>
      <x:c r="C135" t="str">
        <x:v>2020/07/01</x:v>
      </x:c>
      <x:c r="D135" t="str">
        <x:v>1064</x:v>
      </x:c>
      <x:c r="E135" t="str">
        <x:v>IS Programmer Analyst-Principal</x:v>
      </x:c>
      <x:c r="F135" t="str">
        <x:v>021</x:v>
      </x:c>
      <x:c r="G135" t="str">
        <x:v>COMMN</x:v>
      </x:c>
      <x:c r="H135" t="str">
        <x:v>1064S</x:v>
      </x:c>
      <x:c r="I135" t="str">
        <x:v>$4,233</x:v>
      </x:c>
      <x:c r="J135" t="str"/>
      <x:c r="K135" t="str">
        <x:v>11</x:v>
      </x:c>
      <x:c r="L135" t="str">
        <x:v>$52.9125</x:v>
      </x:c>
      <x:c r="M135" t="str">
        <x:v>$54.2500</x:v>
      </x:c>
      <x:c r="N135" t="str">
        <x:v>$55.5375</x:v>
      </x:c>
      <x:c r="O135" t="str">
        <x:v>$57.5250</x:v>
      </x:c>
      <x:c r="P135" t="str">
        <x:v>$58.8875</x:v>
      </x:c>
      <x:c r="Q135" t="str">
        <x:v>$60.3500</x:v>
      </x:c>
      <x:c r="R135" t="str">
        <x:v>$61.9000</x:v>
      </x:c>
      <x:c r="S135" t="str">
        <x:v>$63.3875</x:v>
      </x:c>
      <x:c r="T135" t="str">
        <x:v>$64.9625</x:v>
      </x:c>
      <x:c r="U135" t="str">
        <x:v>$66.5750</x:v>
      </x:c>
      <x:c r="V135" t="str">
        <x:v>$68.2250</x:v>
      </x:c>
      <x:c r="W135" t="str">
        <x:v>$69.9375</x:v>
      </x:c>
      <x:c r="X135" t="str">
        <x:v>$71.7000</x:v>
      </x:c>
      <x:c r="Y135" t="str"/>
      <x:c r="Z135" t="str"/>
      <x:c r="AA135" t="str"/>
      <x:c r="AB135" t="str"/>
      <x:c r="AC135" t="str"/>
      <x:c r="AD135" t="str"/>
      <x:c r="AE135" t="str"/>
      <x:c r="AF135" t="str">
        <x:f>D135&amp;"|"&amp;UPPER(G135)&amp;"|"&amp;SUBSTITUTE(C135,"/","-")</x:f>
        <x:v>1064|COMMN|2020-07-01</x:v>
      </x:c>
    </x:row>
    <x:row r="136">
      <x:c r="A136" s="22" t="n">
        <x:v>26324</x:v>
      </x:c>
      <x:c r="B136" t="str">
        <x:v>FY23-24</x:v>
      </x:c>
      <x:c r="C136" t="str">
        <x:v>2024/01/06</x:v>
      </x:c>
      <x:c r="D136" t="str">
        <x:v>1064</x:v>
      </x:c>
      <x:c r="E136" t="str">
        <x:v>IS Programmer Analyst-Principal</x:v>
      </x:c>
      <x:c r="F136" t="str">
        <x:v>021</x:v>
      </x:c>
      <x:c r="G136" t="str">
        <x:v>COMMN</x:v>
      </x:c>
      <x:c r="H136" t="str">
        <x:v>1064Y</x:v>
      </x:c>
      <x:c r="I136" t="str">
        <x:v>$5,247</x:v>
      </x:c>
      <x:c r="J136" t="str"/>
      <x:c r="K136" t="str">
        <x:v>11</x:v>
      </x:c>
      <x:c r="L136" t="str">
        <x:v>$65.5875</x:v>
      </x:c>
      <x:c r="M136" t="str">
        <x:v>$67.2375</x:v>
      </x:c>
      <x:c r="N136" t="str">
        <x:v>$68.8500</x:v>
      </x:c>
      <x:c r="O136" t="str">
        <x:v>$71.3250</x:v>
      </x:c>
      <x:c r="P136" t="str">
        <x:v>$72.9875</x:v>
      </x:c>
      <x:c r="Q136" t="str">
        <x:v>$74.8250</x:v>
      </x:c>
      <x:c r="R136" t="str">
        <x:v>$76.7250</x:v>
      </x:c>
      <x:c r="S136" t="str">
        <x:v>$78.5750</x:v>
      </x:c>
      <x:c r="T136" t="str">
        <x:v>$80.5375</x:v>
      </x:c>
      <x:c r="U136" t="str">
        <x:v>$82.5125</x:v>
      </x:c>
      <x:c r="V136" t="str">
        <x:v>$84.5750</x:v>
      </x:c>
      <x:c r="W136" t="str">
        <x:v>$86.7125</x:v>
      </x:c>
      <x:c r="X136" t="str">
        <x:v>$88.8750</x:v>
      </x:c>
      <x:c r="Y136" t="str"/>
      <x:c r="Z136" t="str"/>
      <x:c r="AA136" t="str"/>
      <x:c r="AB136" t="str"/>
      <x:c r="AC136" t="str"/>
      <x:c r="AD136" t="str"/>
      <x:c r="AE136" t="str"/>
      <x:c r="AF136" t="str">
        <x:f>D136&amp;"|"&amp;UPPER(G136)&amp;"|"&amp;SUBSTITUTE(C136,"/","-")</x:f>
        <x:v>1064|COMMN|2024-01-06</x:v>
      </x:c>
    </x:row>
    <x:row r="137">
      <x:c r="A137" s="22" t="n">
        <x:v>26325</x:v>
      </x:c>
      <x:c r="B137" t="str">
        <x:v>FY23-24</x:v>
      </x:c>
      <x:c r="C137" t="str">
        <x:v>2024/01/06</x:v>
      </x:c>
      <x:c r="D137" t="str">
        <x:v>1064</x:v>
      </x:c>
      <x:c r="E137" t="str">
        <x:v>IS Programmer Analyst-Principal</x:v>
      </x:c>
      <x:c r="F137" t="str">
        <x:v>021</x:v>
      </x:c>
      <x:c r="G137" t="str">
        <x:v>SFMTA</x:v>
      </x:c>
      <x:c r="H137" t="str">
        <x:v>1064Y</x:v>
      </x:c>
      <x:c r="I137" t="str">
        <x:v>$5,247</x:v>
      </x:c>
      <x:c r="J137" t="str"/>
      <x:c r="K137" t="str">
        <x:v>11</x:v>
      </x:c>
      <x:c r="L137" t="str">
        <x:v>$65.5875</x:v>
      </x:c>
      <x:c r="M137" t="str">
        <x:v>$67.2375</x:v>
      </x:c>
      <x:c r="N137" t="str">
        <x:v>$68.8500</x:v>
      </x:c>
      <x:c r="O137" t="str">
        <x:v>$71.3250</x:v>
      </x:c>
      <x:c r="P137" t="str">
        <x:v>$72.9875</x:v>
      </x:c>
      <x:c r="Q137" t="str">
        <x:v>$74.8250</x:v>
      </x:c>
      <x:c r="R137" t="str">
        <x:v>$76.7250</x:v>
      </x:c>
      <x:c r="S137" t="str">
        <x:v>$78.5750</x:v>
      </x:c>
      <x:c r="T137" t="str">
        <x:v>$80.5375</x:v>
      </x:c>
      <x:c r="U137" t="str">
        <x:v>$82.5125</x:v>
      </x:c>
      <x:c r="V137" t="str">
        <x:v>$84.5750</x:v>
      </x:c>
      <x:c r="W137" t="str">
        <x:v>$86.7125</x:v>
      </x:c>
      <x:c r="X137" t="str">
        <x:v>$88.8750</x:v>
      </x:c>
      <x:c r="Y137" t="str"/>
      <x:c r="Z137" t="str"/>
      <x:c r="AA137" t="str"/>
      <x:c r="AB137" t="str"/>
      <x:c r="AC137" t="str"/>
      <x:c r="AD137" t="str"/>
      <x:c r="AE137" t="str"/>
      <x:c r="AF137" t="str">
        <x:f>D137&amp;"|"&amp;UPPER(G137)&amp;"|"&amp;SUBSTITUTE(C137,"/","-")</x:f>
        <x:v>1064|SFMTA|2024-01-06</x:v>
      </x:c>
    </x:row>
    <x:row r="138">
      <x:c r="A138" s="22" t="n">
        <x:v>28066</x:v>
      </x:c>
      <x:c r="B138" t="str">
        <x:v>FY24-25</x:v>
      </x:c>
      <x:c r="C138" t="str">
        <x:v>2024/07/01</x:v>
      </x:c>
      <x:c r="D138" t="str">
        <x:v>1064</x:v>
      </x:c>
      <x:c r="E138" t="str">
        <x:v>IS Programmer Analyst-Principal</x:v>
      </x:c>
      <x:c r="F138" t="str">
        <x:v>021</x:v>
      </x:c>
      <x:c r="G138" t="str">
        <x:v>COMMN</x:v>
      </x:c>
      <x:c r="H138" t="str">
        <x:v>1064Z</x:v>
      </x:c>
      <x:c r="I138" t="str">
        <x:v>$5,326</x:v>
      </x:c>
      <x:c r="J138" t="str"/>
      <x:c r="K138" t="str">
        <x:v>11</x:v>
      </x:c>
      <x:c r="L138" t="str">
        <x:v>$66.5750</x:v>
      </x:c>
      <x:c r="M138" t="str">
        <x:v>$68.2500</x:v>
      </x:c>
      <x:c r="N138" t="str">
        <x:v>$69.8875</x:v>
      </x:c>
      <x:c r="O138" t="str">
        <x:v>$72.4000</x:v>
      </x:c>
      <x:c r="P138" t="str">
        <x:v>$74.0875</x:v>
      </x:c>
      <x:c r="Q138" t="str">
        <x:v>$75.9500</x:v>
      </x:c>
      <x:c r="R138" t="str">
        <x:v>$77.8750</x:v>
      </x:c>
      <x:c r="S138" t="str">
        <x:v>$79.7500</x:v>
      </x:c>
      <x:c r="T138" t="str">
        <x:v>$81.7500</x:v>
      </x:c>
      <x:c r="U138" t="str">
        <x:v>$83.7500</x:v>
      </x:c>
      <x:c r="V138" t="str">
        <x:v>$85.8375</x:v>
      </x:c>
      <x:c r="W138" t="str">
        <x:v>$88.0125</x:v>
      </x:c>
      <x:c r="X138" t="str">
        <x:v>$90.2125</x:v>
      </x:c>
      <x:c r="Y138" t="str"/>
      <x:c r="Z138" t="str"/>
      <x:c r="AA138" t="str"/>
      <x:c r="AB138" t="str"/>
      <x:c r="AC138" t="str"/>
      <x:c r="AD138" t="str"/>
      <x:c r="AE138" t="str"/>
      <x:c r="AF138" t="str">
        <x:f>D138&amp;"|"&amp;UPPER(G138)&amp;"|"&amp;SUBSTITUTE(C138,"/","-")</x:f>
        <x:v>1064|COMMN|2024-07-01</x:v>
      </x:c>
    </x:row>
    <x:row r="139">
      <x:c r="A139" s="22" t="n">
        <x:v>28067</x:v>
      </x:c>
      <x:c r="B139" t="str">
        <x:v>FY24-25</x:v>
      </x:c>
      <x:c r="C139" t="str">
        <x:v>2024/07/01</x:v>
      </x:c>
      <x:c r="D139" t="str">
        <x:v>1064</x:v>
      </x:c>
      <x:c r="E139" t="str">
        <x:v>IS Programmer Analyst-Principal</x:v>
      </x:c>
      <x:c r="F139" t="str">
        <x:v>021</x:v>
      </x:c>
      <x:c r="G139" t="str">
        <x:v>SFMTA</x:v>
      </x:c>
      <x:c r="H139" t="str">
        <x:v>1064Z</x:v>
      </x:c>
      <x:c r="I139" t="str">
        <x:v>$5,326</x:v>
      </x:c>
      <x:c r="J139" t="str"/>
      <x:c r="K139" t="str">
        <x:v>11</x:v>
      </x:c>
      <x:c r="L139" t="str">
        <x:v>$66.5750</x:v>
      </x:c>
      <x:c r="M139" t="str">
        <x:v>$68.2500</x:v>
      </x:c>
      <x:c r="N139" t="str">
        <x:v>$69.8875</x:v>
      </x:c>
      <x:c r="O139" t="str">
        <x:v>$72.4000</x:v>
      </x:c>
      <x:c r="P139" t="str">
        <x:v>$74.0875</x:v>
      </x:c>
      <x:c r="Q139" t="str">
        <x:v>$75.9500</x:v>
      </x:c>
      <x:c r="R139" t="str">
        <x:v>$77.8750</x:v>
      </x:c>
      <x:c r="S139" t="str">
        <x:v>$79.7500</x:v>
      </x:c>
      <x:c r="T139" t="str">
        <x:v>$81.7500</x:v>
      </x:c>
      <x:c r="U139" t="str">
        <x:v>$83.7500</x:v>
      </x:c>
      <x:c r="V139" t="str">
        <x:v>$85.8375</x:v>
      </x:c>
      <x:c r="W139" t="str">
        <x:v>$88.0125</x:v>
      </x:c>
      <x:c r="X139" t="str">
        <x:v>$90.2125</x:v>
      </x:c>
      <x:c r="Y139" t="str"/>
      <x:c r="Z139" t="str"/>
      <x:c r="AA139" t="str"/>
      <x:c r="AB139" t="str"/>
      <x:c r="AC139" t="str"/>
      <x:c r="AD139" t="str"/>
      <x:c r="AE139" t="str"/>
      <x:c r="AF139" t="str">
        <x:f>D139&amp;"|"&amp;UPPER(G139)&amp;"|"&amp;SUBSTITUTE(C139,"/","-")</x:f>
        <x:v>1064|SFMTA|2024-07-01</x:v>
      </x:c>
    </x:row>
    <x:row r="140">
      <x:c r="A140" s="22" t="n">
        <x:v>29772</x:v>
      </x:c>
      <x:c r="B140" t="str">
        <x:v>FY24-25</x:v>
      </x:c>
      <x:c r="C140" t="str">
        <x:v>2025/01/04</x:v>
      </x:c>
      <x:c r="D140" t="str">
        <x:v>1064</x:v>
      </x:c>
      <x:c r="E140" t="str">
        <x:v>IS Programmer Analyst-Principal</x:v>
      </x:c>
      <x:c r="F140" t="str">
        <x:v>021</x:v>
      </x:c>
      <x:c r="G140" t="str">
        <x:v>COMMN</x:v>
      </x:c>
      <x:c r="H140" t="str">
        <x:v>1064A</x:v>
      </x:c>
      <x:c r="I140" t="str">
        <x:v>$5,406</x:v>
      </x:c>
      <x:c r="J140" t="str"/>
      <x:c r="K140" t="str">
        <x:v>11</x:v>
      </x:c>
      <x:c r="L140" t="str">
        <x:v>$67.5750</x:v>
      </x:c>
      <x:c r="M140" t="str">
        <x:v>$69.2750</x:v>
      </x:c>
      <x:c r="N140" t="str">
        <x:v>$70.9375</x:v>
      </x:c>
      <x:c r="O140" t="str">
        <x:v>$73.4875</x:v>
      </x:c>
      <x:c r="P140" t="str">
        <x:v>$75.2000</x:v>
      </x:c>
      <x:c r="Q140" t="str">
        <x:v>$77.0875</x:v>
      </x:c>
      <x:c r="R140" t="str">
        <x:v>$79.0375</x:v>
      </x:c>
      <x:c r="S140" t="str">
        <x:v>$80.9500</x:v>
      </x:c>
      <x:c r="T140" t="str">
        <x:v>$82.9750</x:v>
      </x:c>
      <x:c r="U140" t="str">
        <x:v>$85.0000</x:v>
      </x:c>
      <x:c r="V140" t="str">
        <x:v>$87.1250</x:v>
      </x:c>
      <x:c r="W140" t="str">
        <x:v>$89.3375</x:v>
      </x:c>
      <x:c r="X140" t="str">
        <x:v>$91.5625</x:v>
      </x:c>
      <x:c r="Y140" t="str"/>
      <x:c r="Z140" t="str"/>
      <x:c r="AA140" t="str"/>
      <x:c r="AB140" t="str"/>
      <x:c r="AC140" t="str"/>
      <x:c r="AD140" t="str"/>
      <x:c r="AE140" t="str"/>
      <x:c r="AF140" t="str">
        <x:f>D140&amp;"|"&amp;UPPER(G140)&amp;"|"&amp;SUBSTITUTE(C140,"/","-")</x:f>
        <x:v>1064|COMMN|2025-01-04</x:v>
      </x:c>
    </x:row>
    <x:row r="141">
      <x:c r="A141" s="22" t="n">
        <x:v>29773</x:v>
      </x:c>
      <x:c r="B141" t="str">
        <x:v>FY24-25</x:v>
      </x:c>
      <x:c r="C141" t="str">
        <x:v>2025/01/04</x:v>
      </x:c>
      <x:c r="D141" t="str">
        <x:v>1064</x:v>
      </x:c>
      <x:c r="E141" t="str">
        <x:v>IS Programmer Analyst-Principal</x:v>
      </x:c>
      <x:c r="F141" t="str">
        <x:v>021</x:v>
      </x:c>
      <x:c r="G141" t="str">
        <x:v>SFMTA</x:v>
      </x:c>
      <x:c r="H141" t="str">
        <x:v>1064A</x:v>
      </x:c>
      <x:c r="I141" t="str">
        <x:v>$5,406</x:v>
      </x:c>
      <x:c r="J141" t="str"/>
      <x:c r="K141" t="str">
        <x:v>11</x:v>
      </x:c>
      <x:c r="L141" t="str">
        <x:v>$67.5750</x:v>
      </x:c>
      <x:c r="M141" t="str">
        <x:v>$69.2750</x:v>
      </x:c>
      <x:c r="N141" t="str">
        <x:v>$70.9375</x:v>
      </x:c>
      <x:c r="O141" t="str">
        <x:v>$73.4875</x:v>
      </x:c>
      <x:c r="P141" t="str">
        <x:v>$75.2000</x:v>
      </x:c>
      <x:c r="Q141" t="str">
        <x:v>$77.0875</x:v>
      </x:c>
      <x:c r="R141" t="str">
        <x:v>$79.0375</x:v>
      </x:c>
      <x:c r="S141" t="str">
        <x:v>$80.9500</x:v>
      </x:c>
      <x:c r="T141" t="str">
        <x:v>$82.9750</x:v>
      </x:c>
      <x:c r="U141" t="str">
        <x:v>$85.0000</x:v>
      </x:c>
      <x:c r="V141" t="str">
        <x:v>$87.1250</x:v>
      </x:c>
      <x:c r="W141" t="str">
        <x:v>$89.3375</x:v>
      </x:c>
      <x:c r="X141" t="str">
        <x:v>$91.5625</x:v>
      </x:c>
      <x:c r="Y141" t="str"/>
      <x:c r="Z141" t="str"/>
      <x:c r="AA141" t="str"/>
      <x:c r="AB141" t="str"/>
      <x:c r="AC141" t="str"/>
      <x:c r="AD141" t="str"/>
      <x:c r="AE141" t="str"/>
      <x:c r="AF141" t="str">
        <x:f>D141&amp;"|"&amp;UPPER(G141)&amp;"|"&amp;SUBSTITUTE(C141,"/","-")</x:f>
        <x:v>1064|SFMTA|2025-01-04</x:v>
      </x:c>
    </x:row>
    <x:row r="142">
      <x:c r="A142" s="22" t="n">
        <x:v>31485</x:v>
      </x:c>
      <x:c r="B142" t="str">
        <x:v>FY25-26</x:v>
      </x:c>
      <x:c r="C142" t="str">
        <x:v>2025/07/01</x:v>
      </x:c>
      <x:c r="D142" t="str">
        <x:v>1064</x:v>
      </x:c>
      <x:c r="E142" t="str">
        <x:v>IS Prg Analyst-Principal</x:v>
      </x:c>
      <x:c r="F142" t="str">
        <x:v>021</x:v>
      </x:c>
      <x:c r="G142" t="str">
        <x:v>COMMN</x:v>
      </x:c>
      <x:c r="H142" t="str">
        <x:v>1064B</x:v>
      </x:c>
      <x:c r="I142" t="str">
        <x:v>$5,515</x:v>
      </x:c>
      <x:c r="J142" t="str"/>
      <x:c r="K142" t="str">
        <x:v>11</x:v>
      </x:c>
      <x:c r="L142" t="str">
        <x:v>$68.9375</x:v>
      </x:c>
      <x:c r="M142" t="str">
        <x:v>$70.6625</x:v>
      </x:c>
      <x:c r="N142" t="str">
        <x:v>$72.3625</x:v>
      </x:c>
      <x:c r="O142" t="str">
        <x:v>$74.9625</x:v>
      </x:c>
      <x:c r="P142" t="str">
        <x:v>$76.7125</x:v>
      </x:c>
      <x:c r="Q142" t="str">
        <x:v>$78.6375</x:v>
      </x:c>
      <x:c r="R142" t="str">
        <x:v>$80.6250</x:v>
      </x:c>
      <x:c r="S142" t="str">
        <x:v>$82.5750</x:v>
      </x:c>
      <x:c r="T142" t="str">
        <x:v>$84.6375</x:v>
      </x:c>
      <x:c r="U142" t="str">
        <x:v>$86.7125</x:v>
      </x:c>
      <x:c r="V142" t="str">
        <x:v>$88.8750</x:v>
      </x:c>
      <x:c r="W142" t="str">
        <x:v>$91.1375</x:v>
      </x:c>
      <x:c r="X142" t="str">
        <x:v>$93.4000</x:v>
      </x:c>
      <x:c r="Y142" t="str"/>
      <x:c r="Z142" t="str"/>
      <x:c r="AA142" t="str"/>
      <x:c r="AB142" t="str"/>
      <x:c r="AC142" t="str"/>
      <x:c r="AD142" t="str"/>
      <x:c r="AE142" t="str"/>
      <x:c r="AF142" t="str">
        <x:f>D142&amp;"|"&amp;UPPER(G142)&amp;"|"&amp;SUBSTITUTE(C142,"/","-")</x:f>
        <x:v>1064|COMMN|2025-07-01</x:v>
      </x:c>
    </x:row>
    <x:row r="143">
      <x:c r="A143" s="22" t="n">
        <x:v>31486</x:v>
      </x:c>
      <x:c r="B143" t="str">
        <x:v>FY25-26</x:v>
      </x:c>
      <x:c r="C143" t="str">
        <x:v>2025/07/01</x:v>
      </x:c>
      <x:c r="D143" t="str">
        <x:v>1064</x:v>
      </x:c>
      <x:c r="E143" t="str">
        <x:v>IS Prg Analyst-Principal</x:v>
      </x:c>
      <x:c r="F143" t="str">
        <x:v>021</x:v>
      </x:c>
      <x:c r="G143" t="str">
        <x:v>SFMTA</x:v>
      </x:c>
      <x:c r="H143" t="str">
        <x:v>1064B</x:v>
      </x:c>
      <x:c r="I143" t="str">
        <x:v>$5,515</x:v>
      </x:c>
      <x:c r="J143" t="str"/>
      <x:c r="K143" t="str">
        <x:v>11</x:v>
      </x:c>
      <x:c r="L143" t="str">
        <x:v>$68.9375</x:v>
      </x:c>
      <x:c r="M143" t="str">
        <x:v>$70.6625</x:v>
      </x:c>
      <x:c r="N143" t="str">
        <x:v>$72.3625</x:v>
      </x:c>
      <x:c r="O143" t="str">
        <x:v>$74.9625</x:v>
      </x:c>
      <x:c r="P143" t="str">
        <x:v>$76.7125</x:v>
      </x:c>
      <x:c r="Q143" t="str">
        <x:v>$78.6375</x:v>
      </x:c>
      <x:c r="R143" t="str">
        <x:v>$80.6250</x:v>
      </x:c>
      <x:c r="S143" t="str">
        <x:v>$82.5750</x:v>
      </x:c>
      <x:c r="T143" t="str">
        <x:v>$84.6375</x:v>
      </x:c>
      <x:c r="U143" t="str">
        <x:v>$86.7125</x:v>
      </x:c>
      <x:c r="V143" t="str">
        <x:v>$88.8750</x:v>
      </x:c>
      <x:c r="W143" t="str">
        <x:v>$91.1375</x:v>
      </x:c>
      <x:c r="X143" t="str">
        <x:v>$93.4000</x:v>
      </x:c>
      <x:c r="Y143" t="str"/>
      <x:c r="Z143" t="str"/>
      <x:c r="AA143" t="str"/>
      <x:c r="AB143" t="str"/>
      <x:c r="AC143" t="str"/>
      <x:c r="AD143" t="str"/>
      <x:c r="AE143" t="str"/>
      <x:c r="AF143" t="str">
        <x:f>D143&amp;"|"&amp;UPPER(G143)&amp;"|"&amp;SUBSTITUTE(C143,"/","-")</x:f>
        <x:v>1064|SFMTA|2025-07-01</x:v>
      </x:c>
    </x:row>
    <x:row r="144">
      <x:c r="A144" s="22" t="n">
        <x:v>33171</x:v>
      </x:c>
      <x:c r="B144" t="str">
        <x:v>FY25-26</x:v>
      </x:c>
      <x:c r="C144" t="str">
        <x:v>2026/01/03</x:v>
      </x:c>
      <x:c r="D144" t="str">
        <x:v>1064</x:v>
      </x:c>
      <x:c r="E144" t="str">
        <x:v>IS Prg Analyst-Principal</x:v>
      </x:c>
      <x:c r="F144" t="str">
        <x:v>021</x:v>
      </x:c>
      <x:c r="G144" t="str">
        <x:v>COMMN</x:v>
      </x:c>
      <x:c r="H144" t="str">
        <x:v>1064C</x:v>
      </x:c>
      <x:c r="I144" t="str">
        <x:v>$5,598</x:v>
      </x:c>
      <x:c r="J144" t="str"/>
      <x:c r="K144" t="str">
        <x:v>11</x:v>
      </x:c>
      <x:c r="L144" t="str">
        <x:v>$69.9750</x:v>
      </x:c>
      <x:c r="M144" t="str">
        <x:v>$71.7250</x:v>
      </x:c>
      <x:c r="N144" t="str">
        <x:v>$73.4500</x:v>
      </x:c>
      <x:c r="O144" t="str">
        <x:v>$76.0875</x:v>
      </x:c>
      <x:c r="P144" t="str">
        <x:v>$77.8625</x:v>
      </x:c>
      <x:c r="Q144" t="str">
        <x:v>$79.8125</x:v>
      </x:c>
      <x:c r="R144" t="str">
        <x:v>$81.8375</x:v>
      </x:c>
      <x:c r="S144" t="str">
        <x:v>$83.8125</x:v>
      </x:c>
      <x:c r="T144" t="str">
        <x:v>$85.9125</x:v>
      </x:c>
      <x:c r="U144" t="str">
        <x:v>$88.0125</x:v>
      </x:c>
      <x:c r="V144" t="str">
        <x:v>$90.2125</x:v>
      </x:c>
      <x:c r="W144" t="str">
        <x:v>$92.5000</x:v>
      </x:c>
      <x:c r="X144" t="str">
        <x:v>$94.8000</x:v>
      </x:c>
      <x:c r="Y144" t="str"/>
      <x:c r="Z144" t="str"/>
      <x:c r="AA144" t="str"/>
      <x:c r="AB144" t="str"/>
      <x:c r="AC144" t="str"/>
      <x:c r="AD144" t="str"/>
      <x:c r="AE144" t="str"/>
      <x:c r="AF144" t="str">
        <x:f>D144&amp;"|"&amp;UPPER(G144)&amp;"|"&amp;SUBSTITUTE(C144,"/","-")</x:f>
        <x:v>1064|COMMN|2026-01-03</x:v>
      </x:c>
    </x:row>
    <x:row r="145">
      <x:c r="A145" s="22" t="n">
        <x:v>33172</x:v>
      </x:c>
      <x:c r="B145" t="str">
        <x:v>FY25-26</x:v>
      </x:c>
      <x:c r="C145" t="str">
        <x:v>2026/01/03</x:v>
      </x:c>
      <x:c r="D145" t="str">
        <x:v>1064</x:v>
      </x:c>
      <x:c r="E145" t="str">
        <x:v>IS Prg Analyst-Principal</x:v>
      </x:c>
      <x:c r="F145" t="str">
        <x:v>021</x:v>
      </x:c>
      <x:c r="G145" t="str">
        <x:v>SFMTA</x:v>
      </x:c>
      <x:c r="H145" t="str">
        <x:v>1064C</x:v>
      </x:c>
      <x:c r="I145" t="str">
        <x:v>$5,598</x:v>
      </x:c>
      <x:c r="J145" t="str"/>
      <x:c r="K145" t="str">
        <x:v>11</x:v>
      </x:c>
      <x:c r="L145" t="str">
        <x:v>$69.9750</x:v>
      </x:c>
      <x:c r="M145" t="str">
        <x:v>$71.7250</x:v>
      </x:c>
      <x:c r="N145" t="str">
        <x:v>$73.4500</x:v>
      </x:c>
      <x:c r="O145" t="str">
        <x:v>$76.0875</x:v>
      </x:c>
      <x:c r="P145" t="str">
        <x:v>$77.8625</x:v>
      </x:c>
      <x:c r="Q145" t="str">
        <x:v>$79.8125</x:v>
      </x:c>
      <x:c r="R145" t="str">
        <x:v>$81.8375</x:v>
      </x:c>
      <x:c r="S145" t="str">
        <x:v>$83.8125</x:v>
      </x:c>
      <x:c r="T145" t="str">
        <x:v>$85.9125</x:v>
      </x:c>
      <x:c r="U145" t="str">
        <x:v>$88.0125</x:v>
      </x:c>
      <x:c r="V145" t="str">
        <x:v>$90.2125</x:v>
      </x:c>
      <x:c r="W145" t="str">
        <x:v>$92.5000</x:v>
      </x:c>
      <x:c r="X145" t="str">
        <x:v>$94.8000</x:v>
      </x:c>
      <x:c r="Y145" t="str"/>
      <x:c r="Z145" t="str"/>
      <x:c r="AA145" t="str"/>
      <x:c r="AB145" t="str"/>
      <x:c r="AC145" t="str"/>
      <x:c r="AD145" t="str"/>
      <x:c r="AE145" t="str"/>
      <x:c r="AF145" t="str">
        <x:f>D145&amp;"|"&amp;UPPER(G145)&amp;"|"&amp;SUBSTITUTE(C145,"/","-")</x:f>
        <x:v>1064|SFMTA|2026-01-03</x:v>
      </x:c>
    </x:row>
    <x:row r="146">
      <x:c r="A146" s="22" t="n">
        <x:v>24588</x:v>
      </x:c>
      <x:c r="B146" t="str">
        <x:v>FY23-24</x:v>
      </x:c>
      <x:c r="C146" t="str">
        <x:v>2023/07/01</x:v>
      </x:c>
      <x:c r="D146" t="str">
        <x:v>1090</x:v>
      </x:c>
      <x:c r="E146" t="str">
        <x:v>IT Operations Support Apprentice</x:v>
      </x:c>
      <x:c r="F146" t="str">
        <x:v>021</x:v>
      </x:c>
      <x:c r="G146" t="str">
        <x:v>COMMN</x:v>
      </x:c>
      <x:c r="H146" t="str">
        <x:v>1090X</x:v>
      </x:c>
      <x:c r="I146" t="str">
        <x:v>$2,364</x:v>
      </x:c>
      <x:c r="J146" t="str"/>
      <x:c r="K146" t="str"/>
      <x:c r="L146" t="str">
        <x:v>$29.5500</x:v>
      </x:c>
      <x:c r="M146" t="str">
        <x:v>$31.2000</x:v>
      </x:c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>
        <x:f>D146&amp;"|"&amp;UPPER(G146)&amp;"|"&amp;SUBSTITUTE(C146,"/","-")</x:f>
        <x:v>1090|COMMN|2023-07-01</x:v>
      </x:c>
    </x:row>
    <x:row r="147">
      <x:c r="A147" s="22" t="n">
        <x:v>26330</x:v>
      </x:c>
      <x:c r="B147" t="str">
        <x:v>FY23-24</x:v>
      </x:c>
      <x:c r="C147" t="str">
        <x:v>2024/01/06</x:v>
      </x:c>
      <x:c r="D147" t="str">
        <x:v>1090</x:v>
      </x:c>
      <x:c r="E147" t="str">
        <x:v>IT Operations Support Apprentice</x:v>
      </x:c>
      <x:c r="F147" t="str">
        <x:v>021</x:v>
      </x:c>
      <x:c r="G147" t="str">
        <x:v>COMMN</x:v>
      </x:c>
      <x:c r="H147" t="str">
        <x:v>1090Y</x:v>
      </x:c>
      <x:c r="I147" t="str">
        <x:v>$2,417</x:v>
      </x:c>
      <x:c r="J147" t="str"/>
      <x:c r="K147" t="str"/>
      <x:c r="L147" t="str">
        <x:v>$30.2125</x:v>
      </x:c>
      <x:c r="M147" t="str">
        <x:v>$31.9000</x:v>
      </x:c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>
        <x:f>D147&amp;"|"&amp;UPPER(G147)&amp;"|"&amp;SUBSTITUTE(C147,"/","-")</x:f>
        <x:v>1090|COMMN|2024-01-06</x:v>
      </x:c>
    </x:row>
    <x:row r="148">
      <x:c r="A148" s="22" t="n">
        <x:v>26331</x:v>
      </x:c>
      <x:c r="B148" t="str">
        <x:v>FY23-24</x:v>
      </x:c>
      <x:c r="C148" t="str">
        <x:v>2024/01/06</x:v>
      </x:c>
      <x:c r="D148" t="str">
        <x:v>1090</x:v>
      </x:c>
      <x:c r="E148" t="str">
        <x:v>IT Operations Support Apprentice</x:v>
      </x:c>
      <x:c r="F148" t="str">
        <x:v>021</x:v>
      </x:c>
      <x:c r="G148" t="str">
        <x:v>SFMTA</x:v>
      </x:c>
      <x:c r="H148" t="str">
        <x:v>1090Y</x:v>
      </x:c>
      <x:c r="I148" t="str">
        <x:v>$2,417</x:v>
      </x:c>
      <x:c r="J148" t="str"/>
      <x:c r="K148" t="str"/>
      <x:c r="L148" t="str">
        <x:v>$30.2125</x:v>
      </x:c>
      <x:c r="M148" t="str">
        <x:v>$31.9000</x:v>
      </x:c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  <x:c r="X148" t="str"/>
      <x:c r="Y148" t="str"/>
      <x:c r="Z148" t="str"/>
      <x:c r="AA148" t="str"/>
      <x:c r="AB148" t="str"/>
      <x:c r="AC148" t="str"/>
      <x:c r="AD148" t="str"/>
      <x:c r="AE148" t="str"/>
      <x:c r="AF148" t="str">
        <x:f>D148&amp;"|"&amp;UPPER(G148)&amp;"|"&amp;SUBSTITUTE(C148,"/","-")</x:f>
        <x:v>1090|SFMTA|2024-01-06</x:v>
      </x:c>
    </x:row>
    <x:row r="149">
      <x:c r="A149" s="22" t="n">
        <x:v>28072</x:v>
      </x:c>
      <x:c r="B149" t="str">
        <x:v>FY24-25</x:v>
      </x:c>
      <x:c r="C149" t="str">
        <x:v>2024/07/01</x:v>
      </x:c>
      <x:c r="D149" t="str">
        <x:v>1090</x:v>
      </x:c>
      <x:c r="E149" t="str">
        <x:v>IT Operations Support Apprentice</x:v>
      </x:c>
      <x:c r="F149" t="str">
        <x:v>021</x:v>
      </x:c>
      <x:c r="G149" t="str">
        <x:v>COMMN</x:v>
      </x:c>
      <x:c r="H149" t="str">
        <x:v>1090Z</x:v>
      </x:c>
      <x:c r="I149" t="str">
        <x:v>$2,453</x:v>
      </x:c>
      <x:c r="J149" t="str"/>
      <x:c r="K149" t="str"/>
      <x:c r="L149" t="str">
        <x:v>$30.6625</x:v>
      </x:c>
      <x:c r="M149" t="str">
        <x:v>$32.3750</x:v>
      </x:c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>
        <x:f>D149&amp;"|"&amp;UPPER(G149)&amp;"|"&amp;SUBSTITUTE(C149,"/","-")</x:f>
        <x:v>1090|COMMN|2024-07-01</x:v>
      </x:c>
    </x:row>
    <x:row r="150">
      <x:c r="A150" s="22" t="n">
        <x:v>28073</x:v>
      </x:c>
      <x:c r="B150" t="str">
        <x:v>FY24-25</x:v>
      </x:c>
      <x:c r="C150" t="str">
        <x:v>2024/07/01</x:v>
      </x:c>
      <x:c r="D150" t="str">
        <x:v>1090</x:v>
      </x:c>
      <x:c r="E150" t="str">
        <x:v>IT Operations Support Apprentice</x:v>
      </x:c>
      <x:c r="F150" t="str">
        <x:v>021</x:v>
      </x:c>
      <x:c r="G150" t="str">
        <x:v>SFMTA</x:v>
      </x:c>
      <x:c r="H150" t="str">
        <x:v>1090Z</x:v>
      </x:c>
      <x:c r="I150" t="str">
        <x:v>$2,453</x:v>
      </x:c>
      <x:c r="J150" t="str"/>
      <x:c r="K150" t="str"/>
      <x:c r="L150" t="str">
        <x:v>$30.6625</x:v>
      </x:c>
      <x:c r="M150" t="str">
        <x:v>$32.3750</x:v>
      </x:c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/>
      <x:c r="AF150" t="str">
        <x:f>D150&amp;"|"&amp;UPPER(G150)&amp;"|"&amp;SUBSTITUTE(C150,"/","-")</x:f>
        <x:v>1090|SFMTA|2024-07-01</x:v>
      </x:c>
    </x:row>
    <x:row r="151">
      <x:c r="A151" s="22" t="n">
        <x:v>29778</x:v>
      </x:c>
      <x:c r="B151" t="str">
        <x:v>FY24-25</x:v>
      </x:c>
      <x:c r="C151" t="str">
        <x:v>2025/01/04</x:v>
      </x:c>
      <x:c r="D151" t="str">
        <x:v>1090</x:v>
      </x:c>
      <x:c r="E151" t="str">
        <x:v>IT Operations Support Apprentice</x:v>
      </x:c>
      <x:c r="F151" t="str">
        <x:v>021</x:v>
      </x:c>
      <x:c r="G151" t="str">
        <x:v>COMMN</x:v>
      </x:c>
      <x:c r="H151" t="str">
        <x:v>1090A</x:v>
      </x:c>
      <x:c r="I151" t="str">
        <x:v>$2,490</x:v>
      </x:c>
      <x:c r="J151" t="str"/>
      <x:c r="K151" t="str"/>
      <x:c r="L151" t="str">
        <x:v>$31.1250</x:v>
      </x:c>
      <x:c r="M151" t="str">
        <x:v>$32.8625</x:v>
      </x:c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>
        <x:f>D151&amp;"|"&amp;UPPER(G151)&amp;"|"&amp;SUBSTITUTE(C151,"/","-")</x:f>
        <x:v>1090|COMMN|2025-01-04</x:v>
      </x:c>
    </x:row>
    <x:row r="152">
      <x:c r="A152" s="22" t="n">
        <x:v>29779</x:v>
      </x:c>
      <x:c r="B152" t="str">
        <x:v>FY24-25</x:v>
      </x:c>
      <x:c r="C152" t="str">
        <x:v>2025/01/04</x:v>
      </x:c>
      <x:c r="D152" t="str">
        <x:v>1090</x:v>
      </x:c>
      <x:c r="E152" t="str">
        <x:v>IT Operations Support Apprentice</x:v>
      </x:c>
      <x:c r="F152" t="str">
        <x:v>021</x:v>
      </x:c>
      <x:c r="G152" t="str">
        <x:v>SFMTA</x:v>
      </x:c>
      <x:c r="H152" t="str">
        <x:v>1090A</x:v>
      </x:c>
      <x:c r="I152" t="str">
        <x:v>$2,490</x:v>
      </x:c>
      <x:c r="J152" t="str"/>
      <x:c r="K152" t="str"/>
      <x:c r="L152" t="str">
        <x:v>$31.1250</x:v>
      </x:c>
      <x:c r="M152" t="str">
        <x:v>$32.8625</x:v>
      </x:c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>
        <x:f>D152&amp;"|"&amp;UPPER(G152)&amp;"|"&amp;SUBSTITUTE(C152,"/","-")</x:f>
        <x:v>1090|SFMTA|2025-01-04</x:v>
      </x:c>
    </x:row>
    <x:row r="153">
      <x:c r="A153" s="22" t="n">
        <x:v>31491</x:v>
      </x:c>
      <x:c r="B153" t="str">
        <x:v>FY25-26</x:v>
      </x:c>
      <x:c r="C153" t="str">
        <x:v>2025/07/01</x:v>
      </x:c>
      <x:c r="D153" t="str">
        <x:v>1090</x:v>
      </x:c>
      <x:c r="E153" t="str">
        <x:v>IT Operations Support Apprenti</x:v>
      </x:c>
      <x:c r="F153" t="str">
        <x:v>021</x:v>
      </x:c>
      <x:c r="G153" t="str">
        <x:v>COMMN</x:v>
      </x:c>
      <x:c r="H153" t="str">
        <x:v>1090B</x:v>
      </x:c>
      <x:c r="I153" t="str">
        <x:v>$2,540</x:v>
      </x:c>
      <x:c r="J153" t="str"/>
      <x:c r="K153" t="str"/>
      <x:c r="L153" t="str">
        <x:v>$31.7500</x:v>
      </x:c>
      <x:c r="M153" t="str">
        <x:v>$33.5250</x:v>
      </x:c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>
        <x:f>D153&amp;"|"&amp;UPPER(G153)&amp;"|"&amp;SUBSTITUTE(C153,"/","-")</x:f>
        <x:v>1090|COMMN|2025-07-01</x:v>
      </x:c>
    </x:row>
    <x:row r="154">
      <x:c r="A154" s="22" t="n">
        <x:v>31492</x:v>
      </x:c>
      <x:c r="B154" t="str">
        <x:v>FY25-26</x:v>
      </x:c>
      <x:c r="C154" t="str">
        <x:v>2025/07/01</x:v>
      </x:c>
      <x:c r="D154" t="str">
        <x:v>1090</x:v>
      </x:c>
      <x:c r="E154" t="str">
        <x:v>IT Operations Support Apprent</x:v>
      </x:c>
      <x:c r="F154" t="str">
        <x:v>021</x:v>
      </x:c>
      <x:c r="G154" t="str">
        <x:v>SFMTA</x:v>
      </x:c>
      <x:c r="H154" t="str">
        <x:v>1090B</x:v>
      </x:c>
      <x:c r="I154" t="str">
        <x:v>$2,540</x:v>
      </x:c>
      <x:c r="J154" t="str"/>
      <x:c r="K154" t="str"/>
      <x:c r="L154" t="str">
        <x:v>$31.7500</x:v>
      </x:c>
      <x:c r="M154" t="str">
        <x:v>$33.5250</x:v>
      </x:c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str"/>
      <x:c r="X154" t="str"/>
      <x:c r="Y154" t="str"/>
      <x:c r="Z154" t="str"/>
      <x:c r="AA154" t="str"/>
      <x:c r="AB154" t="str"/>
      <x:c r="AC154" t="str"/>
      <x:c r="AD154" t="str"/>
      <x:c r="AE154" t="str"/>
      <x:c r="AF154" t="str">
        <x:f>D154&amp;"|"&amp;UPPER(G154)&amp;"|"&amp;SUBSTITUTE(C154,"/","-")</x:f>
        <x:v>1090|SFMTA|2025-07-01</x:v>
      </x:c>
    </x:row>
    <x:row r="155">
      <x:c r="A155" s="22" t="n">
        <x:v>33177</x:v>
      </x:c>
      <x:c r="B155" t="str">
        <x:v>FY25-26</x:v>
      </x:c>
      <x:c r="C155" t="str">
        <x:v>2026/01/03</x:v>
      </x:c>
      <x:c r="D155" t="str">
        <x:v>1090</x:v>
      </x:c>
      <x:c r="E155" t="str">
        <x:v>IT Operations Support Apprenti</x:v>
      </x:c>
      <x:c r="F155" t="str">
        <x:v>021</x:v>
      </x:c>
      <x:c r="G155" t="str">
        <x:v>COMMN</x:v>
      </x:c>
      <x:c r="H155" t="str">
        <x:v>1090C</x:v>
      </x:c>
      <x:c r="I155" t="str">
        <x:v>$2,578</x:v>
      </x:c>
      <x:c r="J155" t="str"/>
      <x:c r="K155" t="str"/>
      <x:c r="L155" t="str">
        <x:v>$32.2250</x:v>
      </x:c>
      <x:c r="M155" t="str">
        <x:v>$34.0250</x:v>
      </x:c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>
        <x:f>D155&amp;"|"&amp;UPPER(G155)&amp;"|"&amp;SUBSTITUTE(C155,"/","-")</x:f>
        <x:v>1090|COMMN|2026-01-03</x:v>
      </x:c>
    </x:row>
    <x:row r="156">
      <x:c r="A156" s="22" t="n">
        <x:v>33178</x:v>
      </x:c>
      <x:c r="B156" t="str">
        <x:v>FY25-26</x:v>
      </x:c>
      <x:c r="C156" t="str">
        <x:v>2026/01/03</x:v>
      </x:c>
      <x:c r="D156" t="str">
        <x:v>1090</x:v>
      </x:c>
      <x:c r="E156" t="str">
        <x:v>IT Operations Support Apprent</x:v>
      </x:c>
      <x:c r="F156" t="str">
        <x:v>021</x:v>
      </x:c>
      <x:c r="G156" t="str">
        <x:v>SFMTA</x:v>
      </x:c>
      <x:c r="H156" t="str">
        <x:v>1090C</x:v>
      </x:c>
      <x:c r="I156" t="str">
        <x:v>$2,578</x:v>
      </x:c>
      <x:c r="J156" t="str"/>
      <x:c r="K156" t="str"/>
      <x:c r="L156" t="str">
        <x:v>$32.2250</x:v>
      </x:c>
      <x:c r="M156" t="str">
        <x:v>$34.0250</x:v>
      </x:c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>
        <x:f>D156&amp;"|"&amp;UPPER(G156)&amp;"|"&amp;SUBSTITUTE(C156,"/","-")</x:f>
        <x:v>1090|SFMTA|2026-01-03</x:v>
      </x:c>
    </x:row>
    <x:row r="157">
      <x:c r="A157" s="22" t="n">
        <x:v>15982</x:v>
      </x:c>
      <x:c r="B157" t="str">
        <x:v>FY20-21</x:v>
      </x:c>
      <x:c r="C157" t="str">
        <x:v>2020/07/01</x:v>
      </x:c>
      <x:c r="D157" t="str">
        <x:v>1091</x:v>
      </x:c>
      <x:c r="E157" t="str">
        <x:v>IT Operations Support Administrator I</x:v>
      </x:c>
      <x:c r="F157" t="str">
        <x:v>021</x:v>
      </x:c>
      <x:c r="G157" t="str">
        <x:v>COMMN</x:v>
      </x:c>
      <x:c r="H157" t="str">
        <x:v>1091S</x:v>
      </x:c>
      <x:c r="I157" t="str">
        <x:v>$2,273</x:v>
      </x:c>
      <x:c r="J157" t="str"/>
      <x:c r="K157" t="str"/>
      <x:c r="L157" t="str">
        <x:v>$28.4125</x:v>
      </x:c>
      <x:c r="M157" t="str">
        <x:v>$29.1000</x:v>
      </x:c>
      <x:c r="N157" t="str">
        <x:v>$29.8250</x:v>
      </x:c>
      <x:c r="O157" t="str">
        <x:v>$30.5375</x:v>
      </x:c>
      <x:c r="P157" t="str">
        <x:v>$31.3000</x:v>
      </x:c>
      <x:c r="Q157" t="str">
        <x:v>$32.0875</x:v>
      </x:c>
      <x:c r="R157" t="str">
        <x:v>$32.8750</x:v>
      </x:c>
      <x:c r="S157" t="str">
        <x:v>$33.6875</x:v>
      </x:c>
      <x:c r="T157" t="str">
        <x:v>$34.5125</x:v>
      </x:c>
      <x:c r="U157" t="str">
        <x:v>$35.2000</x:v>
      </x:c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>
        <x:f>D157&amp;"|"&amp;UPPER(G157)&amp;"|"&amp;SUBSTITUTE(C157,"/","-")</x:f>
        <x:v>1091|COMMN|2020-07-01</x:v>
      </x:c>
    </x:row>
    <x:row r="158">
      <x:c r="A158" s="22" t="n">
        <x:v>26332</x:v>
      </x:c>
      <x:c r="B158" t="str">
        <x:v>FY23-24</x:v>
      </x:c>
      <x:c r="C158" t="str">
        <x:v>2024/01/06</x:v>
      </x:c>
      <x:c r="D158" t="str">
        <x:v>1091</x:v>
      </x:c>
      <x:c r="E158" t="str">
        <x:v>IT Operations Support Administrator I</x:v>
      </x:c>
      <x:c r="F158" t="str">
        <x:v>021</x:v>
      </x:c>
      <x:c r="G158" t="str">
        <x:v>COMMN</x:v>
      </x:c>
      <x:c r="H158" t="str">
        <x:v>1091Y</x:v>
      </x:c>
      <x:c r="I158" t="str">
        <x:v>$2,686</x:v>
      </x:c>
      <x:c r="J158" t="str"/>
      <x:c r="K158" t="str"/>
      <x:c r="L158" t="str">
        <x:v>$33.5750</x:v>
      </x:c>
      <x:c r="M158" t="str">
        <x:v>$34.4000</x:v>
      </x:c>
      <x:c r="N158" t="str">
        <x:v>$35.2500</x:v>
      </x:c>
      <x:c r="O158" t="str">
        <x:v>$36.0875</x:v>
      </x:c>
      <x:c r="P158" t="str">
        <x:v>$37.0000</x:v>
      </x:c>
      <x:c r="Q158" t="str">
        <x:v>$37.9250</x:v>
      </x:c>
      <x:c r="R158" t="str">
        <x:v>$38.8500</x:v>
      </x:c>
      <x:c r="S158" t="str">
        <x:v>$39.8250</x:v>
      </x:c>
      <x:c r="T158" t="str">
        <x:v>$40.8000</x:v>
      </x:c>
      <x:c r="U158" t="str">
        <x:v>$41.5875</x:v>
      </x:c>
      <x:c r="V158" t="str"/>
      <x:c r="W158" t="str"/>
      <x:c r="X158" t="str"/>
      <x:c r="Y158" t="str"/>
      <x:c r="Z158" t="str"/>
      <x:c r="AA158" t="str"/>
      <x:c r="AB158" t="str"/>
      <x:c r="AC158" t="str"/>
      <x:c r="AD158" t="str"/>
      <x:c r="AE158" t="str"/>
      <x:c r="AF158" t="str">
        <x:f>D158&amp;"|"&amp;UPPER(G158)&amp;"|"&amp;SUBSTITUTE(C158,"/","-")</x:f>
        <x:v>1091|COMMN|2024-01-06</x:v>
      </x:c>
    </x:row>
    <x:row r="159">
      <x:c r="A159" s="22" t="n">
        <x:v>26333</x:v>
      </x:c>
      <x:c r="B159" t="str">
        <x:v>FY23-24</x:v>
      </x:c>
      <x:c r="C159" t="str">
        <x:v>2024/01/06</x:v>
      </x:c>
      <x:c r="D159" t="str">
        <x:v>1091</x:v>
      </x:c>
      <x:c r="E159" t="str">
        <x:v>IT Operations Support Administrator I</x:v>
      </x:c>
      <x:c r="F159" t="str">
        <x:v>021</x:v>
      </x:c>
      <x:c r="G159" t="str">
        <x:v>SFMTA</x:v>
      </x:c>
      <x:c r="H159" t="str">
        <x:v>1091Y</x:v>
      </x:c>
      <x:c r="I159" t="str">
        <x:v>$2,686</x:v>
      </x:c>
      <x:c r="J159" t="str"/>
      <x:c r="K159" t="str"/>
      <x:c r="L159" t="str">
        <x:v>$33.5750</x:v>
      </x:c>
      <x:c r="M159" t="str">
        <x:v>$34.4000</x:v>
      </x:c>
      <x:c r="N159" t="str">
        <x:v>$35.2500</x:v>
      </x:c>
      <x:c r="O159" t="str">
        <x:v>$36.0875</x:v>
      </x:c>
      <x:c r="P159" t="str">
        <x:v>$37.0000</x:v>
      </x:c>
      <x:c r="Q159" t="str">
        <x:v>$37.9250</x:v>
      </x:c>
      <x:c r="R159" t="str">
        <x:v>$38.8500</x:v>
      </x:c>
      <x:c r="S159" t="str">
        <x:v>$39.8250</x:v>
      </x:c>
      <x:c r="T159" t="str">
        <x:v>$40.8000</x:v>
      </x:c>
      <x:c r="U159" t="str">
        <x:v>$41.5875</x:v>
      </x:c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>
        <x:f>D159&amp;"|"&amp;UPPER(G159)&amp;"|"&amp;SUBSTITUTE(C159,"/","-")</x:f>
        <x:v>1091|SFMTA|2024-01-06</x:v>
      </x:c>
    </x:row>
    <x:row r="160">
      <x:c r="A160" s="22" t="n">
        <x:v>28074</x:v>
      </x:c>
      <x:c r="B160" t="str">
        <x:v>FY24-25</x:v>
      </x:c>
      <x:c r="C160" t="str">
        <x:v>2024/07/01</x:v>
      </x:c>
      <x:c r="D160" t="str">
        <x:v>1091</x:v>
      </x:c>
      <x:c r="E160" t="str">
        <x:v>IT Operations Support Administrator I</x:v>
      </x:c>
      <x:c r="F160" t="str">
        <x:v>021</x:v>
      </x:c>
      <x:c r="G160" t="str">
        <x:v>COMMN</x:v>
      </x:c>
      <x:c r="H160" t="str">
        <x:v>1091Z</x:v>
      </x:c>
      <x:c r="I160" t="str">
        <x:v>$2,753</x:v>
      </x:c>
      <x:c r="J160" t="str"/>
      <x:c r="K160" t="str"/>
      <x:c r="L160" t="str">
        <x:v>$34.4125</x:v>
      </x:c>
      <x:c r="M160" t="str">
        <x:v>$35.2625</x:v>
      </x:c>
      <x:c r="N160" t="str">
        <x:v>$36.1375</x:v>
      </x:c>
      <x:c r="O160" t="str">
        <x:v>$36.9875</x:v>
      </x:c>
      <x:c r="P160" t="str">
        <x:v>$37.9250</x:v>
      </x:c>
      <x:c r="Q160" t="str">
        <x:v>$38.8750</x:v>
      </x:c>
      <x:c r="R160" t="str">
        <x:v>$39.8250</x:v>
      </x:c>
      <x:c r="S160" t="str">
        <x:v>$40.8250</x:v>
      </x:c>
      <x:c r="T160" t="str">
        <x:v>$41.8250</x:v>
      </x:c>
      <x:c r="U160" t="str">
        <x:v>$42.6250</x:v>
      </x:c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>
        <x:f>D160&amp;"|"&amp;UPPER(G160)&amp;"|"&amp;SUBSTITUTE(C160,"/","-")</x:f>
        <x:v>1091|COMMN|2024-07-01</x:v>
      </x:c>
    </x:row>
    <x:row r="161">
      <x:c r="A161" s="22" t="n">
        <x:v>28075</x:v>
      </x:c>
      <x:c r="B161" t="str">
        <x:v>FY24-25</x:v>
      </x:c>
      <x:c r="C161" t="str">
        <x:v>2024/07/01</x:v>
      </x:c>
      <x:c r="D161" t="str">
        <x:v>1091</x:v>
      </x:c>
      <x:c r="E161" t="str">
        <x:v>IT Operations Support Administrator I</x:v>
      </x:c>
      <x:c r="F161" t="str">
        <x:v>021</x:v>
      </x:c>
      <x:c r="G161" t="str">
        <x:v>SFMTA</x:v>
      </x:c>
      <x:c r="H161" t="str">
        <x:v>1091Z</x:v>
      </x:c>
      <x:c r="I161" t="str">
        <x:v>$2,753</x:v>
      </x:c>
      <x:c r="J161" t="str"/>
      <x:c r="K161" t="str"/>
      <x:c r="L161" t="str">
        <x:v>$34.4125</x:v>
      </x:c>
      <x:c r="M161" t="str">
        <x:v>$35.2625</x:v>
      </x:c>
      <x:c r="N161" t="str">
        <x:v>$36.1375</x:v>
      </x:c>
      <x:c r="O161" t="str">
        <x:v>$36.9875</x:v>
      </x:c>
      <x:c r="P161" t="str">
        <x:v>$37.9250</x:v>
      </x:c>
      <x:c r="Q161" t="str">
        <x:v>$38.8750</x:v>
      </x:c>
      <x:c r="R161" t="str">
        <x:v>$39.8250</x:v>
      </x:c>
      <x:c r="S161" t="str">
        <x:v>$40.8250</x:v>
      </x:c>
      <x:c r="T161" t="str">
        <x:v>$41.8250</x:v>
      </x:c>
      <x:c r="U161" t="str">
        <x:v>$42.6250</x:v>
      </x:c>
      <x:c r="V161" t="str"/>
      <x:c r="W161" t="str"/>
      <x:c r="X161" t="str"/>
      <x:c r="Y161" t="str"/>
      <x:c r="Z161" t="str"/>
      <x:c r="AA161" t="str"/>
      <x:c r="AB161" t="str"/>
      <x:c r="AC161" t="str"/>
      <x:c r="AD161" t="str"/>
      <x:c r="AE161" t="str"/>
      <x:c r="AF161" t="str">
        <x:f>D161&amp;"|"&amp;UPPER(G161)&amp;"|"&amp;SUBSTITUTE(C161,"/","-")</x:f>
        <x:v>1091|SFMTA|2024-07-01</x:v>
      </x:c>
    </x:row>
    <x:row r="162">
      <x:c r="A162" s="22" t="n">
        <x:v>29780</x:v>
      </x:c>
      <x:c r="B162" t="str">
        <x:v>FY24-25</x:v>
      </x:c>
      <x:c r="C162" t="str">
        <x:v>2025/01/04</x:v>
      </x:c>
      <x:c r="D162" t="str">
        <x:v>1091</x:v>
      </x:c>
      <x:c r="E162" t="str">
        <x:v>IT Operations Support Administrator I</x:v>
      </x:c>
      <x:c r="F162" t="str">
        <x:v>021</x:v>
      </x:c>
      <x:c r="G162" t="str">
        <x:v>COMMN</x:v>
      </x:c>
      <x:c r="H162" t="str">
        <x:v>1091A</x:v>
      </x:c>
      <x:c r="I162" t="str">
        <x:v>$2,794</x:v>
      </x:c>
      <x:c r="J162" t="str"/>
      <x:c r="K162" t="str"/>
      <x:c r="L162" t="str">
        <x:v>$34.9250</x:v>
      </x:c>
      <x:c r="M162" t="str">
        <x:v>$35.7875</x:v>
      </x:c>
      <x:c r="N162" t="str">
        <x:v>$36.6750</x:v>
      </x:c>
      <x:c r="O162" t="str">
        <x:v>$37.5375</x:v>
      </x:c>
      <x:c r="P162" t="str">
        <x:v>$38.5000</x:v>
      </x:c>
      <x:c r="Q162" t="str">
        <x:v>$39.4625</x:v>
      </x:c>
      <x:c r="R162" t="str">
        <x:v>$40.4250</x:v>
      </x:c>
      <x:c r="S162" t="str">
        <x:v>$41.4375</x:v>
      </x:c>
      <x:c r="T162" t="str">
        <x:v>$42.4500</x:v>
      </x:c>
      <x:c r="U162" t="str">
        <x:v>$43.2625</x:v>
      </x:c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>
        <x:f>D162&amp;"|"&amp;UPPER(G162)&amp;"|"&amp;SUBSTITUTE(C162,"/","-")</x:f>
        <x:v>1091|COMMN|2025-01-04</x:v>
      </x:c>
    </x:row>
    <x:row r="163">
      <x:c r="A163" s="22" t="n">
        <x:v>29781</x:v>
      </x:c>
      <x:c r="B163" t="str">
        <x:v>FY24-25</x:v>
      </x:c>
      <x:c r="C163" t="str">
        <x:v>2025/01/04</x:v>
      </x:c>
      <x:c r="D163" t="str">
        <x:v>1091</x:v>
      </x:c>
      <x:c r="E163" t="str">
        <x:v>IT Operations Support Administrator I</x:v>
      </x:c>
      <x:c r="F163" t="str">
        <x:v>021</x:v>
      </x:c>
      <x:c r="G163" t="str">
        <x:v>SFMTA</x:v>
      </x:c>
      <x:c r="H163" t="str">
        <x:v>1091A</x:v>
      </x:c>
      <x:c r="I163" t="str">
        <x:v>$2,794</x:v>
      </x:c>
      <x:c r="J163" t="str"/>
      <x:c r="K163" t="str"/>
      <x:c r="L163" t="str">
        <x:v>$34.9250</x:v>
      </x:c>
      <x:c r="M163" t="str">
        <x:v>$35.7875</x:v>
      </x:c>
      <x:c r="N163" t="str">
        <x:v>$36.6750</x:v>
      </x:c>
      <x:c r="O163" t="str">
        <x:v>$37.5375</x:v>
      </x:c>
      <x:c r="P163" t="str">
        <x:v>$38.5000</x:v>
      </x:c>
      <x:c r="Q163" t="str">
        <x:v>$39.4625</x:v>
      </x:c>
      <x:c r="R163" t="str">
        <x:v>$40.4250</x:v>
      </x:c>
      <x:c r="S163" t="str">
        <x:v>$41.4375</x:v>
      </x:c>
      <x:c r="T163" t="str">
        <x:v>$42.4500</x:v>
      </x:c>
      <x:c r="U163" t="str">
        <x:v>$43.2625</x:v>
      </x:c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>
        <x:f>D163&amp;"|"&amp;UPPER(G163)&amp;"|"&amp;SUBSTITUTE(C163,"/","-")</x:f>
        <x:v>1091|SFMTA|2025-01-04</x:v>
      </x:c>
    </x:row>
    <x:row r="164">
      <x:c r="A164" s="22" t="n">
        <x:v>31493</x:v>
      </x:c>
      <x:c r="B164" t="str">
        <x:v>FY25-26</x:v>
      </x:c>
      <x:c r="C164" t="str">
        <x:v>2025/07/01</x:v>
      </x:c>
      <x:c r="D164" t="str">
        <x:v>1091</x:v>
      </x:c>
      <x:c r="E164" t="str">
        <x:v>IT Operations Support Admin I</x:v>
      </x:c>
      <x:c r="F164" t="str">
        <x:v>021</x:v>
      </x:c>
      <x:c r="G164" t="str">
        <x:v>COMMN</x:v>
      </x:c>
      <x:c r="H164" t="str">
        <x:v>1091B</x:v>
      </x:c>
      <x:c r="I164" t="str">
        <x:v>$2,850</x:v>
      </x:c>
      <x:c r="J164" t="str"/>
      <x:c r="K164" t="str"/>
      <x:c r="L164" t="str">
        <x:v>$35.6250</x:v>
      </x:c>
      <x:c r="M164" t="str">
        <x:v>$36.5125</x:v>
      </x:c>
      <x:c r="N164" t="str">
        <x:v>$37.4125</x:v>
      </x:c>
      <x:c r="O164" t="str">
        <x:v>$38.2875</x:v>
      </x:c>
      <x:c r="P164" t="str">
        <x:v>$39.2750</x:v>
      </x:c>
      <x:c r="Q164" t="str">
        <x:v>$40.2500</x:v>
      </x:c>
      <x:c r="R164" t="str">
        <x:v>$41.2375</x:v>
      </x:c>
      <x:c r="S164" t="str">
        <x:v>$42.2750</x:v>
      </x:c>
      <x:c r="T164" t="str">
        <x:v>$43.3000</x:v>
      </x:c>
      <x:c r="U164" t="str">
        <x:v>$44.1375</x:v>
      </x:c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>
        <x:f>D164&amp;"|"&amp;UPPER(G164)&amp;"|"&amp;SUBSTITUTE(C164,"/","-")</x:f>
        <x:v>1091|COMMN|2025-07-01</x:v>
      </x:c>
    </x:row>
    <x:row r="165">
      <x:c r="A165" s="22" t="n">
        <x:v>31494</x:v>
      </x:c>
      <x:c r="B165" t="str">
        <x:v>FY25-26</x:v>
      </x:c>
      <x:c r="C165" t="str">
        <x:v>2025/07/01</x:v>
      </x:c>
      <x:c r="D165" t="str">
        <x:v>1091</x:v>
      </x:c>
      <x:c r="E165" t="str">
        <x:v>IT Operations Support Admin I</x:v>
      </x:c>
      <x:c r="F165" t="str">
        <x:v>021</x:v>
      </x:c>
      <x:c r="G165" t="str">
        <x:v>SFMTA</x:v>
      </x:c>
      <x:c r="H165" t="str">
        <x:v>1091B</x:v>
      </x:c>
      <x:c r="I165" t="str">
        <x:v>$2,850</x:v>
      </x:c>
      <x:c r="J165" t="str"/>
      <x:c r="K165" t="str"/>
      <x:c r="L165" t="str">
        <x:v>$35.6250</x:v>
      </x:c>
      <x:c r="M165" t="str">
        <x:v>$36.5125</x:v>
      </x:c>
      <x:c r="N165" t="str">
        <x:v>$37.4125</x:v>
      </x:c>
      <x:c r="O165" t="str">
        <x:v>$38.2875</x:v>
      </x:c>
      <x:c r="P165" t="str">
        <x:v>$39.2750</x:v>
      </x:c>
      <x:c r="Q165" t="str">
        <x:v>$40.2500</x:v>
      </x:c>
      <x:c r="R165" t="str">
        <x:v>$41.2375</x:v>
      </x:c>
      <x:c r="S165" t="str">
        <x:v>$42.2750</x:v>
      </x:c>
      <x:c r="T165" t="str">
        <x:v>$43.3000</x:v>
      </x:c>
      <x:c r="U165" t="str">
        <x:v>$44.1375</x:v>
      </x:c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>
        <x:f>D165&amp;"|"&amp;UPPER(G165)&amp;"|"&amp;SUBSTITUTE(C165,"/","-")</x:f>
        <x:v>1091|SFMTA|2025-07-01</x:v>
      </x:c>
    </x:row>
    <x:row r="166">
      <x:c r="A166" s="22" t="n">
        <x:v>33179</x:v>
      </x:c>
      <x:c r="B166" t="str">
        <x:v>FY25-26</x:v>
      </x:c>
      <x:c r="C166" t="str">
        <x:v>2026/01/03</x:v>
      </x:c>
      <x:c r="D166" t="str">
        <x:v>1091</x:v>
      </x:c>
      <x:c r="E166" t="str">
        <x:v>IT Operations Support Admin I</x:v>
      </x:c>
      <x:c r="F166" t="str">
        <x:v>021</x:v>
      </x:c>
      <x:c r="G166" t="str">
        <x:v>COMMN</x:v>
      </x:c>
      <x:c r="H166" t="str">
        <x:v>1091C</x:v>
      </x:c>
      <x:c r="I166" t="str">
        <x:v>$2,893</x:v>
      </x:c>
      <x:c r="J166" t="str"/>
      <x:c r="K166" t="str"/>
      <x:c r="L166" t="str">
        <x:v>$36.1625</x:v>
      </x:c>
      <x:c r="M166" t="str">
        <x:v>$37.0625</x:v>
      </x:c>
      <x:c r="N166" t="str">
        <x:v>$37.9750</x:v>
      </x:c>
      <x:c r="O166" t="str">
        <x:v>$38.8625</x:v>
      </x:c>
      <x:c r="P166" t="str">
        <x:v>$39.8625</x:v>
      </x:c>
      <x:c r="Q166" t="str">
        <x:v>$40.8500</x:v>
      </x:c>
      <x:c r="R166" t="str">
        <x:v>$41.8500</x:v>
      </x:c>
      <x:c r="S166" t="str">
        <x:v>$42.9125</x:v>
      </x:c>
      <x:c r="T166" t="str">
        <x:v>$43.9500</x:v>
      </x:c>
      <x:c r="U166" t="str">
        <x:v>$44.8000</x:v>
      </x:c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>
        <x:f>D166&amp;"|"&amp;UPPER(G166)&amp;"|"&amp;SUBSTITUTE(C166,"/","-")</x:f>
        <x:v>1091|COMMN|2026-01-03</x:v>
      </x:c>
    </x:row>
    <x:row r="167">
      <x:c r="A167" s="22" t="n">
        <x:v>33180</x:v>
      </x:c>
      <x:c r="B167" t="str">
        <x:v>FY25-26</x:v>
      </x:c>
      <x:c r="C167" t="str">
        <x:v>2026/01/03</x:v>
      </x:c>
      <x:c r="D167" t="str">
        <x:v>1091</x:v>
      </x:c>
      <x:c r="E167" t="str">
        <x:v>IT Operations Support Admin I</x:v>
      </x:c>
      <x:c r="F167" t="str">
        <x:v>021</x:v>
      </x:c>
      <x:c r="G167" t="str">
        <x:v>SFMTA</x:v>
      </x:c>
      <x:c r="H167" t="str">
        <x:v>1091C</x:v>
      </x:c>
      <x:c r="I167" t="str">
        <x:v>$2,893</x:v>
      </x:c>
      <x:c r="J167" t="str"/>
      <x:c r="K167" t="str"/>
      <x:c r="L167" t="str">
        <x:v>$36.1625</x:v>
      </x:c>
      <x:c r="M167" t="str">
        <x:v>$37.0625</x:v>
      </x:c>
      <x:c r="N167" t="str">
        <x:v>$37.9750</x:v>
      </x:c>
      <x:c r="O167" t="str">
        <x:v>$38.8625</x:v>
      </x:c>
      <x:c r="P167" t="str">
        <x:v>$39.8625</x:v>
      </x:c>
      <x:c r="Q167" t="str">
        <x:v>$40.8500</x:v>
      </x:c>
      <x:c r="R167" t="str">
        <x:v>$41.8500</x:v>
      </x:c>
      <x:c r="S167" t="str">
        <x:v>$42.9125</x:v>
      </x:c>
      <x:c r="T167" t="str">
        <x:v>$43.9500</x:v>
      </x:c>
      <x:c r="U167" t="str">
        <x:v>$44.8000</x:v>
      </x:c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>
        <x:f>D167&amp;"|"&amp;UPPER(G167)&amp;"|"&amp;SUBSTITUTE(C167,"/","-")</x:f>
        <x:v>1091|SFMTA|2026-01-03</x:v>
      </x:c>
    </x:row>
    <x:row r="168">
      <x:c r="A168" s="22" t="n">
        <x:v>15984</x:v>
      </x:c>
      <x:c r="B168" t="str">
        <x:v>FY20-21</x:v>
      </x:c>
      <x:c r="C168" t="str">
        <x:v>2020/07/01</x:v>
      </x:c>
      <x:c r="D168" t="str">
        <x:v>1092</x:v>
      </x:c>
      <x:c r="E168" t="str">
        <x:v>IT Operations Support Administrator II</x:v>
      </x:c>
      <x:c r="F168" t="str">
        <x:v>021</x:v>
      </x:c>
      <x:c r="G168" t="str">
        <x:v>COMMN</x:v>
      </x:c>
      <x:c r="H168" t="str">
        <x:v>1092S</x:v>
      </x:c>
      <x:c r="I168" t="str">
        <x:v>$2,669</x:v>
      </x:c>
      <x:c r="J168" t="str"/>
      <x:c r="K168" t="str"/>
      <x:c r="L168" t="str">
        <x:v>$33.3625</x:v>
      </x:c>
      <x:c r="M168" t="str">
        <x:v>$34.1875</x:v>
      </x:c>
      <x:c r="N168" t="str">
        <x:v>$35.0250</x:v>
      </x:c>
      <x:c r="O168" t="str">
        <x:v>$35.8875</x:v>
      </x:c>
      <x:c r="P168" t="str">
        <x:v>$36.7750</x:v>
      </x:c>
      <x:c r="Q168" t="str">
        <x:v>$37.6875</x:v>
      </x:c>
      <x:c r="R168" t="str">
        <x:v>$38.6375</x:v>
      </x:c>
      <x:c r="S168" t="str">
        <x:v>$39.5625</x:v>
      </x:c>
      <x:c r="T168" t="str">
        <x:v>$40.5625</x:v>
      </x:c>
      <x:c r="U168" t="str">
        <x:v>$41.3500</x:v>
      </x:c>
      <x:c r="V168" t="str"/>
      <x:c r="W168" t="str"/>
      <x:c r="X168" t="str"/>
      <x:c r="Y168" t="str"/>
      <x:c r="Z168" t="str"/>
      <x:c r="AA168" t="str"/>
      <x:c r="AB168" t="str"/>
      <x:c r="AC168" t="str"/>
      <x:c r="AD168" t="str"/>
      <x:c r="AE168" t="str"/>
      <x:c r="AF168" t="str">
        <x:f>D168&amp;"|"&amp;UPPER(G168)&amp;"|"&amp;SUBSTITUTE(C168,"/","-")</x:f>
        <x:v>1092|COMMN|2020-07-01</x:v>
      </x:c>
    </x:row>
    <x:row r="169">
      <x:c r="A169" s="22" t="n">
        <x:v>26334</x:v>
      </x:c>
      <x:c r="B169" t="str">
        <x:v>FY23-24</x:v>
      </x:c>
      <x:c r="C169" t="str">
        <x:v>2024/01/06</x:v>
      </x:c>
      <x:c r="D169" t="str">
        <x:v>1092</x:v>
      </x:c>
      <x:c r="E169" t="str">
        <x:v>IT Operations Support Administrator II</x:v>
      </x:c>
      <x:c r="F169" t="str">
        <x:v>021</x:v>
      </x:c>
      <x:c r="G169" t="str">
        <x:v>COMMN</x:v>
      </x:c>
      <x:c r="H169" t="str">
        <x:v>1092Y</x:v>
      </x:c>
      <x:c r="I169" t="str">
        <x:v>$3,154</x:v>
      </x:c>
      <x:c r="J169" t="str"/>
      <x:c r="K169" t="str"/>
      <x:c r="L169" t="str">
        <x:v>$39.4250</x:v>
      </x:c>
      <x:c r="M169" t="str">
        <x:v>$40.4125</x:v>
      </x:c>
      <x:c r="N169" t="str">
        <x:v>$41.4000</x:v>
      </x:c>
      <x:c r="O169" t="str">
        <x:v>$42.4125</x:v>
      </x:c>
      <x:c r="P169" t="str">
        <x:v>$43.4875</x:v>
      </x:c>
      <x:c r="Q169" t="str">
        <x:v>$44.5375</x:v>
      </x:c>
      <x:c r="R169" t="str">
        <x:v>$45.6625</x:v>
      </x:c>
      <x:c r="S169" t="str">
        <x:v>$46.7625</x:v>
      </x:c>
      <x:c r="T169" t="str">
        <x:v>$47.9125</x:v>
      </x:c>
      <x:c r="U169" t="str">
        <x:v>$48.8750</x:v>
      </x:c>
      <x:c r="V169" t="str"/>
      <x:c r="W169" t="str"/>
      <x:c r="X169" t="str"/>
      <x:c r="Y169" t="str"/>
      <x:c r="Z169" t="str"/>
      <x:c r="AA169" t="str"/>
      <x:c r="AB169" t="str"/>
      <x:c r="AC169" t="str"/>
      <x:c r="AD169" t="str"/>
      <x:c r="AE169" t="str"/>
      <x:c r="AF169" t="str">
        <x:f>D169&amp;"|"&amp;UPPER(G169)&amp;"|"&amp;SUBSTITUTE(C169,"/","-")</x:f>
        <x:v>1092|COMMN|2024-01-06</x:v>
      </x:c>
    </x:row>
    <x:row r="170">
      <x:c r="A170" s="22" t="n">
        <x:v>26335</x:v>
      </x:c>
      <x:c r="B170" t="str">
        <x:v>FY23-24</x:v>
      </x:c>
      <x:c r="C170" t="str">
        <x:v>2024/01/06</x:v>
      </x:c>
      <x:c r="D170" t="str">
        <x:v>1092</x:v>
      </x:c>
      <x:c r="E170" t="str">
        <x:v>IT Operations Support Administrator II</x:v>
      </x:c>
      <x:c r="F170" t="str">
        <x:v>021</x:v>
      </x:c>
      <x:c r="G170" t="str">
        <x:v>SFMTA</x:v>
      </x:c>
      <x:c r="H170" t="str">
        <x:v>1092Y</x:v>
      </x:c>
      <x:c r="I170" t="str">
        <x:v>$3,154</x:v>
      </x:c>
      <x:c r="J170" t="str"/>
      <x:c r="K170" t="str"/>
      <x:c r="L170" t="str">
        <x:v>$39.4250</x:v>
      </x:c>
      <x:c r="M170" t="str">
        <x:v>$40.4125</x:v>
      </x:c>
      <x:c r="N170" t="str">
        <x:v>$41.4000</x:v>
      </x:c>
      <x:c r="O170" t="str">
        <x:v>$42.4125</x:v>
      </x:c>
      <x:c r="P170" t="str">
        <x:v>$43.4875</x:v>
      </x:c>
      <x:c r="Q170" t="str">
        <x:v>$44.5375</x:v>
      </x:c>
      <x:c r="R170" t="str">
        <x:v>$45.6625</x:v>
      </x:c>
      <x:c r="S170" t="str">
        <x:v>$46.7625</x:v>
      </x:c>
      <x:c r="T170" t="str">
        <x:v>$47.9125</x:v>
      </x:c>
      <x:c r="U170" t="str">
        <x:v>$48.8750</x:v>
      </x:c>
      <x:c r="V170" t="str"/>
      <x:c r="W170" t="str"/>
      <x:c r="X170" t="str"/>
      <x:c r="Y170" t="str"/>
      <x:c r="Z170" t="str"/>
      <x:c r="AA170" t="str"/>
      <x:c r="AB170" t="str"/>
      <x:c r="AC170" t="str"/>
      <x:c r="AD170" t="str"/>
      <x:c r="AE170" t="str"/>
      <x:c r="AF170" t="str">
        <x:f>D170&amp;"|"&amp;UPPER(G170)&amp;"|"&amp;SUBSTITUTE(C170,"/","-")</x:f>
        <x:v>1092|SFMTA|2024-01-06</x:v>
      </x:c>
    </x:row>
    <x:row r="171">
      <x:c r="A171" s="22" t="n">
        <x:v>28076</x:v>
      </x:c>
      <x:c r="B171" t="str">
        <x:v>FY24-25</x:v>
      </x:c>
      <x:c r="C171" t="str">
        <x:v>2024/07/01</x:v>
      </x:c>
      <x:c r="D171" t="str">
        <x:v>1092</x:v>
      </x:c>
      <x:c r="E171" t="str">
        <x:v>IT Operations Support Administrator II</x:v>
      </x:c>
      <x:c r="F171" t="str">
        <x:v>021</x:v>
      </x:c>
      <x:c r="G171" t="str">
        <x:v>COMMN</x:v>
      </x:c>
      <x:c r="H171" t="str">
        <x:v>1092Z</x:v>
      </x:c>
      <x:c r="I171" t="str">
        <x:v>$3,233</x:v>
      </x:c>
      <x:c r="J171" t="str"/>
      <x:c r="K171" t="str"/>
      <x:c r="L171" t="str">
        <x:v>$40.4125</x:v>
      </x:c>
      <x:c r="M171" t="str">
        <x:v>$41.4250</x:v>
      </x:c>
      <x:c r="N171" t="str">
        <x:v>$42.4375</x:v>
      </x:c>
      <x:c r="O171" t="str">
        <x:v>$43.4750</x:v>
      </x:c>
      <x:c r="P171" t="str">
        <x:v>$44.5750</x:v>
      </x:c>
      <x:c r="Q171" t="str">
        <x:v>$45.6500</x:v>
      </x:c>
      <x:c r="R171" t="str">
        <x:v>$46.8000</x:v>
      </x:c>
      <x:c r="S171" t="str">
        <x:v>$47.9375</x:v>
      </x:c>
      <x:c r="T171" t="str">
        <x:v>$49.1125</x:v>
      </x:c>
      <x:c r="U171" t="str">
        <x:v>$50.1000</x:v>
      </x:c>
      <x:c r="V171" t="str"/>
      <x:c r="W171" t="str"/>
      <x:c r="X171" t="str"/>
      <x:c r="Y171" t="str"/>
      <x:c r="Z171" t="str"/>
      <x:c r="AA171" t="str"/>
      <x:c r="AB171" t="str"/>
      <x:c r="AC171" t="str"/>
      <x:c r="AD171" t="str"/>
      <x:c r="AE171" t="str"/>
      <x:c r="AF171" t="str">
        <x:f>D171&amp;"|"&amp;UPPER(G171)&amp;"|"&amp;SUBSTITUTE(C171,"/","-")</x:f>
        <x:v>1092|COMMN|2024-07-01</x:v>
      </x:c>
    </x:row>
    <x:row r="172">
      <x:c r="A172" s="22" t="n">
        <x:v>28077</x:v>
      </x:c>
      <x:c r="B172" t="str">
        <x:v>FY24-25</x:v>
      </x:c>
      <x:c r="C172" t="str">
        <x:v>2024/07/01</x:v>
      </x:c>
      <x:c r="D172" t="str">
        <x:v>1092</x:v>
      </x:c>
      <x:c r="E172" t="str">
        <x:v>IT Operations Support Administrator II</x:v>
      </x:c>
      <x:c r="F172" t="str">
        <x:v>021</x:v>
      </x:c>
      <x:c r="G172" t="str">
        <x:v>SFMTA</x:v>
      </x:c>
      <x:c r="H172" t="str">
        <x:v>1092Z</x:v>
      </x:c>
      <x:c r="I172" t="str">
        <x:v>$3,233</x:v>
      </x:c>
      <x:c r="J172" t="str"/>
      <x:c r="K172" t="str"/>
      <x:c r="L172" t="str">
        <x:v>$40.4125</x:v>
      </x:c>
      <x:c r="M172" t="str">
        <x:v>$41.4250</x:v>
      </x:c>
      <x:c r="N172" t="str">
        <x:v>$42.4375</x:v>
      </x:c>
      <x:c r="O172" t="str">
        <x:v>$43.4750</x:v>
      </x:c>
      <x:c r="P172" t="str">
        <x:v>$44.5750</x:v>
      </x:c>
      <x:c r="Q172" t="str">
        <x:v>$45.6500</x:v>
      </x:c>
      <x:c r="R172" t="str">
        <x:v>$46.8000</x:v>
      </x:c>
      <x:c r="S172" t="str">
        <x:v>$47.9375</x:v>
      </x:c>
      <x:c r="T172" t="str">
        <x:v>$49.1125</x:v>
      </x:c>
      <x:c r="U172" t="str">
        <x:v>$50.1000</x:v>
      </x:c>
      <x:c r="V172" t="str"/>
      <x:c r="W172" t="str"/>
      <x:c r="X172" t="str"/>
      <x:c r="Y172" t="str"/>
      <x:c r="Z172" t="str"/>
      <x:c r="AA172" t="str"/>
      <x:c r="AB172" t="str"/>
      <x:c r="AC172" t="str"/>
      <x:c r="AD172" t="str"/>
      <x:c r="AE172" t="str"/>
      <x:c r="AF172" t="str">
        <x:f>D172&amp;"|"&amp;UPPER(G172)&amp;"|"&amp;SUBSTITUTE(C172,"/","-")</x:f>
        <x:v>1092|SFMTA|2024-07-01</x:v>
      </x:c>
    </x:row>
    <x:row r="173">
      <x:c r="A173" s="22" t="n">
        <x:v>29782</x:v>
      </x:c>
      <x:c r="B173" t="str">
        <x:v>FY24-25</x:v>
      </x:c>
      <x:c r="C173" t="str">
        <x:v>2025/01/04</x:v>
      </x:c>
      <x:c r="D173" t="str">
        <x:v>1092</x:v>
      </x:c>
      <x:c r="E173" t="str">
        <x:v>IT Operations Support Administrator II</x:v>
      </x:c>
      <x:c r="F173" t="str">
        <x:v>021</x:v>
      </x:c>
      <x:c r="G173" t="str">
        <x:v>COMMN</x:v>
      </x:c>
      <x:c r="H173" t="str">
        <x:v>1092A</x:v>
      </x:c>
      <x:c r="I173" t="str">
        <x:v>$3,281</x:v>
      </x:c>
      <x:c r="J173" t="str"/>
      <x:c r="K173" t="str"/>
      <x:c r="L173" t="str">
        <x:v>$41.0125</x:v>
      </x:c>
      <x:c r="M173" t="str">
        <x:v>$42.0500</x:v>
      </x:c>
      <x:c r="N173" t="str">
        <x:v>$43.0750</x:v>
      </x:c>
      <x:c r="O173" t="str">
        <x:v>$44.1250</x:v>
      </x:c>
      <x:c r="P173" t="str">
        <x:v>$45.2375</x:v>
      </x:c>
      <x:c r="Q173" t="str">
        <x:v>$46.3375</x:v>
      </x:c>
      <x:c r="R173" t="str">
        <x:v>$47.5000</x:v>
      </x:c>
      <x:c r="S173" t="str">
        <x:v>$48.6625</x:v>
      </x:c>
      <x:c r="T173" t="str">
        <x:v>$49.8500</x:v>
      </x:c>
      <x:c r="U173" t="str">
        <x:v>$50.8500</x:v>
      </x:c>
      <x:c r="V173" t="str"/>
      <x:c r="W173" t="str"/>
      <x:c r="X173" t="str"/>
      <x:c r="Y173" t="str"/>
      <x:c r="Z173" t="str"/>
      <x:c r="AA173" t="str"/>
      <x:c r="AB173" t="str"/>
      <x:c r="AC173" t="str"/>
      <x:c r="AD173" t="str"/>
      <x:c r="AE173" t="str"/>
      <x:c r="AF173" t="str">
        <x:f>D173&amp;"|"&amp;UPPER(G173)&amp;"|"&amp;SUBSTITUTE(C173,"/","-")</x:f>
        <x:v>1092|COMMN|2025-01-04</x:v>
      </x:c>
    </x:row>
    <x:row r="174">
      <x:c r="A174" s="22" t="n">
        <x:v>29783</x:v>
      </x:c>
      <x:c r="B174" t="str">
        <x:v>FY24-25</x:v>
      </x:c>
      <x:c r="C174" t="str">
        <x:v>2025/01/04</x:v>
      </x:c>
      <x:c r="D174" t="str">
        <x:v>1092</x:v>
      </x:c>
      <x:c r="E174" t="str">
        <x:v>IT Operations Support Administrator II</x:v>
      </x:c>
      <x:c r="F174" t="str">
        <x:v>021</x:v>
      </x:c>
      <x:c r="G174" t="str">
        <x:v>SFMTA</x:v>
      </x:c>
      <x:c r="H174" t="str">
        <x:v>1092A</x:v>
      </x:c>
      <x:c r="I174" t="str">
        <x:v>$3,281</x:v>
      </x:c>
      <x:c r="J174" t="str"/>
      <x:c r="K174" t="str"/>
      <x:c r="L174" t="str">
        <x:v>$41.0125</x:v>
      </x:c>
      <x:c r="M174" t="str">
        <x:v>$42.0500</x:v>
      </x:c>
      <x:c r="N174" t="str">
        <x:v>$43.0750</x:v>
      </x:c>
      <x:c r="O174" t="str">
        <x:v>$44.1250</x:v>
      </x:c>
      <x:c r="P174" t="str">
        <x:v>$45.2375</x:v>
      </x:c>
      <x:c r="Q174" t="str">
        <x:v>$46.3375</x:v>
      </x:c>
      <x:c r="R174" t="str">
        <x:v>$47.5000</x:v>
      </x:c>
      <x:c r="S174" t="str">
        <x:v>$48.6625</x:v>
      </x:c>
      <x:c r="T174" t="str">
        <x:v>$49.8500</x:v>
      </x:c>
      <x:c r="U174" t="str">
        <x:v>$50.8500</x:v>
      </x:c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>
        <x:f>D174&amp;"|"&amp;UPPER(G174)&amp;"|"&amp;SUBSTITUTE(C174,"/","-")</x:f>
        <x:v>1092|SFMTA|2025-01-04</x:v>
      </x:c>
    </x:row>
    <x:row r="175">
      <x:c r="A175" s="22" t="n">
        <x:v>31495</x:v>
      </x:c>
      <x:c r="B175" t="str">
        <x:v>FY25-26</x:v>
      </x:c>
      <x:c r="C175" t="str">
        <x:v>2025/07/01</x:v>
      </x:c>
      <x:c r="D175" t="str">
        <x:v>1092</x:v>
      </x:c>
      <x:c r="E175" t="str">
        <x:v>IT Operations Support Admin II</x:v>
      </x:c>
      <x:c r="F175" t="str">
        <x:v>021</x:v>
      </x:c>
      <x:c r="G175" t="str">
        <x:v>COMMN</x:v>
      </x:c>
      <x:c r="H175" t="str">
        <x:v>1092B</x:v>
      </x:c>
      <x:c r="I175" t="str">
        <x:v>$3,347</x:v>
      </x:c>
      <x:c r="J175" t="str"/>
      <x:c r="K175" t="str"/>
      <x:c r="L175" t="str">
        <x:v>$41.8375</x:v>
      </x:c>
      <x:c r="M175" t="str">
        <x:v>$42.9000</x:v>
      </x:c>
      <x:c r="N175" t="str">
        <x:v>$43.9375</x:v>
      </x:c>
      <x:c r="O175" t="str">
        <x:v>$45.0125</x:v>
      </x:c>
      <x:c r="P175" t="str">
        <x:v>$46.1500</x:v>
      </x:c>
      <x:c r="Q175" t="str">
        <x:v>$47.2750</x:v>
      </x:c>
      <x:c r="R175" t="str">
        <x:v>$48.4500</x:v>
      </x:c>
      <x:c r="S175" t="str">
        <x:v>$49.6375</x:v>
      </x:c>
      <x:c r="T175" t="str">
        <x:v>$50.8500</x:v>
      </x:c>
      <x:c r="U175" t="str">
        <x:v>$51.8750</x:v>
      </x:c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>
        <x:f>D175&amp;"|"&amp;UPPER(G175)&amp;"|"&amp;SUBSTITUTE(C175,"/","-")</x:f>
        <x:v>1092|COMMN|2025-07-01</x:v>
      </x:c>
    </x:row>
    <x:row r="176">
      <x:c r="A176" s="22" t="n">
        <x:v>31496</x:v>
      </x:c>
      <x:c r="B176" t="str">
        <x:v>FY25-26</x:v>
      </x:c>
      <x:c r="C176" t="str">
        <x:v>2025/07/01</x:v>
      </x:c>
      <x:c r="D176" t="str">
        <x:v>1092</x:v>
      </x:c>
      <x:c r="E176" t="str">
        <x:v>IT Operations Support Admin II</x:v>
      </x:c>
      <x:c r="F176" t="str">
        <x:v>021</x:v>
      </x:c>
      <x:c r="G176" t="str">
        <x:v>SFMTA</x:v>
      </x:c>
      <x:c r="H176" t="str">
        <x:v>1092B</x:v>
      </x:c>
      <x:c r="I176" t="str">
        <x:v>$3,347</x:v>
      </x:c>
      <x:c r="J176" t="str"/>
      <x:c r="K176" t="str"/>
      <x:c r="L176" t="str">
        <x:v>$41.8375</x:v>
      </x:c>
      <x:c r="M176" t="str">
        <x:v>$42.9000</x:v>
      </x:c>
      <x:c r="N176" t="str">
        <x:v>$43.9375</x:v>
      </x:c>
      <x:c r="O176" t="str">
        <x:v>$45.0125</x:v>
      </x:c>
      <x:c r="P176" t="str">
        <x:v>$46.1500</x:v>
      </x:c>
      <x:c r="Q176" t="str">
        <x:v>$47.2750</x:v>
      </x:c>
      <x:c r="R176" t="str">
        <x:v>$48.4500</x:v>
      </x:c>
      <x:c r="S176" t="str">
        <x:v>$49.6375</x:v>
      </x:c>
      <x:c r="T176" t="str">
        <x:v>$50.8500</x:v>
      </x:c>
      <x:c r="U176" t="str">
        <x:v>$51.8750</x:v>
      </x:c>
      <x:c r="V176" t="str"/>
      <x:c r="W176" t="str"/>
      <x:c r="X176" t="str"/>
      <x:c r="Y176" t="str"/>
      <x:c r="Z176" t="str"/>
      <x:c r="AA176" t="str"/>
      <x:c r="AB176" t="str"/>
      <x:c r="AC176" t="str"/>
      <x:c r="AD176" t="str"/>
      <x:c r="AE176" t="str"/>
      <x:c r="AF176" t="str">
        <x:f>D176&amp;"|"&amp;UPPER(G176)&amp;"|"&amp;SUBSTITUTE(C176,"/","-")</x:f>
        <x:v>1092|SFMTA|2025-07-01</x:v>
      </x:c>
    </x:row>
    <x:row r="177">
      <x:c r="A177" s="22" t="n">
        <x:v>33181</x:v>
      </x:c>
      <x:c r="B177" t="str">
        <x:v>FY25-26</x:v>
      </x:c>
      <x:c r="C177" t="str">
        <x:v>2026/01/03</x:v>
      </x:c>
      <x:c r="D177" t="str">
        <x:v>1092</x:v>
      </x:c>
      <x:c r="E177" t="str">
        <x:v>IT Operations Support Admin II</x:v>
      </x:c>
      <x:c r="F177" t="str">
        <x:v>021</x:v>
      </x:c>
      <x:c r="G177" t="str">
        <x:v>COMMN</x:v>
      </x:c>
      <x:c r="H177" t="str">
        <x:v>1092C</x:v>
      </x:c>
      <x:c r="I177" t="str">
        <x:v>$3,397</x:v>
      </x:c>
      <x:c r="J177" t="str"/>
      <x:c r="K177" t="str"/>
      <x:c r="L177" t="str">
        <x:v>$42.4625</x:v>
      </x:c>
      <x:c r="M177" t="str">
        <x:v>$43.5375</x:v>
      </x:c>
      <x:c r="N177" t="str">
        <x:v>$44.6000</x:v>
      </x:c>
      <x:c r="O177" t="str">
        <x:v>$45.6875</x:v>
      </x:c>
      <x:c r="P177" t="str">
        <x:v>$46.8375</x:v>
      </x:c>
      <x:c r="Q177" t="str">
        <x:v>$47.9875</x:v>
      </x:c>
      <x:c r="R177" t="str">
        <x:v>$49.1750</x:v>
      </x:c>
      <x:c r="S177" t="str">
        <x:v>$50.3875</x:v>
      </x:c>
      <x:c r="T177" t="str">
        <x:v>$51.6125</x:v>
      </x:c>
      <x:c r="U177" t="str">
        <x:v>$52.6500</x:v>
      </x:c>
      <x:c r="V177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/>
      <x:c r="AF177" t="str">
        <x:f>D177&amp;"|"&amp;UPPER(G177)&amp;"|"&amp;SUBSTITUTE(C177,"/","-")</x:f>
        <x:v>1092|COMMN|2026-01-03</x:v>
      </x:c>
    </x:row>
    <x:row r="178">
      <x:c r="A178" s="22" t="n">
        <x:v>33182</x:v>
      </x:c>
      <x:c r="B178" t="str">
        <x:v>FY25-26</x:v>
      </x:c>
      <x:c r="C178" t="str">
        <x:v>2026/01/03</x:v>
      </x:c>
      <x:c r="D178" t="str">
        <x:v>1092</x:v>
      </x:c>
      <x:c r="E178" t="str">
        <x:v>IT Operations Support Admin II</x:v>
      </x:c>
      <x:c r="F178" t="str">
        <x:v>021</x:v>
      </x:c>
      <x:c r="G178" t="str">
        <x:v>SFMTA</x:v>
      </x:c>
      <x:c r="H178" t="str">
        <x:v>1092C</x:v>
      </x:c>
      <x:c r="I178" t="str">
        <x:v>$3,397</x:v>
      </x:c>
      <x:c r="J178" t="str"/>
      <x:c r="K178" t="str"/>
      <x:c r="L178" t="str">
        <x:v>$42.4625</x:v>
      </x:c>
      <x:c r="M178" t="str">
        <x:v>$43.5375</x:v>
      </x:c>
      <x:c r="N178" t="str">
        <x:v>$44.6000</x:v>
      </x:c>
      <x:c r="O178" t="str">
        <x:v>$45.6875</x:v>
      </x:c>
      <x:c r="P178" t="str">
        <x:v>$46.8375</x:v>
      </x:c>
      <x:c r="Q178" t="str">
        <x:v>$47.9875</x:v>
      </x:c>
      <x:c r="R178" t="str">
        <x:v>$49.1750</x:v>
      </x:c>
      <x:c r="S178" t="str">
        <x:v>$50.3875</x:v>
      </x:c>
      <x:c r="T178" t="str">
        <x:v>$51.6125</x:v>
      </x:c>
      <x:c r="U178" t="str">
        <x:v>$52.6500</x:v>
      </x:c>
      <x:c r="V178" t="str"/>
      <x:c r="W178" t="str"/>
      <x:c r="X178" t="str"/>
      <x:c r="Y178" t="str"/>
      <x:c r="Z178" t="str"/>
      <x:c r="AA178" t="str"/>
      <x:c r="AB178" t="str"/>
      <x:c r="AC178" t="str"/>
      <x:c r="AD178" t="str"/>
      <x:c r="AE178" t="str"/>
      <x:c r="AF178" t="str">
        <x:f>D178&amp;"|"&amp;UPPER(G178)&amp;"|"&amp;SUBSTITUTE(C178,"/","-")</x:f>
        <x:v>1092|SFMTA|2026-01-03</x:v>
      </x:c>
    </x:row>
    <x:row r="179">
      <x:c r="A179" s="22" t="n">
        <x:v>26336</x:v>
      </x:c>
      <x:c r="B179" t="str">
        <x:v>FY23-24</x:v>
      </x:c>
      <x:c r="C179" t="str">
        <x:v>2024/01/06</x:v>
      </x:c>
      <x:c r="D179" t="str">
        <x:v>1093</x:v>
      </x:c>
      <x:c r="E179" t="str">
        <x:v>IT Operations Support Administrator III</x:v>
      </x:c>
      <x:c r="F179" t="str">
        <x:v>021</x:v>
      </x:c>
      <x:c r="G179" t="str">
        <x:v>COMMN</x:v>
      </x:c>
      <x:c r="H179" t="str">
        <x:v>1093Y</x:v>
      </x:c>
      <x:c r="I179" t="str">
        <x:v>$3,833</x:v>
      </x:c>
      <x:c r="J179" t="str"/>
      <x:c r="K179" t="str"/>
      <x:c r="L179" t="str">
        <x:v>$47.9125</x:v>
      </x:c>
      <x:c r="M179" t="str">
        <x:v>$49.1125</x:v>
      </x:c>
      <x:c r="N179" t="str">
        <x:v>$50.3375</x:v>
      </x:c>
      <x:c r="O179" t="str">
        <x:v>$51.5750</x:v>
      </x:c>
      <x:c r="P179" t="str">
        <x:v>$52.8250</x:v>
      </x:c>
      <x:c r="Q179" t="str">
        <x:v>$54.1500</x:v>
      </x:c>
      <x:c r="R179" t="str">
        <x:v>$55.4875</x:v>
      </x:c>
      <x:c r="S179" t="str">
        <x:v>$56.8375</x:v>
      </x:c>
      <x:c r="T179" t="str">
        <x:v>$58.2750</x:v>
      </x:c>
      <x:c r="U179" t="str">
        <x:v>$59.4125</x:v>
      </x:c>
      <x:c r="V179" t="str"/>
      <x:c r="W179" t="str"/>
      <x:c r="X179" t="str"/>
      <x:c r="Y179" t="str"/>
      <x:c r="Z179" t="str"/>
      <x:c r="AA179" t="str"/>
      <x:c r="AB179" t="str"/>
      <x:c r="AC179" t="str"/>
      <x:c r="AD179" t="str"/>
      <x:c r="AE179" t="str"/>
      <x:c r="AF179" t="str">
        <x:f>D179&amp;"|"&amp;UPPER(G179)&amp;"|"&amp;SUBSTITUTE(C179,"/","-")</x:f>
        <x:v>1093|COMMN|2024-01-06</x:v>
      </x:c>
    </x:row>
    <x:row r="180">
      <x:c r="A180" s="22" t="n">
        <x:v>26337</x:v>
      </x:c>
      <x:c r="B180" t="str">
        <x:v>FY23-24</x:v>
      </x:c>
      <x:c r="C180" t="str">
        <x:v>2024/01/06</x:v>
      </x:c>
      <x:c r="D180" t="str">
        <x:v>1093</x:v>
      </x:c>
      <x:c r="E180" t="str">
        <x:v>IT Operations Support Administrator III</x:v>
      </x:c>
      <x:c r="F180" t="str">
        <x:v>021</x:v>
      </x:c>
      <x:c r="G180" t="str">
        <x:v>SFMTA</x:v>
      </x:c>
      <x:c r="H180" t="str">
        <x:v>1093Y</x:v>
      </x:c>
      <x:c r="I180" t="str">
        <x:v>$3,833</x:v>
      </x:c>
      <x:c r="J180" t="str"/>
      <x:c r="K180" t="str"/>
      <x:c r="L180" t="str">
        <x:v>$47.9125</x:v>
      </x:c>
      <x:c r="M180" t="str">
        <x:v>$49.1125</x:v>
      </x:c>
      <x:c r="N180" t="str">
        <x:v>$50.3375</x:v>
      </x:c>
      <x:c r="O180" t="str">
        <x:v>$51.5750</x:v>
      </x:c>
      <x:c r="P180" t="str">
        <x:v>$52.8250</x:v>
      </x:c>
      <x:c r="Q180" t="str">
        <x:v>$54.1500</x:v>
      </x:c>
      <x:c r="R180" t="str">
        <x:v>$55.4875</x:v>
      </x:c>
      <x:c r="S180" t="str">
        <x:v>$56.8375</x:v>
      </x:c>
      <x:c r="T180" t="str">
        <x:v>$58.2750</x:v>
      </x:c>
      <x:c r="U180" t="str">
        <x:v>$59.4125</x:v>
      </x:c>
      <x:c r="V180" t="str"/>
      <x:c r="W180" t="str"/>
      <x:c r="X180" t="str"/>
      <x:c r="Y180" t="str"/>
      <x:c r="Z180" t="str"/>
      <x:c r="AA180" t="str"/>
      <x:c r="AB180" t="str"/>
      <x:c r="AC180" t="str"/>
      <x:c r="AD180" t="str"/>
      <x:c r="AE180" t="str"/>
      <x:c r="AF180" t="str">
        <x:f>D180&amp;"|"&amp;UPPER(G180)&amp;"|"&amp;SUBSTITUTE(C180,"/","-")</x:f>
        <x:v>1093|SFMTA|2024-01-06</x:v>
      </x:c>
    </x:row>
    <x:row r="181">
      <x:c r="A181" s="22" t="n">
        <x:v>28078</x:v>
      </x:c>
      <x:c r="B181" t="str">
        <x:v>FY24-25</x:v>
      </x:c>
      <x:c r="C181" t="str">
        <x:v>2024/07/01</x:v>
      </x:c>
      <x:c r="D181" t="str">
        <x:v>1093</x:v>
      </x:c>
      <x:c r="E181" t="str">
        <x:v>IT Operations Support Administrator III</x:v>
      </x:c>
      <x:c r="F181" t="str">
        <x:v>021</x:v>
      </x:c>
      <x:c r="G181" t="str">
        <x:v>COMMN</x:v>
      </x:c>
      <x:c r="H181" t="str">
        <x:v>1093Z</x:v>
      </x:c>
      <x:c r="I181" t="str">
        <x:v>$3,929</x:v>
      </x:c>
      <x:c r="J181" t="str"/>
      <x:c r="K181" t="str"/>
      <x:c r="L181" t="str">
        <x:v>$49.1125</x:v>
      </x:c>
      <x:c r="M181" t="str">
        <x:v>$50.3375</x:v>
      </x:c>
      <x:c r="N181" t="str">
        <x:v>$51.6000</x:v>
      </x:c>
      <x:c r="O181" t="str">
        <x:v>$52.8625</x:v>
      </x:c>
      <x:c r="P181" t="str">
        <x:v>$54.1500</x:v>
      </x:c>
      <x:c r="Q181" t="str">
        <x:v>$55.5000</x:v>
      </x:c>
      <x:c r="R181" t="str">
        <x:v>$56.8750</x:v>
      </x:c>
      <x:c r="S181" t="str">
        <x:v>$58.2625</x:v>
      </x:c>
      <x:c r="T181" t="str">
        <x:v>$59.7375</x:v>
      </x:c>
      <x:c r="U181" t="str">
        <x:v>$60.9000</x:v>
      </x:c>
      <x:c r="V181" t="str"/>
      <x:c r="W181" t="str"/>
      <x:c r="X181" t="str"/>
      <x:c r="Y181" t="str"/>
      <x:c r="Z181" t="str"/>
      <x:c r="AA181" t="str"/>
      <x:c r="AB181" t="str"/>
      <x:c r="AC181" t="str"/>
      <x:c r="AD181" t="str"/>
      <x:c r="AE181" t="str"/>
      <x:c r="AF181" t="str">
        <x:f>D181&amp;"|"&amp;UPPER(G181)&amp;"|"&amp;SUBSTITUTE(C181,"/","-")</x:f>
        <x:v>1093|COMMN|2024-07-01</x:v>
      </x:c>
    </x:row>
    <x:row r="182">
      <x:c r="A182" s="22" t="n">
        <x:v>28079</x:v>
      </x:c>
      <x:c r="B182" t="str">
        <x:v>FY24-25</x:v>
      </x:c>
      <x:c r="C182" t="str">
        <x:v>2024/07/01</x:v>
      </x:c>
      <x:c r="D182" t="str">
        <x:v>1093</x:v>
      </x:c>
      <x:c r="E182" t="str">
        <x:v>IT Operations Support Administrator III</x:v>
      </x:c>
      <x:c r="F182" t="str">
        <x:v>021</x:v>
      </x:c>
      <x:c r="G182" t="str">
        <x:v>SFMTA</x:v>
      </x:c>
      <x:c r="H182" t="str">
        <x:v>1093Z</x:v>
      </x:c>
      <x:c r="I182" t="str">
        <x:v>$3,929</x:v>
      </x:c>
      <x:c r="J182" t="str"/>
      <x:c r="K182" t="str"/>
      <x:c r="L182" t="str">
        <x:v>$49.1125</x:v>
      </x:c>
      <x:c r="M182" t="str">
        <x:v>$50.3375</x:v>
      </x:c>
      <x:c r="N182" t="str">
        <x:v>$51.6000</x:v>
      </x:c>
      <x:c r="O182" t="str">
        <x:v>$52.8625</x:v>
      </x:c>
      <x:c r="P182" t="str">
        <x:v>$54.1500</x:v>
      </x:c>
      <x:c r="Q182" t="str">
        <x:v>$55.5000</x:v>
      </x:c>
      <x:c r="R182" t="str">
        <x:v>$56.8750</x:v>
      </x:c>
      <x:c r="S182" t="str">
        <x:v>$58.2625</x:v>
      </x:c>
      <x:c r="T182" t="str">
        <x:v>$59.7375</x:v>
      </x:c>
      <x:c r="U182" t="str">
        <x:v>$60.9000</x:v>
      </x:c>
      <x:c r="V182" t="str"/>
      <x:c r="W182" t="str"/>
      <x:c r="X182" t="str"/>
      <x:c r="Y182" t="str"/>
      <x:c r="Z182" t="str"/>
      <x:c r="AA182" t="str"/>
      <x:c r="AB182" t="str"/>
      <x:c r="AC182" t="str"/>
      <x:c r="AD182" t="str"/>
      <x:c r="AE182" t="str"/>
      <x:c r="AF182" t="str">
        <x:f>D182&amp;"|"&amp;UPPER(G182)&amp;"|"&amp;SUBSTITUTE(C182,"/","-")</x:f>
        <x:v>1093|SFMTA|2024-07-01</x:v>
      </x:c>
    </x:row>
    <x:row r="183">
      <x:c r="A183" s="22" t="n">
        <x:v>29784</x:v>
      </x:c>
      <x:c r="B183" t="str">
        <x:v>FY24-25</x:v>
      </x:c>
      <x:c r="C183" t="str">
        <x:v>2025/01/04</x:v>
      </x:c>
      <x:c r="D183" t="str">
        <x:v>1093</x:v>
      </x:c>
      <x:c r="E183" t="str">
        <x:v>IT Operations Support Administrator III</x:v>
      </x:c>
      <x:c r="F183" t="str">
        <x:v>021</x:v>
      </x:c>
      <x:c r="G183" t="str">
        <x:v>COMMN</x:v>
      </x:c>
      <x:c r="H183" t="str">
        <x:v>1093A</x:v>
      </x:c>
      <x:c r="I183" t="str">
        <x:v>$3,988</x:v>
      </x:c>
      <x:c r="J183" t="str"/>
      <x:c r="K183" t="str"/>
      <x:c r="L183" t="str">
        <x:v>$49.8500</x:v>
      </x:c>
      <x:c r="M183" t="str">
        <x:v>$51.0875</x:v>
      </x:c>
      <x:c r="N183" t="str">
        <x:v>$52.3750</x:v>
      </x:c>
      <x:c r="O183" t="str">
        <x:v>$53.6500</x:v>
      </x:c>
      <x:c r="P183" t="str">
        <x:v>$54.9625</x:v>
      </x:c>
      <x:c r="Q183" t="str">
        <x:v>$56.3375</x:v>
      </x:c>
      <x:c r="R183" t="str">
        <x:v>$57.7250</x:v>
      </x:c>
      <x:c r="S183" t="str">
        <x:v>$59.1375</x:v>
      </x:c>
      <x:c r="T183" t="str">
        <x:v>$60.6375</x:v>
      </x:c>
      <x:c r="U183" t="str">
        <x:v>$61.8125</x:v>
      </x:c>
      <x:c r="V183" t="str"/>
      <x:c r="W183" t="str"/>
      <x:c r="X183" t="str"/>
      <x:c r="Y183" t="str"/>
      <x:c r="Z183" t="str"/>
      <x:c r="AA183" t="str"/>
      <x:c r="AB183" t="str"/>
      <x:c r="AC183" t="str"/>
      <x:c r="AD183" t="str"/>
      <x:c r="AE183" t="str"/>
      <x:c r="AF183" t="str">
        <x:f>D183&amp;"|"&amp;UPPER(G183)&amp;"|"&amp;SUBSTITUTE(C183,"/","-")</x:f>
        <x:v>1093|COMMN|2025-01-04</x:v>
      </x:c>
    </x:row>
    <x:row r="184">
      <x:c r="A184" s="22" t="n">
        <x:v>29785</x:v>
      </x:c>
      <x:c r="B184" t="str">
        <x:v>FY24-25</x:v>
      </x:c>
      <x:c r="C184" t="str">
        <x:v>2025/01/04</x:v>
      </x:c>
      <x:c r="D184" t="str">
        <x:v>1093</x:v>
      </x:c>
      <x:c r="E184" t="str">
        <x:v>IT Operations Support Administrator III</x:v>
      </x:c>
      <x:c r="F184" t="str">
        <x:v>021</x:v>
      </x:c>
      <x:c r="G184" t="str">
        <x:v>SFMTA</x:v>
      </x:c>
      <x:c r="H184" t="str">
        <x:v>1093A</x:v>
      </x:c>
      <x:c r="I184" t="str">
        <x:v>$3,988</x:v>
      </x:c>
      <x:c r="J184" t="str"/>
      <x:c r="K184" t="str"/>
      <x:c r="L184" t="str">
        <x:v>$49.8500</x:v>
      </x:c>
      <x:c r="M184" t="str">
        <x:v>$51.0875</x:v>
      </x:c>
      <x:c r="N184" t="str">
        <x:v>$52.3750</x:v>
      </x:c>
      <x:c r="O184" t="str">
        <x:v>$53.6500</x:v>
      </x:c>
      <x:c r="P184" t="str">
        <x:v>$54.9625</x:v>
      </x:c>
      <x:c r="Q184" t="str">
        <x:v>$56.3375</x:v>
      </x:c>
      <x:c r="R184" t="str">
        <x:v>$57.7250</x:v>
      </x:c>
      <x:c r="S184" t="str">
        <x:v>$59.1375</x:v>
      </x:c>
      <x:c r="T184" t="str">
        <x:v>$60.6375</x:v>
      </x:c>
      <x:c r="U184" t="str">
        <x:v>$61.8125</x:v>
      </x:c>
      <x:c r="V184" t="str"/>
      <x:c r="W184" t="str"/>
      <x:c r="X184" t="str"/>
      <x:c r="Y184" t="str"/>
      <x:c r="Z184" t="str"/>
      <x:c r="AA184" t="str"/>
      <x:c r="AB184" t="str"/>
      <x:c r="AC184" t="str"/>
      <x:c r="AD184" t="str"/>
      <x:c r="AE184" t="str"/>
      <x:c r="AF184" t="str">
        <x:f>D184&amp;"|"&amp;UPPER(G184)&amp;"|"&amp;SUBSTITUTE(C184,"/","-")</x:f>
        <x:v>1093|SFMTA|2025-01-04</x:v>
      </x:c>
    </x:row>
    <x:row r="185">
      <x:c r="A185" s="22" t="n">
        <x:v>31497</x:v>
      </x:c>
      <x:c r="B185" t="str">
        <x:v>FY25-26</x:v>
      </x:c>
      <x:c r="C185" t="str">
        <x:v>2025/07/01</x:v>
      </x:c>
      <x:c r="D185" t="str">
        <x:v>1093</x:v>
      </x:c>
      <x:c r="E185" t="str">
        <x:v>IT Operations Support Admn III</x:v>
      </x:c>
      <x:c r="F185" t="str">
        <x:v>021</x:v>
      </x:c>
      <x:c r="G185" t="str">
        <x:v>COMMN</x:v>
      </x:c>
      <x:c r="H185" t="str">
        <x:v>1093B</x:v>
      </x:c>
      <x:c r="I185" t="str">
        <x:v>$4,068</x:v>
      </x:c>
      <x:c r="J185" t="str"/>
      <x:c r="K185" t="str"/>
      <x:c r="L185" t="str">
        <x:v>$50.8500</x:v>
      </x:c>
      <x:c r="M185" t="str">
        <x:v>$52.1125</x:v>
      </x:c>
      <x:c r="N185" t="str">
        <x:v>$53.4250</x:v>
      </x:c>
      <x:c r="O185" t="str">
        <x:v>$54.7250</x:v>
      </x:c>
      <x:c r="P185" t="str">
        <x:v>$56.0625</x:v>
      </x:c>
      <x:c r="Q185" t="str">
        <x:v>$57.4750</x:v>
      </x:c>
      <x:c r="R185" t="str">
        <x:v>$58.8875</x:v>
      </x:c>
      <x:c r="S185" t="str">
        <x:v>$60.3250</x:v>
      </x:c>
      <x:c r="T185" t="str">
        <x:v>$61.8625</x:v>
      </x:c>
      <x:c r="U185" t="str">
        <x:v>$63.0500</x:v>
      </x:c>
      <x:c r="V185" t="str"/>
      <x:c r="W185" t="str"/>
      <x:c r="X185" t="str"/>
      <x:c r="Y185" t="str"/>
      <x:c r="Z185" t="str"/>
      <x:c r="AA185" t="str"/>
      <x:c r="AB185" t="str"/>
      <x:c r="AC185" t="str"/>
      <x:c r="AD185" t="str"/>
      <x:c r="AE185" t="str"/>
      <x:c r="AF185" t="str">
        <x:f>D185&amp;"|"&amp;UPPER(G185)&amp;"|"&amp;SUBSTITUTE(C185,"/","-")</x:f>
        <x:v>1093|COMMN|2025-07-01</x:v>
      </x:c>
    </x:row>
    <x:row r="186">
      <x:c r="A186" s="22" t="n">
        <x:v>31498</x:v>
      </x:c>
      <x:c r="B186" t="str">
        <x:v>FY25-26</x:v>
      </x:c>
      <x:c r="C186" t="str">
        <x:v>2025/07/01</x:v>
      </x:c>
      <x:c r="D186" t="str">
        <x:v>1093</x:v>
      </x:c>
      <x:c r="E186" t="str">
        <x:v>IT Operations Support Admn III</x:v>
      </x:c>
      <x:c r="F186" t="str">
        <x:v>021</x:v>
      </x:c>
      <x:c r="G186" t="str">
        <x:v>SFMTA</x:v>
      </x:c>
      <x:c r="H186" t="str">
        <x:v>1093B</x:v>
      </x:c>
      <x:c r="I186" t="str">
        <x:v>$4,068</x:v>
      </x:c>
      <x:c r="J186" t="str"/>
      <x:c r="K186" t="str"/>
      <x:c r="L186" t="str">
        <x:v>$50.8500</x:v>
      </x:c>
      <x:c r="M186" t="str">
        <x:v>$52.1125</x:v>
      </x:c>
      <x:c r="N186" t="str">
        <x:v>$53.4250</x:v>
      </x:c>
      <x:c r="O186" t="str">
        <x:v>$54.7250</x:v>
      </x:c>
      <x:c r="P186" t="str">
        <x:v>$56.0625</x:v>
      </x:c>
      <x:c r="Q186" t="str">
        <x:v>$57.4750</x:v>
      </x:c>
      <x:c r="R186" t="str">
        <x:v>$58.8875</x:v>
      </x:c>
      <x:c r="S186" t="str">
        <x:v>$60.3250</x:v>
      </x:c>
      <x:c r="T186" t="str">
        <x:v>$61.8625</x:v>
      </x:c>
      <x:c r="U186" t="str">
        <x:v>$63.0500</x:v>
      </x:c>
      <x:c r="V186" t="str"/>
      <x:c r="W186" t="str"/>
      <x:c r="X186" t="str"/>
      <x:c r="Y186" t="str"/>
      <x:c r="Z186" t="str"/>
      <x:c r="AA186" t="str"/>
      <x:c r="AB186" t="str"/>
      <x:c r="AC186" t="str"/>
      <x:c r="AD186" t="str"/>
      <x:c r="AE186" t="str"/>
      <x:c r="AF186" t="str">
        <x:f>D186&amp;"|"&amp;UPPER(G186)&amp;"|"&amp;SUBSTITUTE(C186,"/","-")</x:f>
        <x:v>1093|SFMTA|2025-07-01</x:v>
      </x:c>
    </x:row>
    <x:row r="187">
      <x:c r="A187" s="22" t="n">
        <x:v>33183</x:v>
      </x:c>
      <x:c r="B187" t="str">
        <x:v>FY25-26</x:v>
      </x:c>
      <x:c r="C187" t="str">
        <x:v>2026/01/03</x:v>
      </x:c>
      <x:c r="D187" t="str">
        <x:v>1093</x:v>
      </x:c>
      <x:c r="E187" t="str">
        <x:v>IT Operations Support Admn III</x:v>
      </x:c>
      <x:c r="F187" t="str">
        <x:v>021</x:v>
      </x:c>
      <x:c r="G187" t="str">
        <x:v>COMMN</x:v>
      </x:c>
      <x:c r="H187" t="str">
        <x:v>1093C</x:v>
      </x:c>
      <x:c r="I187" t="str">
        <x:v>$4,129</x:v>
      </x:c>
      <x:c r="J187" t="str"/>
      <x:c r="K187" t="str"/>
      <x:c r="L187" t="str">
        <x:v>$51.6125</x:v>
      </x:c>
      <x:c r="M187" t="str">
        <x:v>$52.9000</x:v>
      </x:c>
      <x:c r="N187" t="str">
        <x:v>$54.2250</x:v>
      </x:c>
      <x:c r="O187" t="str">
        <x:v>$55.5500</x:v>
      </x:c>
      <x:c r="P187" t="str">
        <x:v>$56.9000</x:v>
      </x:c>
      <x:c r="Q187" t="str">
        <x:v>$58.3375</x:v>
      </x:c>
      <x:c r="R187" t="str">
        <x:v>$59.7750</x:v>
      </x:c>
      <x:c r="S187" t="str">
        <x:v>$61.2250</x:v>
      </x:c>
      <x:c r="T187" t="str">
        <x:v>$62.7875</x:v>
      </x:c>
      <x:c r="U187" t="str">
        <x:v>$64.0000</x:v>
      </x:c>
      <x:c r="V187" t="str"/>
      <x:c r="W187" t="str"/>
      <x:c r="X187" t="str"/>
      <x:c r="Y187" t="str"/>
      <x:c r="Z187" t="str"/>
      <x:c r="AA187" t="str"/>
      <x:c r="AB187" t="str"/>
      <x:c r="AC187" t="str"/>
      <x:c r="AD187" t="str"/>
      <x:c r="AE187" t="str"/>
      <x:c r="AF187" t="str">
        <x:f>D187&amp;"|"&amp;UPPER(G187)&amp;"|"&amp;SUBSTITUTE(C187,"/","-")</x:f>
        <x:v>1093|COMMN|2026-01-03</x:v>
      </x:c>
    </x:row>
    <x:row r="188">
      <x:c r="A188" s="22" t="n">
        <x:v>33184</x:v>
      </x:c>
      <x:c r="B188" t="str">
        <x:v>FY25-26</x:v>
      </x:c>
      <x:c r="C188" t="str">
        <x:v>2026/01/03</x:v>
      </x:c>
      <x:c r="D188" t="str">
        <x:v>1093</x:v>
      </x:c>
      <x:c r="E188" t="str">
        <x:v>IT Operations Support Admn III</x:v>
      </x:c>
      <x:c r="F188" t="str">
        <x:v>021</x:v>
      </x:c>
      <x:c r="G188" t="str">
        <x:v>SFMTA</x:v>
      </x:c>
      <x:c r="H188" t="str">
        <x:v>1093C</x:v>
      </x:c>
      <x:c r="I188" t="str">
        <x:v>$4,129</x:v>
      </x:c>
      <x:c r="J188" t="str"/>
      <x:c r="K188" t="str"/>
      <x:c r="L188" t="str">
        <x:v>$51.6125</x:v>
      </x:c>
      <x:c r="M188" t="str">
        <x:v>$52.9000</x:v>
      </x:c>
      <x:c r="N188" t="str">
        <x:v>$54.2250</x:v>
      </x:c>
      <x:c r="O188" t="str">
        <x:v>$55.5500</x:v>
      </x:c>
      <x:c r="P188" t="str">
        <x:v>$56.9000</x:v>
      </x:c>
      <x:c r="Q188" t="str">
        <x:v>$58.3375</x:v>
      </x:c>
      <x:c r="R188" t="str">
        <x:v>$59.7750</x:v>
      </x:c>
      <x:c r="S188" t="str">
        <x:v>$61.2250</x:v>
      </x:c>
      <x:c r="T188" t="str">
        <x:v>$62.7875</x:v>
      </x:c>
      <x:c r="U188" t="str">
        <x:v>$64.0000</x:v>
      </x:c>
      <x:c r="V188" t="str"/>
      <x:c r="W188" t="str"/>
      <x:c r="X188" t="str"/>
      <x:c r="Y188" t="str"/>
      <x:c r="Z188" t="str"/>
      <x:c r="AA188" t="str"/>
      <x:c r="AB188" t="str"/>
      <x:c r="AC188" t="str"/>
      <x:c r="AD188" t="str"/>
      <x:c r="AE188" t="str"/>
      <x:c r="AF188" t="str">
        <x:f>D188&amp;"|"&amp;UPPER(G188)&amp;"|"&amp;SUBSTITUTE(C188,"/","-")</x:f>
        <x:v>1093|SFMTA|2026-01-03</x:v>
      </x:c>
    </x:row>
    <x:row r="189">
      <x:c r="A189" s="22" t="n">
        <x:v>26338</x:v>
      </x:c>
      <x:c r="B189" t="str">
        <x:v>FY23-24</x:v>
      </x:c>
      <x:c r="C189" t="str">
        <x:v>2024/01/06</x:v>
      </x:c>
      <x:c r="D189" t="str">
        <x:v>1094</x:v>
      </x:c>
      <x:c r="E189" t="str">
        <x:v>IT Operations Support Administrator IV</x:v>
      </x:c>
      <x:c r="F189" t="str">
        <x:v>021</x:v>
      </x:c>
      <x:c r="G189" t="str">
        <x:v>COMMN</x:v>
      </x:c>
      <x:c r="H189" t="str">
        <x:v>1094Y</x:v>
      </x:c>
      <x:c r="I189" t="str">
        <x:v>$4,662</x:v>
      </x:c>
      <x:c r="J189" t="str"/>
      <x:c r="K189" t="str"/>
      <x:c r="L189" t="str">
        <x:v>$58.2750</x:v>
      </x:c>
      <x:c r="M189" t="str">
        <x:v>$59.7000</x:v>
      </x:c>
      <x:c r="N189" t="str">
        <x:v>$61.1875</x:v>
      </x:c>
      <x:c r="O189" t="str">
        <x:v>$62.6875</x:v>
      </x:c>
      <x:c r="P189" t="str">
        <x:v>$64.2375</x:v>
      </x:c>
      <x:c r="Q189" t="str">
        <x:v>$65.8250</x:v>
      </x:c>
      <x:c r="R189" t="str">
        <x:v>$67.4625</x:v>
      </x:c>
      <x:c r="S189" t="str">
        <x:v>$69.1000</x:v>
      </x:c>
      <x:c r="T189" t="str">
        <x:v>$70.8250</x:v>
      </x:c>
      <x:c r="U189" t="str">
        <x:v>$72.2125</x:v>
      </x:c>
      <x:c r="V189" t="str"/>
      <x:c r="W189" t="str"/>
      <x:c r="X189" t="str"/>
      <x:c r="Y189" t="str"/>
      <x:c r="Z189" t="str"/>
      <x:c r="AA189" t="str"/>
      <x:c r="AB189" t="str"/>
      <x:c r="AC189" t="str"/>
      <x:c r="AD189" t="str"/>
      <x:c r="AE189" t="str"/>
      <x:c r="AF189" t="str">
        <x:f>D189&amp;"|"&amp;UPPER(G189)&amp;"|"&amp;SUBSTITUTE(C189,"/","-")</x:f>
        <x:v>1094|COMMN|2024-01-06</x:v>
      </x:c>
    </x:row>
    <x:row r="190">
      <x:c r="A190" s="22" t="n">
        <x:v>26339</x:v>
      </x:c>
      <x:c r="B190" t="str">
        <x:v>FY23-24</x:v>
      </x:c>
      <x:c r="C190" t="str">
        <x:v>2024/01/06</x:v>
      </x:c>
      <x:c r="D190" t="str">
        <x:v>1094</x:v>
      </x:c>
      <x:c r="E190" t="str">
        <x:v>IT Operations Support Administrator IV</x:v>
      </x:c>
      <x:c r="F190" t="str">
        <x:v>021</x:v>
      </x:c>
      <x:c r="G190" t="str">
        <x:v>SFMTA</x:v>
      </x:c>
      <x:c r="H190" t="str">
        <x:v>1094Y</x:v>
      </x:c>
      <x:c r="I190" t="str">
        <x:v>$4,662</x:v>
      </x:c>
      <x:c r="J190" t="str"/>
      <x:c r="K190" t="str"/>
      <x:c r="L190" t="str">
        <x:v>$58.2750</x:v>
      </x:c>
      <x:c r="M190" t="str">
        <x:v>$59.7000</x:v>
      </x:c>
      <x:c r="N190" t="str">
        <x:v>$61.1875</x:v>
      </x:c>
      <x:c r="O190" t="str">
        <x:v>$62.6875</x:v>
      </x:c>
      <x:c r="P190" t="str">
        <x:v>$64.2375</x:v>
      </x:c>
      <x:c r="Q190" t="str">
        <x:v>$65.8250</x:v>
      </x:c>
      <x:c r="R190" t="str">
        <x:v>$67.4625</x:v>
      </x:c>
      <x:c r="S190" t="str">
        <x:v>$69.1000</x:v>
      </x:c>
      <x:c r="T190" t="str">
        <x:v>$70.8250</x:v>
      </x:c>
      <x:c r="U190" t="str">
        <x:v>$72.2125</x:v>
      </x:c>
      <x:c r="V190" t="str"/>
      <x:c r="W190" t="str"/>
      <x:c r="X190" t="str"/>
      <x:c r="Y190" t="str"/>
      <x:c r="Z190" t="str"/>
      <x:c r="AA190" t="str"/>
      <x:c r="AB190" t="str"/>
      <x:c r="AC190" t="str"/>
      <x:c r="AD190" t="str"/>
      <x:c r="AE190" t="str"/>
      <x:c r="AF190" t="str">
        <x:f>D190&amp;"|"&amp;UPPER(G190)&amp;"|"&amp;SUBSTITUTE(C190,"/","-")</x:f>
        <x:v>1094|SFMTA|2024-01-06</x:v>
      </x:c>
    </x:row>
    <x:row r="191">
      <x:c r="A191" s="22" t="n">
        <x:v>28080</x:v>
      </x:c>
      <x:c r="B191" t="str">
        <x:v>FY24-25</x:v>
      </x:c>
      <x:c r="C191" t="str">
        <x:v>2024/07/01</x:v>
      </x:c>
      <x:c r="D191" t="str">
        <x:v>1094</x:v>
      </x:c>
      <x:c r="E191" t="str">
        <x:v>IT Operations Support Administrator IV</x:v>
      </x:c>
      <x:c r="F191" t="str">
        <x:v>021</x:v>
      </x:c>
      <x:c r="G191" t="str">
        <x:v>COMMN</x:v>
      </x:c>
      <x:c r="H191" t="str">
        <x:v>1094Z</x:v>
      </x:c>
      <x:c r="I191" t="str">
        <x:v>$4,779</x:v>
      </x:c>
      <x:c r="J191" t="str"/>
      <x:c r="K191" t="str"/>
      <x:c r="L191" t="str">
        <x:v>$59.7375</x:v>
      </x:c>
      <x:c r="M191" t="str">
        <x:v>$61.1875</x:v>
      </x:c>
      <x:c r="N191" t="str">
        <x:v>$62.7125</x:v>
      </x:c>
      <x:c r="O191" t="str">
        <x:v>$64.2500</x:v>
      </x:c>
      <x:c r="P191" t="str">
        <x:v>$65.8375</x:v>
      </x:c>
      <x:c r="Q191" t="str">
        <x:v>$67.4750</x:v>
      </x:c>
      <x:c r="R191" t="str">
        <x:v>$69.1500</x:v>
      </x:c>
      <x:c r="S191" t="str">
        <x:v>$70.8250</x:v>
      </x:c>
      <x:c r="T191" t="str">
        <x:v>$72.6000</x:v>
      </x:c>
      <x:c r="U191" t="str">
        <x:v>$74.0125</x:v>
      </x:c>
      <x:c r="V191" t="str"/>
      <x:c r="W191" t="str"/>
      <x:c r="X191" t="str"/>
      <x:c r="Y191" t="str"/>
      <x:c r="Z191" t="str"/>
      <x:c r="AA191" t="str"/>
      <x:c r="AB191" t="str"/>
      <x:c r="AC191" t="str"/>
      <x:c r="AD191" t="str"/>
      <x:c r="AE191" t="str"/>
      <x:c r="AF191" t="str">
        <x:f>D191&amp;"|"&amp;UPPER(G191)&amp;"|"&amp;SUBSTITUTE(C191,"/","-")</x:f>
        <x:v>1094|COMMN|2024-07-01</x:v>
      </x:c>
    </x:row>
    <x:row r="192">
      <x:c r="A192" s="22" t="n">
        <x:v>28081</x:v>
      </x:c>
      <x:c r="B192" t="str">
        <x:v>FY24-25</x:v>
      </x:c>
      <x:c r="C192" t="str">
        <x:v>2024/07/01</x:v>
      </x:c>
      <x:c r="D192" t="str">
        <x:v>1094</x:v>
      </x:c>
      <x:c r="E192" t="str">
        <x:v>IT Operations Support Administrator IV</x:v>
      </x:c>
      <x:c r="F192" t="str">
        <x:v>021</x:v>
      </x:c>
      <x:c r="G192" t="str">
        <x:v>SFMTA</x:v>
      </x:c>
      <x:c r="H192" t="str">
        <x:v>1094Z</x:v>
      </x:c>
      <x:c r="I192" t="str">
        <x:v>$4,779</x:v>
      </x:c>
      <x:c r="J192" t="str"/>
      <x:c r="K192" t="str"/>
      <x:c r="L192" t="str">
        <x:v>$59.7375</x:v>
      </x:c>
      <x:c r="M192" t="str">
        <x:v>$61.1875</x:v>
      </x:c>
      <x:c r="N192" t="str">
        <x:v>$62.7125</x:v>
      </x:c>
      <x:c r="O192" t="str">
        <x:v>$64.2500</x:v>
      </x:c>
      <x:c r="P192" t="str">
        <x:v>$65.8375</x:v>
      </x:c>
      <x:c r="Q192" t="str">
        <x:v>$67.4750</x:v>
      </x:c>
      <x:c r="R192" t="str">
        <x:v>$69.1500</x:v>
      </x:c>
      <x:c r="S192" t="str">
        <x:v>$70.8250</x:v>
      </x:c>
      <x:c r="T192" t="str">
        <x:v>$72.6000</x:v>
      </x:c>
      <x:c r="U192" t="str">
        <x:v>$74.0125</x:v>
      </x:c>
      <x:c r="V192" t="str"/>
      <x:c r="W192" t="str"/>
      <x:c r="X192" t="str"/>
      <x:c r="Y192" t="str"/>
      <x:c r="Z192" t="str"/>
      <x:c r="AA192" t="str"/>
      <x:c r="AB192" t="str"/>
      <x:c r="AC192" t="str"/>
      <x:c r="AD192" t="str"/>
      <x:c r="AE192" t="str"/>
      <x:c r="AF192" t="str">
        <x:f>D192&amp;"|"&amp;UPPER(G192)&amp;"|"&amp;SUBSTITUTE(C192,"/","-")</x:f>
        <x:v>1094|SFMTA|2024-07-01</x:v>
      </x:c>
    </x:row>
    <x:row r="193">
      <x:c r="A193" s="22" t="n">
        <x:v>29786</x:v>
      </x:c>
      <x:c r="B193" t="str">
        <x:v>FY24-25</x:v>
      </x:c>
      <x:c r="C193" t="str">
        <x:v>2025/01/04</x:v>
      </x:c>
      <x:c r="D193" t="str">
        <x:v>1094</x:v>
      </x:c>
      <x:c r="E193" t="str">
        <x:v>IT Operations Support Administrator IV</x:v>
      </x:c>
      <x:c r="F193" t="str">
        <x:v>021</x:v>
      </x:c>
      <x:c r="G193" t="str">
        <x:v>COMMN</x:v>
      </x:c>
      <x:c r="H193" t="str">
        <x:v>1094A</x:v>
      </x:c>
      <x:c r="I193" t="str">
        <x:v>$4,851</x:v>
      </x:c>
      <x:c r="J193" t="str"/>
      <x:c r="K193" t="str"/>
      <x:c r="L193" t="str">
        <x:v>$60.6375</x:v>
      </x:c>
      <x:c r="M193" t="str">
        <x:v>$62.1000</x:v>
      </x:c>
      <x:c r="N193" t="str">
        <x:v>$63.6500</x:v>
      </x:c>
      <x:c r="O193" t="str">
        <x:v>$65.2125</x:v>
      </x:c>
      <x:c r="P193" t="str">
        <x:v>$66.8250</x:v>
      </x:c>
      <x:c r="Q193" t="str">
        <x:v>$68.4875</x:v>
      </x:c>
      <x:c r="R193" t="str">
        <x:v>$70.1875</x:v>
      </x:c>
      <x:c r="S193" t="str">
        <x:v>$71.8875</x:v>
      </x:c>
      <x:c r="T193" t="str">
        <x:v>$73.6875</x:v>
      </x:c>
      <x:c r="U193" t="str">
        <x:v>$75.1250</x:v>
      </x:c>
      <x:c r="V193" t="str"/>
      <x:c r="W193" t="str"/>
      <x:c r="X193" t="str"/>
      <x:c r="Y193" t="str"/>
      <x:c r="Z193" t="str"/>
      <x:c r="AA193" t="str"/>
      <x:c r="AB193" t="str"/>
      <x:c r="AC193" t="str"/>
      <x:c r="AD193" t="str"/>
      <x:c r="AE193" t="str"/>
      <x:c r="AF193" t="str">
        <x:f>D193&amp;"|"&amp;UPPER(G193)&amp;"|"&amp;SUBSTITUTE(C193,"/","-")</x:f>
        <x:v>1094|COMMN|2025-01-04</x:v>
      </x:c>
    </x:row>
    <x:row r="194">
      <x:c r="A194" s="22" t="n">
        <x:v>29787</x:v>
      </x:c>
      <x:c r="B194" t="str">
        <x:v>FY24-25</x:v>
      </x:c>
      <x:c r="C194" t="str">
        <x:v>2025/01/04</x:v>
      </x:c>
      <x:c r="D194" t="str">
        <x:v>1094</x:v>
      </x:c>
      <x:c r="E194" t="str">
        <x:v>IT Operations Support Administrator IV</x:v>
      </x:c>
      <x:c r="F194" t="str">
        <x:v>021</x:v>
      </x:c>
      <x:c r="G194" t="str">
        <x:v>SFMTA</x:v>
      </x:c>
      <x:c r="H194" t="str">
        <x:v>1094A</x:v>
      </x:c>
      <x:c r="I194" t="str">
        <x:v>$4,851</x:v>
      </x:c>
      <x:c r="J194" t="str"/>
      <x:c r="K194" t="str"/>
      <x:c r="L194" t="str">
        <x:v>$60.6375</x:v>
      </x:c>
      <x:c r="M194" t="str">
        <x:v>$62.1000</x:v>
      </x:c>
      <x:c r="N194" t="str">
        <x:v>$63.6500</x:v>
      </x:c>
      <x:c r="O194" t="str">
        <x:v>$65.2125</x:v>
      </x:c>
      <x:c r="P194" t="str">
        <x:v>$66.8250</x:v>
      </x:c>
      <x:c r="Q194" t="str">
        <x:v>$68.4875</x:v>
      </x:c>
      <x:c r="R194" t="str">
        <x:v>$70.1875</x:v>
      </x:c>
      <x:c r="S194" t="str">
        <x:v>$71.8875</x:v>
      </x:c>
      <x:c r="T194" t="str">
        <x:v>$73.6875</x:v>
      </x:c>
      <x:c r="U194" t="str">
        <x:v>$75.1250</x:v>
      </x:c>
      <x:c r="V194" t="str"/>
      <x:c r="W194" t="str"/>
      <x:c r="X194" t="str"/>
      <x:c r="Y194" t="str"/>
      <x:c r="Z194" t="str"/>
      <x:c r="AA194" t="str"/>
      <x:c r="AB194" t="str"/>
      <x:c r="AC194" t="str"/>
      <x:c r="AD194" t="str"/>
      <x:c r="AE194" t="str"/>
      <x:c r="AF194" t="str">
        <x:f>D194&amp;"|"&amp;UPPER(G194)&amp;"|"&amp;SUBSTITUTE(C194,"/","-")</x:f>
        <x:v>1094|SFMTA|2025-01-04</x:v>
      </x:c>
    </x:row>
    <x:row r="195">
      <x:c r="A195" s="22" t="n">
        <x:v>31499</x:v>
      </x:c>
      <x:c r="B195" t="str">
        <x:v>FY25-26</x:v>
      </x:c>
      <x:c r="C195" t="str">
        <x:v>2025/07/01</x:v>
      </x:c>
      <x:c r="D195" t="str">
        <x:v>1094</x:v>
      </x:c>
      <x:c r="E195" t="str">
        <x:v>IT Operations Support Admin IV</x:v>
      </x:c>
      <x:c r="F195" t="str">
        <x:v>021</x:v>
      </x:c>
      <x:c r="G195" t="str">
        <x:v>COMMN</x:v>
      </x:c>
      <x:c r="H195" t="str">
        <x:v>1094B</x:v>
      </x:c>
      <x:c r="I195" t="str">
        <x:v>$4,949</x:v>
      </x:c>
      <x:c r="J195" t="str"/>
      <x:c r="K195" t="str"/>
      <x:c r="L195" t="str">
        <x:v>$61.8625</x:v>
      </x:c>
      <x:c r="M195" t="str">
        <x:v>$63.3500</x:v>
      </x:c>
      <x:c r="N195" t="str">
        <x:v>$64.9250</x:v>
      </x:c>
      <x:c r="O195" t="str">
        <x:v>$66.5250</x:v>
      </x:c>
      <x:c r="P195" t="str">
        <x:v>$68.1625</x:v>
      </x:c>
      <x:c r="Q195" t="str">
        <x:v>$69.8625</x:v>
      </x:c>
      <x:c r="R195" t="str">
        <x:v>$71.6000</x:v>
      </x:c>
      <x:c r="S195" t="str">
        <x:v>$73.3375</x:v>
      </x:c>
      <x:c r="T195" t="str">
        <x:v>$75.1625</x:v>
      </x:c>
      <x:c r="U195" t="str">
        <x:v>$76.6375</x:v>
      </x:c>
      <x:c r="V195" t="str"/>
      <x:c r="W195" t="str"/>
      <x:c r="X195" t="str"/>
      <x:c r="Y195" t="str"/>
      <x:c r="Z195" t="str"/>
      <x:c r="AA195" t="str"/>
      <x:c r="AB195" t="str"/>
      <x:c r="AC195" t="str"/>
      <x:c r="AD195" t="str"/>
      <x:c r="AE195" t="str"/>
      <x:c r="AF195" t="str">
        <x:f>D195&amp;"|"&amp;UPPER(G195)&amp;"|"&amp;SUBSTITUTE(C195,"/","-")</x:f>
        <x:v>1094|COMMN|2025-07-01</x:v>
      </x:c>
    </x:row>
    <x:row r="196">
      <x:c r="A196" s="22" t="n">
        <x:v>31500</x:v>
      </x:c>
      <x:c r="B196" t="str">
        <x:v>FY25-26</x:v>
      </x:c>
      <x:c r="C196" t="str">
        <x:v>2025/07/01</x:v>
      </x:c>
      <x:c r="D196" t="str">
        <x:v>1094</x:v>
      </x:c>
      <x:c r="E196" t="str">
        <x:v>IT Operations Support Admin IV</x:v>
      </x:c>
      <x:c r="F196" t="str">
        <x:v>021</x:v>
      </x:c>
      <x:c r="G196" t="str">
        <x:v>SFMTA</x:v>
      </x:c>
      <x:c r="H196" t="str">
        <x:v>1094B</x:v>
      </x:c>
      <x:c r="I196" t="str">
        <x:v>$4,949</x:v>
      </x:c>
      <x:c r="J196" t="str"/>
      <x:c r="K196" t="str"/>
      <x:c r="L196" t="str">
        <x:v>$61.8625</x:v>
      </x:c>
      <x:c r="M196" t="str">
        <x:v>$63.3500</x:v>
      </x:c>
      <x:c r="N196" t="str">
        <x:v>$64.9250</x:v>
      </x:c>
      <x:c r="O196" t="str">
        <x:v>$66.5250</x:v>
      </x:c>
      <x:c r="P196" t="str">
        <x:v>$68.1625</x:v>
      </x:c>
      <x:c r="Q196" t="str">
        <x:v>$69.8625</x:v>
      </x:c>
      <x:c r="R196" t="str">
        <x:v>$71.6000</x:v>
      </x:c>
      <x:c r="S196" t="str">
        <x:v>$73.3375</x:v>
      </x:c>
      <x:c r="T196" t="str">
        <x:v>$75.1625</x:v>
      </x:c>
      <x:c r="U196" t="str">
        <x:v>$76.6375</x:v>
      </x:c>
      <x:c r="V196" t="str"/>
      <x:c r="W196" t="str"/>
      <x:c r="X196" t="str"/>
      <x:c r="Y196" t="str"/>
      <x:c r="Z196" t="str"/>
      <x:c r="AA196" t="str"/>
      <x:c r="AB196" t="str"/>
      <x:c r="AC196" t="str"/>
      <x:c r="AD196" t="str"/>
      <x:c r="AE196" t="str"/>
      <x:c r="AF196" t="str">
        <x:f>D196&amp;"|"&amp;UPPER(G196)&amp;"|"&amp;SUBSTITUTE(C196,"/","-")</x:f>
        <x:v>1094|SFMTA|2025-07-01</x:v>
      </x:c>
    </x:row>
    <x:row r="197">
      <x:c r="A197" s="22" t="n">
        <x:v>33185</x:v>
      </x:c>
      <x:c r="B197" t="str">
        <x:v>FY25-26</x:v>
      </x:c>
      <x:c r="C197" t="str">
        <x:v>2026/01/03</x:v>
      </x:c>
      <x:c r="D197" t="str">
        <x:v>1094</x:v>
      </x:c>
      <x:c r="E197" t="str">
        <x:v>IT Operations Support Admin IV</x:v>
      </x:c>
      <x:c r="F197" t="str">
        <x:v>021</x:v>
      </x:c>
      <x:c r="G197" t="str">
        <x:v>COMMN</x:v>
      </x:c>
      <x:c r="H197" t="str">
        <x:v>1094C</x:v>
      </x:c>
      <x:c r="I197" t="str">
        <x:v>$5,023</x:v>
      </x:c>
      <x:c r="J197" t="str"/>
      <x:c r="K197" t="str"/>
      <x:c r="L197" t="str">
        <x:v>$62.7875</x:v>
      </x:c>
      <x:c r="M197" t="str">
        <x:v>$64.3000</x:v>
      </x:c>
      <x:c r="N197" t="str">
        <x:v>$65.9000</x:v>
      </x:c>
      <x:c r="O197" t="str">
        <x:v>$67.5250</x:v>
      </x:c>
      <x:c r="P197" t="str">
        <x:v>$69.1875</x:v>
      </x:c>
      <x:c r="Q197" t="str">
        <x:v>$70.9125</x:v>
      </x:c>
      <x:c r="R197" t="str">
        <x:v>$72.6750</x:v>
      </x:c>
      <x:c r="S197" t="str">
        <x:v>$74.4375</x:v>
      </x:c>
      <x:c r="T197" t="str">
        <x:v>$76.2875</x:v>
      </x:c>
      <x:c r="U197" t="str">
        <x:v>$77.7875</x:v>
      </x:c>
      <x:c r="V197" t="str"/>
      <x:c r="W197" t="str"/>
      <x:c r="X197" t="str"/>
      <x:c r="Y197" t="str"/>
      <x:c r="Z197" t="str"/>
      <x:c r="AA197" t="str"/>
      <x:c r="AB197" t="str"/>
      <x:c r="AC197" t="str"/>
      <x:c r="AD197" t="str"/>
      <x:c r="AE197" t="str"/>
      <x:c r="AF197" t="str">
        <x:f>D197&amp;"|"&amp;UPPER(G197)&amp;"|"&amp;SUBSTITUTE(C197,"/","-")</x:f>
        <x:v>1094|COMMN|2026-01-03</x:v>
      </x:c>
    </x:row>
    <x:row r="198">
      <x:c r="A198" s="22" t="n">
        <x:v>33186</x:v>
      </x:c>
      <x:c r="B198" t="str">
        <x:v>FY25-26</x:v>
      </x:c>
      <x:c r="C198" t="str">
        <x:v>2026/01/03</x:v>
      </x:c>
      <x:c r="D198" t="str">
        <x:v>1094</x:v>
      </x:c>
      <x:c r="E198" t="str">
        <x:v>IT Operations Support Admin IV</x:v>
      </x:c>
      <x:c r="F198" t="str">
        <x:v>021</x:v>
      </x:c>
      <x:c r="G198" t="str">
        <x:v>SFMTA</x:v>
      </x:c>
      <x:c r="H198" t="str">
        <x:v>1094C</x:v>
      </x:c>
      <x:c r="I198" t="str">
        <x:v>$5,023</x:v>
      </x:c>
      <x:c r="J198" t="str"/>
      <x:c r="K198" t="str"/>
      <x:c r="L198" t="str">
        <x:v>$62.7875</x:v>
      </x:c>
      <x:c r="M198" t="str">
        <x:v>$64.3000</x:v>
      </x:c>
      <x:c r="N198" t="str">
        <x:v>$65.9000</x:v>
      </x:c>
      <x:c r="O198" t="str">
        <x:v>$67.5250</x:v>
      </x:c>
      <x:c r="P198" t="str">
        <x:v>$69.1875</x:v>
      </x:c>
      <x:c r="Q198" t="str">
        <x:v>$70.9125</x:v>
      </x:c>
      <x:c r="R198" t="str">
        <x:v>$72.6750</x:v>
      </x:c>
      <x:c r="S198" t="str">
        <x:v>$74.4375</x:v>
      </x:c>
      <x:c r="T198" t="str">
        <x:v>$76.2875</x:v>
      </x:c>
      <x:c r="U198" t="str">
        <x:v>$77.7875</x:v>
      </x:c>
      <x:c r="V198" t="str"/>
      <x:c r="W198" t="str"/>
      <x:c r="X198" t="str"/>
      <x:c r="Y198" t="str"/>
      <x:c r="Z198" t="str"/>
      <x:c r="AA198" t="str"/>
      <x:c r="AB198" t="str"/>
      <x:c r="AC198" t="str"/>
      <x:c r="AD198" t="str"/>
      <x:c r="AE198" t="str"/>
      <x:c r="AF198" t="str">
        <x:f>D198&amp;"|"&amp;UPPER(G198)&amp;"|"&amp;SUBSTITUTE(C198,"/","-")</x:f>
        <x:v>1094|SFMTA|2026-01-03</x:v>
      </x:c>
    </x:row>
    <x:row r="199">
      <x:c r="A199" s="22" t="n">
        <x:v>26340</x:v>
      </x:c>
      <x:c r="B199" t="str">
        <x:v>FY23-24</x:v>
      </x:c>
      <x:c r="C199" t="str">
        <x:v>2024/01/06</x:v>
      </x:c>
      <x:c r="D199" t="str">
        <x:v>1095</x:v>
      </x:c>
      <x:c r="E199" t="str">
        <x:v>IT Operations Support Administrator V</x:v>
      </x:c>
      <x:c r="F199" t="str">
        <x:v>021</x:v>
      </x:c>
      <x:c r="G199" t="str">
        <x:v>COMMN</x:v>
      </x:c>
      <x:c r="H199" t="str">
        <x:v>1095Y</x:v>
      </x:c>
      <x:c r="I199" t="str">
        <x:v>$5,015</x:v>
      </x:c>
      <x:c r="J199" t="str"/>
      <x:c r="K199" t="str"/>
      <x:c r="L199" t="str">
        <x:v>$62.6875</x:v>
      </x:c>
      <x:c r="M199" t="str">
        <x:v>$64.2375</x:v>
      </x:c>
      <x:c r="N199" t="str">
        <x:v>$65.8250</x:v>
      </x:c>
      <x:c r="O199" t="str">
        <x:v>$67.4625</x:v>
      </x:c>
      <x:c r="P199" t="str">
        <x:v>$69.1000</x:v>
      </x:c>
      <x:c r="Q199" t="str">
        <x:v>$70.8250</x:v>
      </x:c>
      <x:c r="R199" t="str">
        <x:v>$72.5375</x:v>
      </x:c>
      <x:c r="S199" t="str">
        <x:v>$74.3750</x:v>
      </x:c>
      <x:c r="T199" t="str">
        <x:v>$76.1750</x:v>
      </x:c>
      <x:c r="U199" t="str">
        <x:v>$77.7125</x:v>
      </x:c>
      <x:c r="V199" t="str"/>
      <x:c r="W199" t="str"/>
      <x:c r="X199" t="str"/>
      <x:c r="Y199" t="str"/>
      <x:c r="Z199" t="str"/>
      <x:c r="AA199" t="str"/>
      <x:c r="AB199" t="str"/>
      <x:c r="AC199" t="str"/>
      <x:c r="AD199" t="str"/>
      <x:c r="AE199" t="str"/>
      <x:c r="AF199" t="str">
        <x:f>D199&amp;"|"&amp;UPPER(G199)&amp;"|"&amp;SUBSTITUTE(C199,"/","-")</x:f>
        <x:v>1095|COMMN|2024-01-06</x:v>
      </x:c>
    </x:row>
    <x:row r="200">
      <x:c r="A200" s="22" t="n">
        <x:v>26341</x:v>
      </x:c>
      <x:c r="B200" t="str">
        <x:v>FY23-24</x:v>
      </x:c>
      <x:c r="C200" t="str">
        <x:v>2024/01/06</x:v>
      </x:c>
      <x:c r="D200" t="str">
        <x:v>1095</x:v>
      </x:c>
      <x:c r="E200" t="str">
        <x:v>IT Operations Support Administrator V</x:v>
      </x:c>
      <x:c r="F200" t="str">
        <x:v>021</x:v>
      </x:c>
      <x:c r="G200" t="str">
        <x:v>SFMTA</x:v>
      </x:c>
      <x:c r="H200" t="str">
        <x:v>1095Y</x:v>
      </x:c>
      <x:c r="I200" t="str">
        <x:v>$5,015</x:v>
      </x:c>
      <x:c r="J200" t="str"/>
      <x:c r="K200" t="str"/>
      <x:c r="L200" t="str">
        <x:v>$62.6875</x:v>
      </x:c>
      <x:c r="M200" t="str">
        <x:v>$64.2375</x:v>
      </x:c>
      <x:c r="N200" t="str">
        <x:v>$65.8250</x:v>
      </x:c>
      <x:c r="O200" t="str">
        <x:v>$67.4625</x:v>
      </x:c>
      <x:c r="P200" t="str">
        <x:v>$69.1000</x:v>
      </x:c>
      <x:c r="Q200" t="str">
        <x:v>$70.8250</x:v>
      </x:c>
      <x:c r="R200" t="str">
        <x:v>$72.5375</x:v>
      </x:c>
      <x:c r="S200" t="str">
        <x:v>$74.3750</x:v>
      </x:c>
      <x:c r="T200" t="str">
        <x:v>$76.1750</x:v>
      </x:c>
      <x:c r="U200" t="str">
        <x:v>$77.7125</x:v>
      </x:c>
      <x:c r="V200" t="str"/>
      <x:c r="W200" t="str"/>
      <x:c r="X200" t="str"/>
      <x:c r="Y200" t="str"/>
      <x:c r="Z200" t="str"/>
      <x:c r="AA200" t="str"/>
      <x:c r="AB200" t="str"/>
      <x:c r="AC200" t="str"/>
      <x:c r="AD200" t="str"/>
      <x:c r="AE200" t="str"/>
      <x:c r="AF200" t="str">
        <x:f>D200&amp;"|"&amp;UPPER(G200)&amp;"|"&amp;SUBSTITUTE(C200,"/","-")</x:f>
        <x:v>1095|SFMTA|2024-01-06</x:v>
      </x:c>
    </x:row>
    <x:row r="201">
      <x:c r="A201" s="22" t="n">
        <x:v>28082</x:v>
      </x:c>
      <x:c r="B201" t="str">
        <x:v>FY24-25</x:v>
      </x:c>
      <x:c r="C201" t="str">
        <x:v>2024/07/01</x:v>
      </x:c>
      <x:c r="D201" t="str">
        <x:v>1095</x:v>
      </x:c>
      <x:c r="E201" t="str">
        <x:v>IT Operations Support Administrator V</x:v>
      </x:c>
      <x:c r="F201" t="str">
        <x:v>021</x:v>
      </x:c>
      <x:c r="G201" t="str">
        <x:v>COMMN</x:v>
      </x:c>
      <x:c r="H201" t="str">
        <x:v>1095Z</x:v>
      </x:c>
      <x:c r="I201" t="str">
        <x:v>$5,140</x:v>
      </x:c>
      <x:c r="J201" t="str"/>
      <x:c r="K201" t="str"/>
      <x:c r="L201" t="str">
        <x:v>$64.2500</x:v>
      </x:c>
      <x:c r="M201" t="str">
        <x:v>$65.8375</x:v>
      </x:c>
      <x:c r="N201" t="str">
        <x:v>$67.4750</x:v>
      </x:c>
      <x:c r="O201" t="str">
        <x:v>$69.1500</x:v>
      </x:c>
      <x:c r="P201" t="str">
        <x:v>$70.8250</x:v>
      </x:c>
      <x:c r="Q201" t="str">
        <x:v>$72.6000</x:v>
      </x:c>
      <x:c r="R201" t="str">
        <x:v>$74.3500</x:v>
      </x:c>
      <x:c r="S201" t="str">
        <x:v>$76.2375</x:v>
      </x:c>
      <x:c r="T201" t="str">
        <x:v>$78.0750</x:v>
      </x:c>
      <x:c r="U201" t="str">
        <x:v>$79.6500</x:v>
      </x:c>
      <x:c r="V201" t="str"/>
      <x:c r="W201" t="str"/>
      <x:c r="X201" t="str"/>
      <x:c r="Y201" t="str"/>
      <x:c r="Z201" t="str"/>
      <x:c r="AA201" t="str"/>
      <x:c r="AB201" t="str"/>
      <x:c r="AC201" t="str"/>
      <x:c r="AD201" t="str"/>
      <x:c r="AE201" t="str"/>
      <x:c r="AF201" t="str">
        <x:f>D201&amp;"|"&amp;UPPER(G201)&amp;"|"&amp;SUBSTITUTE(C201,"/","-")</x:f>
        <x:v>1095|COMMN|2024-07-01</x:v>
      </x:c>
    </x:row>
    <x:row r="202">
      <x:c r="A202" s="22" t="n">
        <x:v>28083</x:v>
      </x:c>
      <x:c r="B202" t="str">
        <x:v>FY24-25</x:v>
      </x:c>
      <x:c r="C202" t="str">
        <x:v>2024/07/01</x:v>
      </x:c>
      <x:c r="D202" t="str">
        <x:v>1095</x:v>
      </x:c>
      <x:c r="E202" t="str">
        <x:v>IT Operations Support Administrator V</x:v>
      </x:c>
      <x:c r="F202" t="str">
        <x:v>021</x:v>
      </x:c>
      <x:c r="G202" t="str">
        <x:v>SFMTA</x:v>
      </x:c>
      <x:c r="H202" t="str">
        <x:v>1095Z</x:v>
      </x:c>
      <x:c r="I202" t="str">
        <x:v>$5,140</x:v>
      </x:c>
      <x:c r="J202" t="str"/>
      <x:c r="K202" t="str"/>
      <x:c r="L202" t="str">
        <x:v>$64.2500</x:v>
      </x:c>
      <x:c r="M202" t="str">
        <x:v>$65.8375</x:v>
      </x:c>
      <x:c r="N202" t="str">
        <x:v>$67.4750</x:v>
      </x:c>
      <x:c r="O202" t="str">
        <x:v>$69.1500</x:v>
      </x:c>
      <x:c r="P202" t="str">
        <x:v>$70.8250</x:v>
      </x:c>
      <x:c r="Q202" t="str">
        <x:v>$72.6000</x:v>
      </x:c>
      <x:c r="R202" t="str">
        <x:v>$74.3500</x:v>
      </x:c>
      <x:c r="S202" t="str">
        <x:v>$76.2375</x:v>
      </x:c>
      <x:c r="T202" t="str">
        <x:v>$78.0750</x:v>
      </x:c>
      <x:c r="U202" t="str">
        <x:v>$79.6500</x:v>
      </x:c>
      <x:c r="V202" t="str"/>
      <x:c r="W202" t="str"/>
      <x:c r="X202" t="str"/>
      <x:c r="Y202" t="str"/>
      <x:c r="Z202" t="str"/>
      <x:c r="AA202" t="str"/>
      <x:c r="AB202" t="str"/>
      <x:c r="AC202" t="str"/>
      <x:c r="AD202" t="str"/>
      <x:c r="AE202" t="str"/>
      <x:c r="AF202" t="str">
        <x:f>D202&amp;"|"&amp;UPPER(G202)&amp;"|"&amp;SUBSTITUTE(C202,"/","-")</x:f>
        <x:v>1095|SFMTA|2024-07-01</x:v>
      </x:c>
    </x:row>
    <x:row r="203">
      <x:c r="A203" s="22" t="n">
        <x:v>29788</x:v>
      </x:c>
      <x:c r="B203" t="str">
        <x:v>FY24-25</x:v>
      </x:c>
      <x:c r="C203" t="str">
        <x:v>2025/01/04</x:v>
      </x:c>
      <x:c r="D203" t="str">
        <x:v>1095</x:v>
      </x:c>
      <x:c r="E203" t="str">
        <x:v>IT Operations Support Administrator V</x:v>
      </x:c>
      <x:c r="F203" t="str">
        <x:v>021</x:v>
      </x:c>
      <x:c r="G203" t="str">
        <x:v>COMMN</x:v>
      </x:c>
      <x:c r="H203" t="str">
        <x:v>1095A</x:v>
      </x:c>
      <x:c r="I203" t="str">
        <x:v>$5,217</x:v>
      </x:c>
      <x:c r="J203" t="str"/>
      <x:c r="K203" t="str"/>
      <x:c r="L203" t="str">
        <x:v>$65.2125</x:v>
      </x:c>
      <x:c r="M203" t="str">
        <x:v>$66.8250</x:v>
      </x:c>
      <x:c r="N203" t="str">
        <x:v>$68.4875</x:v>
      </x:c>
      <x:c r="O203" t="str">
        <x:v>$70.1875</x:v>
      </x:c>
      <x:c r="P203" t="str">
        <x:v>$71.8875</x:v>
      </x:c>
      <x:c r="Q203" t="str">
        <x:v>$73.6875</x:v>
      </x:c>
      <x:c r="R203" t="str">
        <x:v>$75.4625</x:v>
      </x:c>
      <x:c r="S203" t="str">
        <x:v>$77.3750</x:v>
      </x:c>
      <x:c r="T203" t="str">
        <x:v>$79.2500</x:v>
      </x:c>
      <x:c r="U203" t="str">
        <x:v>$80.8500</x:v>
      </x:c>
      <x:c r="V203" t="str"/>
      <x:c r="W203" t="str"/>
      <x:c r="X203" t="str"/>
      <x:c r="Y203" t="str"/>
      <x:c r="Z203" t="str"/>
      <x:c r="AA203" t="str"/>
      <x:c r="AB203" t="str"/>
      <x:c r="AC203" t="str"/>
      <x:c r="AD203" t="str"/>
      <x:c r="AE203" t="str"/>
      <x:c r="AF203" t="str">
        <x:f>D203&amp;"|"&amp;UPPER(G203)&amp;"|"&amp;SUBSTITUTE(C203,"/","-")</x:f>
        <x:v>1095|COMMN|2025-01-04</x:v>
      </x:c>
    </x:row>
    <x:row r="204">
      <x:c r="A204" s="22" t="n">
        <x:v>29789</x:v>
      </x:c>
      <x:c r="B204" t="str">
        <x:v>FY24-25</x:v>
      </x:c>
      <x:c r="C204" t="str">
        <x:v>2025/01/04</x:v>
      </x:c>
      <x:c r="D204" t="str">
        <x:v>1095</x:v>
      </x:c>
      <x:c r="E204" t="str">
        <x:v>IT Operations Support Administrator V</x:v>
      </x:c>
      <x:c r="F204" t="str">
        <x:v>021</x:v>
      </x:c>
      <x:c r="G204" t="str">
        <x:v>SFMTA</x:v>
      </x:c>
      <x:c r="H204" t="str">
        <x:v>1095A</x:v>
      </x:c>
      <x:c r="I204" t="str">
        <x:v>$5,217</x:v>
      </x:c>
      <x:c r="J204" t="str"/>
      <x:c r="K204" t="str"/>
      <x:c r="L204" t="str">
        <x:v>$65.2125</x:v>
      </x:c>
      <x:c r="M204" t="str">
        <x:v>$66.8250</x:v>
      </x:c>
      <x:c r="N204" t="str">
        <x:v>$68.4875</x:v>
      </x:c>
      <x:c r="O204" t="str">
        <x:v>$70.1875</x:v>
      </x:c>
      <x:c r="P204" t="str">
        <x:v>$71.8875</x:v>
      </x:c>
      <x:c r="Q204" t="str">
        <x:v>$73.6875</x:v>
      </x:c>
      <x:c r="R204" t="str">
        <x:v>$75.4625</x:v>
      </x:c>
      <x:c r="S204" t="str">
        <x:v>$77.3750</x:v>
      </x:c>
      <x:c r="T204" t="str">
        <x:v>$79.2500</x:v>
      </x:c>
      <x:c r="U204" t="str">
        <x:v>$80.8500</x:v>
      </x:c>
      <x:c r="V204" t="str"/>
      <x:c r="W204" t="str"/>
      <x:c r="X204" t="str"/>
      <x:c r="Y204" t="str"/>
      <x:c r="Z204" t="str"/>
      <x:c r="AA204" t="str"/>
      <x:c r="AB204" t="str"/>
      <x:c r="AC204" t="str"/>
      <x:c r="AD204" t="str"/>
      <x:c r="AE204" t="str"/>
      <x:c r="AF204" t="str">
        <x:f>D204&amp;"|"&amp;UPPER(G204)&amp;"|"&amp;SUBSTITUTE(C204,"/","-")</x:f>
        <x:v>1095|SFMTA|2025-01-04</x:v>
      </x:c>
    </x:row>
    <x:row r="205">
      <x:c r="A205" s="22" t="n">
        <x:v>31501</x:v>
      </x:c>
      <x:c r="B205" t="str">
        <x:v>FY25-26</x:v>
      </x:c>
      <x:c r="C205" t="str">
        <x:v>2025/07/01</x:v>
      </x:c>
      <x:c r="D205" t="str">
        <x:v>1095</x:v>
      </x:c>
      <x:c r="E205" t="str">
        <x:v>IT Operations Support Admin V</x:v>
      </x:c>
      <x:c r="F205" t="str">
        <x:v>021</x:v>
      </x:c>
      <x:c r="G205" t="str">
        <x:v>COMMN</x:v>
      </x:c>
      <x:c r="H205" t="str">
        <x:v>1095B</x:v>
      </x:c>
      <x:c r="I205" t="str">
        <x:v>$5,322</x:v>
      </x:c>
      <x:c r="J205" t="str"/>
      <x:c r="K205" t="str"/>
      <x:c r="L205" t="str">
        <x:v>$66.5250</x:v>
      </x:c>
      <x:c r="M205" t="str">
        <x:v>$68.1625</x:v>
      </x:c>
      <x:c r="N205" t="str">
        <x:v>$69.8625</x:v>
      </x:c>
      <x:c r="O205" t="str">
        <x:v>$71.6000</x:v>
      </x:c>
      <x:c r="P205" t="str">
        <x:v>$73.3375</x:v>
      </x:c>
      <x:c r="Q205" t="str">
        <x:v>$75.1625</x:v>
      </x:c>
      <x:c r="R205" t="str">
        <x:v>$76.9750</x:v>
      </x:c>
      <x:c r="S205" t="str">
        <x:v>$78.9250</x:v>
      </x:c>
      <x:c r="T205" t="str">
        <x:v>$80.8375</x:v>
      </x:c>
      <x:c r="U205" t="str">
        <x:v>$82.4750</x:v>
      </x:c>
      <x:c r="V205" t="str"/>
      <x:c r="W205" t="str"/>
      <x:c r="X205" t="str"/>
      <x:c r="Y205" t="str"/>
      <x:c r="Z205" t="str"/>
      <x:c r="AA205" t="str"/>
      <x:c r="AB205" t="str"/>
      <x:c r="AC205" t="str"/>
      <x:c r="AD205" t="str"/>
      <x:c r="AE205" t="str"/>
      <x:c r="AF205" t="str">
        <x:f>D205&amp;"|"&amp;UPPER(G205)&amp;"|"&amp;SUBSTITUTE(C205,"/","-")</x:f>
        <x:v>1095|COMMN|2025-07-01</x:v>
      </x:c>
    </x:row>
    <x:row r="206">
      <x:c r="A206" s="22" t="n">
        <x:v>31502</x:v>
      </x:c>
      <x:c r="B206" t="str">
        <x:v>FY25-26</x:v>
      </x:c>
      <x:c r="C206" t="str">
        <x:v>2025/07/01</x:v>
      </x:c>
      <x:c r="D206" t="str">
        <x:v>1095</x:v>
      </x:c>
      <x:c r="E206" t="str">
        <x:v>IT Operations Support Admin V</x:v>
      </x:c>
      <x:c r="F206" t="str">
        <x:v>021</x:v>
      </x:c>
      <x:c r="G206" t="str">
        <x:v>SFMTA</x:v>
      </x:c>
      <x:c r="H206" t="str">
        <x:v>1095B</x:v>
      </x:c>
      <x:c r="I206" t="str">
        <x:v>$5,322</x:v>
      </x:c>
      <x:c r="J206" t="str"/>
      <x:c r="K206" t="str"/>
      <x:c r="L206" t="str">
        <x:v>$66.5250</x:v>
      </x:c>
      <x:c r="M206" t="str">
        <x:v>$68.1625</x:v>
      </x:c>
      <x:c r="N206" t="str">
        <x:v>$69.8625</x:v>
      </x:c>
      <x:c r="O206" t="str">
        <x:v>$71.6000</x:v>
      </x:c>
      <x:c r="P206" t="str">
        <x:v>$73.3375</x:v>
      </x:c>
      <x:c r="Q206" t="str">
        <x:v>$75.1625</x:v>
      </x:c>
      <x:c r="R206" t="str">
        <x:v>$76.9750</x:v>
      </x:c>
      <x:c r="S206" t="str">
        <x:v>$78.9250</x:v>
      </x:c>
      <x:c r="T206" t="str">
        <x:v>$80.8375</x:v>
      </x:c>
      <x:c r="U206" t="str">
        <x:v>$82.4750</x:v>
      </x:c>
      <x:c r="V206" t="str"/>
      <x:c r="W206" t="str"/>
      <x:c r="X206" t="str"/>
      <x:c r="Y206" t="str"/>
      <x:c r="Z206" t="str"/>
      <x:c r="AA206" t="str"/>
      <x:c r="AB206" t="str"/>
      <x:c r="AC206" t="str"/>
      <x:c r="AD206" t="str"/>
      <x:c r="AE206" t="str"/>
      <x:c r="AF206" t="str">
        <x:f>D206&amp;"|"&amp;UPPER(G206)&amp;"|"&amp;SUBSTITUTE(C206,"/","-")</x:f>
        <x:v>1095|SFMTA|2025-07-01</x:v>
      </x:c>
    </x:row>
    <x:row r="207">
      <x:c r="A207" s="22" t="n">
        <x:v>33187</x:v>
      </x:c>
      <x:c r="B207" t="str">
        <x:v>FY25-26</x:v>
      </x:c>
      <x:c r="C207" t="str">
        <x:v>2026/01/03</x:v>
      </x:c>
      <x:c r="D207" t="str">
        <x:v>1095</x:v>
      </x:c>
      <x:c r="E207" t="str">
        <x:v>IT Operations Support Admin V</x:v>
      </x:c>
      <x:c r="F207" t="str">
        <x:v>021</x:v>
      </x:c>
      <x:c r="G207" t="str">
        <x:v>COMMN</x:v>
      </x:c>
      <x:c r="H207" t="str">
        <x:v>1095C</x:v>
      </x:c>
      <x:c r="I207" t="str">
        <x:v>$5,402</x:v>
      </x:c>
      <x:c r="J207" t="str"/>
      <x:c r="K207" t="str"/>
      <x:c r="L207" t="str">
        <x:v>$67.5250</x:v>
      </x:c>
      <x:c r="M207" t="str">
        <x:v>$69.1875</x:v>
      </x:c>
      <x:c r="N207" t="str">
        <x:v>$70.9125</x:v>
      </x:c>
      <x:c r="O207" t="str">
        <x:v>$72.6750</x:v>
      </x:c>
      <x:c r="P207" t="str">
        <x:v>$74.4375</x:v>
      </x:c>
      <x:c r="Q207" t="str">
        <x:v>$76.2875</x:v>
      </x:c>
      <x:c r="R207" t="str">
        <x:v>$78.1250</x:v>
      </x:c>
      <x:c r="S207" t="str">
        <x:v>$80.1125</x:v>
      </x:c>
      <x:c r="T207" t="str">
        <x:v>$82.0500</x:v>
      </x:c>
      <x:c r="U207" t="str">
        <x:v>$83.7125</x:v>
      </x:c>
      <x:c r="V207" t="str"/>
      <x:c r="W207" t="str"/>
      <x:c r="X207" t="str"/>
      <x:c r="Y207" t="str"/>
      <x:c r="Z207" t="str"/>
      <x:c r="AA207" t="str"/>
      <x:c r="AB207" t="str"/>
      <x:c r="AC207" t="str"/>
      <x:c r="AD207" t="str"/>
      <x:c r="AE207" t="str"/>
      <x:c r="AF207" t="str">
        <x:f>D207&amp;"|"&amp;UPPER(G207)&amp;"|"&amp;SUBSTITUTE(C207,"/","-")</x:f>
        <x:v>1095|COMMN|2026-01-03</x:v>
      </x:c>
    </x:row>
    <x:row r="208">
      <x:c r="A208" s="22" t="n">
        <x:v>33188</x:v>
      </x:c>
      <x:c r="B208" t="str">
        <x:v>FY25-26</x:v>
      </x:c>
      <x:c r="C208" t="str">
        <x:v>2026/01/03</x:v>
      </x:c>
      <x:c r="D208" t="str">
        <x:v>1095</x:v>
      </x:c>
      <x:c r="E208" t="str">
        <x:v>IT Operations Support Admin V</x:v>
      </x:c>
      <x:c r="F208" t="str">
        <x:v>021</x:v>
      </x:c>
      <x:c r="G208" t="str">
        <x:v>SFMTA</x:v>
      </x:c>
      <x:c r="H208" t="str">
        <x:v>1095C</x:v>
      </x:c>
      <x:c r="I208" t="str">
        <x:v>$5,402</x:v>
      </x:c>
      <x:c r="J208" t="str"/>
      <x:c r="K208" t="str"/>
      <x:c r="L208" t="str">
        <x:v>$67.5250</x:v>
      </x:c>
      <x:c r="M208" t="str">
        <x:v>$69.1875</x:v>
      </x:c>
      <x:c r="N208" t="str">
        <x:v>$70.9125</x:v>
      </x:c>
      <x:c r="O208" t="str">
        <x:v>$72.6750</x:v>
      </x:c>
      <x:c r="P208" t="str">
        <x:v>$74.4375</x:v>
      </x:c>
      <x:c r="Q208" t="str">
        <x:v>$76.2875</x:v>
      </x:c>
      <x:c r="R208" t="str">
        <x:v>$78.1250</x:v>
      </x:c>
      <x:c r="S208" t="str">
        <x:v>$80.1125</x:v>
      </x:c>
      <x:c r="T208" t="str">
        <x:v>$82.0500</x:v>
      </x:c>
      <x:c r="U208" t="str">
        <x:v>$83.7125</x:v>
      </x:c>
      <x:c r="V208" t="str"/>
      <x:c r="W208" t="str"/>
      <x:c r="X208" t="str"/>
      <x:c r="Y208" t="str"/>
      <x:c r="Z208" t="str"/>
      <x:c r="AA208" t="str"/>
      <x:c r="AB208" t="str"/>
      <x:c r="AC208" t="str"/>
      <x:c r="AD208" t="str"/>
      <x:c r="AE208" t="str"/>
      <x:c r="AF208" t="str">
        <x:f>D208&amp;"|"&amp;UPPER(G208)&amp;"|"&amp;SUBSTITUTE(C208,"/","-")</x:f>
        <x:v>1095|SFMTA|2026-01-03</x:v>
      </x:c>
    </x:row>
    <x:row r="209">
      <x:c r="A209" s="22" t="n">
        <x:v>26342</x:v>
      </x:c>
      <x:c r="B209" t="str">
        <x:v>FY23-24</x:v>
      </x:c>
      <x:c r="C209" t="str">
        <x:v>2024/01/06</x:v>
      </x:c>
      <x:c r="D209" t="str">
        <x:v>1110</x:v>
      </x:c>
      <x:c r="E209" t="str">
        <x:v>Executive Assistant To The Executive Director, Retirement System</x:v>
      </x:c>
      <x:c r="F209" t="str">
        <x:v>351</x:v>
      </x:c>
      <x:c r="G209" t="str">
        <x:v>COMMN</x:v>
      </x:c>
      <x:c r="H209" t="str">
        <x:v>1110Y</x:v>
      </x:c>
      <x:c r="I209" t="str">
        <x:v>$4,926</x:v>
      </x:c>
      <x:c r="J209" t="str"/>
      <x:c r="K209" t="str">
        <x:v>6</x:v>
      </x:c>
      <x:c r="L209" t="str">
        <x:v>$61.5750</x:v>
      </x:c>
      <x:c r="M209" t="str">
        <x:v>$64.6500</x:v>
      </x:c>
      <x:c r="N209" t="str">
        <x:v>$67.9375</x:v>
      </x:c>
      <x:c r="O209" t="str">
        <x:v>$71.3000</x:v>
      </x:c>
      <x:c r="P209" t="str">
        <x:v>$74.8625</x:v>
      </x:c>
      <x:c r="Q209" t="str">
        <x:v>$76.7375</x:v>
      </x:c>
      <x:c r="R209" t="str">
        <x:v>$78.6125</x:v>
      </x:c>
      <x:c r="S209" t="str">
        <x:v>$80.5875</x:v>
      </x:c>
      <x:c r="T209" t="str">
        <x:v>$82.5375</x:v>
      </x:c>
      <x:c r="U209" t="str"/>
      <x:c r="V209" t="str"/>
      <x:c r="W209" t="str"/>
      <x:c r="X209" t="str"/>
      <x:c r="Y209" t="str"/>
      <x:c r="Z209" t="str"/>
      <x:c r="AA209" t="str"/>
      <x:c r="AB209" t="str"/>
      <x:c r="AC209" t="str"/>
      <x:c r="AD209" t="str"/>
      <x:c r="AE209" t="str"/>
      <x:c r="AF209" t="str">
        <x:f>D209&amp;"|"&amp;UPPER(G209)&amp;"|"&amp;SUBSTITUTE(C209,"/","-")</x:f>
        <x:v>1110|COMMN|2024-01-06</x:v>
      </x:c>
    </x:row>
    <x:row r="210">
      <x:c r="A210" s="22" t="n">
        <x:v>26343</x:v>
      </x:c>
      <x:c r="B210" t="str">
        <x:v>FY23-24</x:v>
      </x:c>
      <x:c r="C210" t="str">
        <x:v>2024/01/06</x:v>
      </x:c>
      <x:c r="D210" t="str">
        <x:v>1110</x:v>
      </x:c>
      <x:c r="E210" t="str">
        <x:v>Executive Assistant To The Executive Director, Retirement System</x:v>
      </x:c>
      <x:c r="F210" t="str">
        <x:v>351</x:v>
      </x:c>
      <x:c r="G210" t="str">
        <x:v>SFMTA</x:v>
      </x:c>
      <x:c r="H210" t="str">
        <x:v>1110Y</x:v>
      </x:c>
      <x:c r="I210" t="str">
        <x:v>$4,926</x:v>
      </x:c>
      <x:c r="J210" t="str"/>
      <x:c r="K210" t="str">
        <x:v>6</x:v>
      </x:c>
      <x:c r="L210" t="str">
        <x:v>$61.5750</x:v>
      </x:c>
      <x:c r="M210" t="str">
        <x:v>$64.6500</x:v>
      </x:c>
      <x:c r="N210" t="str">
        <x:v>$67.9375</x:v>
      </x:c>
      <x:c r="O210" t="str">
        <x:v>$71.3000</x:v>
      </x:c>
      <x:c r="P210" t="str">
        <x:v>$74.8625</x:v>
      </x:c>
      <x:c r="Q210" t="str">
        <x:v>$76.7375</x:v>
      </x:c>
      <x:c r="R210" t="str">
        <x:v>$78.6125</x:v>
      </x:c>
      <x:c r="S210" t="str">
        <x:v>$80.5875</x:v>
      </x:c>
      <x:c r="T210" t="str">
        <x:v>$82.5375</x:v>
      </x:c>
      <x:c r="U210" t="str"/>
      <x:c r="V210" t="str"/>
      <x:c r="W210" t="str"/>
      <x:c r="X210" t="str"/>
      <x:c r="Y210" t="str"/>
      <x:c r="Z210" t="str"/>
      <x:c r="AA210" t="str"/>
      <x:c r="AB210" t="str"/>
      <x:c r="AC210" t="str"/>
      <x:c r="AD210" t="str"/>
      <x:c r="AE210" t="str"/>
      <x:c r="AF210" t="str">
        <x:f>D210&amp;"|"&amp;UPPER(G210)&amp;"|"&amp;SUBSTITUTE(C210,"/","-")</x:f>
        <x:v>1110|SFMTA|2024-01-06</x:v>
      </x:c>
    </x:row>
    <x:row r="211">
      <x:c r="A211" s="22" t="n">
        <x:v>28084</x:v>
      </x:c>
      <x:c r="B211" t="str">
        <x:v>FY24-25</x:v>
      </x:c>
      <x:c r="C211" t="str">
        <x:v>2024/07/01</x:v>
      </x:c>
      <x:c r="D211" t="str">
        <x:v>1110</x:v>
      </x:c>
      <x:c r="E211" t="str">
        <x:v>Executive Assistant To The Executive Director, Retirement System</x:v>
      </x:c>
      <x:c r="F211" t="str">
        <x:v>351</x:v>
      </x:c>
      <x:c r="G211" t="str">
        <x:v>COMMN</x:v>
      </x:c>
      <x:c r="H211" t="str">
        <x:v>1110Z</x:v>
      </x:c>
      <x:c r="I211" t="str">
        <x:v>$5,000</x:v>
      </x:c>
      <x:c r="J211" t="str"/>
      <x:c r="K211" t="str">
        <x:v>6</x:v>
      </x:c>
      <x:c r="L211" t="str">
        <x:v>$62.5000</x:v>
      </x:c>
      <x:c r="M211" t="str">
        <x:v>$65.6250</x:v>
      </x:c>
      <x:c r="N211" t="str">
        <x:v>$68.9625</x:v>
      </x:c>
      <x:c r="O211" t="str">
        <x:v>$72.3750</x:v>
      </x:c>
      <x:c r="P211" t="str">
        <x:v>$75.9875</x:v>
      </x:c>
      <x:c r="Q211" t="str">
        <x:v>$77.8875</x:v>
      </x:c>
      <x:c r="R211" t="str">
        <x:v>$79.7875</x:v>
      </x:c>
      <x:c r="S211" t="str">
        <x:v>$81.8000</x:v>
      </x:c>
      <x:c r="T211" t="str">
        <x:v>$83.7750</x:v>
      </x:c>
      <x:c r="U211" t="str"/>
      <x:c r="V211" t="str"/>
      <x:c r="W211" t="str"/>
      <x:c r="X211" t="str"/>
      <x:c r="Y211" t="str"/>
      <x:c r="Z211" t="str"/>
      <x:c r="AA211" t="str"/>
      <x:c r="AB211" t="str"/>
      <x:c r="AC211" t="str"/>
      <x:c r="AD211" t="str"/>
      <x:c r="AE211" t="str"/>
      <x:c r="AF211" t="str">
        <x:f>D211&amp;"|"&amp;UPPER(G211)&amp;"|"&amp;SUBSTITUTE(C211,"/","-")</x:f>
        <x:v>1110|COMMN|2024-07-01</x:v>
      </x:c>
    </x:row>
    <x:row r="212">
      <x:c r="A212" s="22" t="n">
        <x:v>28085</x:v>
      </x:c>
      <x:c r="B212" t="str">
        <x:v>FY24-25</x:v>
      </x:c>
      <x:c r="C212" t="str">
        <x:v>2024/07/01</x:v>
      </x:c>
      <x:c r="D212" t="str">
        <x:v>1110</x:v>
      </x:c>
      <x:c r="E212" t="str">
        <x:v>Executive Assistant To The Executive Director, Retirement System</x:v>
      </x:c>
      <x:c r="F212" t="str">
        <x:v>351</x:v>
      </x:c>
      <x:c r="G212" t="str">
        <x:v>SFMTA</x:v>
      </x:c>
      <x:c r="H212" t="str">
        <x:v>1110Z</x:v>
      </x:c>
      <x:c r="I212" t="str">
        <x:v>$5,000</x:v>
      </x:c>
      <x:c r="J212" t="str"/>
      <x:c r="K212" t="str">
        <x:v>6</x:v>
      </x:c>
      <x:c r="L212" t="str">
        <x:v>$62.5000</x:v>
      </x:c>
      <x:c r="M212" t="str">
        <x:v>$65.6250</x:v>
      </x:c>
      <x:c r="N212" t="str">
        <x:v>$68.9625</x:v>
      </x:c>
      <x:c r="O212" t="str">
        <x:v>$72.3750</x:v>
      </x:c>
      <x:c r="P212" t="str">
        <x:v>$75.9875</x:v>
      </x:c>
      <x:c r="Q212" t="str">
        <x:v>$77.8875</x:v>
      </x:c>
      <x:c r="R212" t="str">
        <x:v>$79.7875</x:v>
      </x:c>
      <x:c r="S212" t="str">
        <x:v>$81.8000</x:v>
      </x:c>
      <x:c r="T212" t="str">
        <x:v>$83.7750</x:v>
      </x:c>
      <x:c r="U212" t="str"/>
      <x:c r="V212" t="str"/>
      <x:c r="W212" t="str"/>
      <x:c r="X212" t="str"/>
      <x:c r="Y212" t="str"/>
      <x:c r="Z212" t="str"/>
      <x:c r="AA212" t="str"/>
      <x:c r="AB212" t="str"/>
      <x:c r="AC212" t="str"/>
      <x:c r="AD212" t="str"/>
      <x:c r="AE212" t="str"/>
      <x:c r="AF212" t="str">
        <x:f>D212&amp;"|"&amp;UPPER(G212)&amp;"|"&amp;SUBSTITUTE(C212,"/","-")</x:f>
        <x:v>1110|SFMTA|2024-07-01</x:v>
      </x:c>
    </x:row>
    <x:row r="213">
      <x:c r="A213" s="22" t="n">
        <x:v>29790</x:v>
      </x:c>
      <x:c r="B213" t="str">
        <x:v>FY24-25</x:v>
      </x:c>
      <x:c r="C213" t="str">
        <x:v>2025/01/04</x:v>
      </x:c>
      <x:c r="D213" t="str">
        <x:v>1110</x:v>
      </x:c>
      <x:c r="E213" t="str">
        <x:v>Executive Assistant To The Executive Director, Retirement System</x:v>
      </x:c>
      <x:c r="F213" t="str">
        <x:v>351</x:v>
      </x:c>
      <x:c r="G213" t="str">
        <x:v>COMMN</x:v>
      </x:c>
      <x:c r="H213" t="str">
        <x:v>1110A</x:v>
      </x:c>
      <x:c r="I213" t="str">
        <x:v>$5,075</x:v>
      </x:c>
      <x:c r="J213" t="str"/>
      <x:c r="K213" t="str">
        <x:v>6</x:v>
      </x:c>
      <x:c r="L213" t="str">
        <x:v>$63.4375</x:v>
      </x:c>
      <x:c r="M213" t="str">
        <x:v>$66.6125</x:v>
      </x:c>
      <x:c r="N213" t="str">
        <x:v>$70.0000</x:v>
      </x:c>
      <x:c r="O213" t="str">
        <x:v>$73.4625</x:v>
      </x:c>
      <x:c r="P213" t="str">
        <x:v>$77.1250</x:v>
      </x:c>
      <x:c r="Q213" t="str">
        <x:v>$79.0500</x:v>
      </x:c>
      <x:c r="R213" t="str">
        <x:v>$80.9875</x:v>
      </x:c>
      <x:c r="S213" t="str">
        <x:v>$83.0250</x:v>
      </x:c>
      <x:c r="T213" t="str">
        <x:v>$85.0375</x:v>
      </x:c>
      <x:c r="U213" t="str"/>
      <x:c r="V213" t="str"/>
      <x:c r="W213" t="str"/>
      <x:c r="X213" t="str"/>
      <x:c r="Y213" t="str"/>
      <x:c r="Z213" t="str"/>
      <x:c r="AA213" t="str"/>
      <x:c r="AB213" t="str"/>
      <x:c r="AC213" t="str"/>
      <x:c r="AD213" t="str"/>
      <x:c r="AE213" t="str"/>
      <x:c r="AF213" t="str">
        <x:f>D213&amp;"|"&amp;UPPER(G213)&amp;"|"&amp;SUBSTITUTE(C213,"/","-")</x:f>
        <x:v>1110|COMMN|2025-01-04</x:v>
      </x:c>
    </x:row>
    <x:row r="214">
      <x:c r="A214" s="22" t="n">
        <x:v>29791</x:v>
      </x:c>
      <x:c r="B214" t="str">
        <x:v>FY24-25</x:v>
      </x:c>
      <x:c r="C214" t="str">
        <x:v>2025/01/04</x:v>
      </x:c>
      <x:c r="D214" t="str">
        <x:v>1110</x:v>
      </x:c>
      <x:c r="E214" t="str">
        <x:v>Executive Assistant To The Executive Director, Retirement System</x:v>
      </x:c>
      <x:c r="F214" t="str">
        <x:v>351</x:v>
      </x:c>
      <x:c r="G214" t="str">
        <x:v>SFMTA</x:v>
      </x:c>
      <x:c r="H214" t="str">
        <x:v>1110A</x:v>
      </x:c>
      <x:c r="I214" t="str">
        <x:v>$5,075</x:v>
      </x:c>
      <x:c r="J214" t="str"/>
      <x:c r="K214" t="str">
        <x:v>6</x:v>
      </x:c>
      <x:c r="L214" t="str">
        <x:v>$63.4375</x:v>
      </x:c>
      <x:c r="M214" t="str">
        <x:v>$66.6125</x:v>
      </x:c>
      <x:c r="N214" t="str">
        <x:v>$70.0000</x:v>
      </x:c>
      <x:c r="O214" t="str">
        <x:v>$73.4625</x:v>
      </x:c>
      <x:c r="P214" t="str">
        <x:v>$77.1250</x:v>
      </x:c>
      <x:c r="Q214" t="str">
        <x:v>$79.0500</x:v>
      </x:c>
      <x:c r="R214" t="str">
        <x:v>$80.9875</x:v>
      </x:c>
      <x:c r="S214" t="str">
        <x:v>$83.0250</x:v>
      </x:c>
      <x:c r="T214" t="str">
        <x:v>$85.0375</x:v>
      </x:c>
      <x:c r="U214" t="str"/>
      <x:c r="V214" t="str"/>
      <x:c r="W214" t="str"/>
      <x:c r="X214" t="str"/>
      <x:c r="Y214" t="str"/>
      <x:c r="Z214" t="str"/>
      <x:c r="AA214" t="str"/>
      <x:c r="AB214" t="str"/>
      <x:c r="AC214" t="str"/>
      <x:c r="AD214" t="str"/>
      <x:c r="AE214" t="str"/>
      <x:c r="AF214" t="str">
        <x:f>D214&amp;"|"&amp;UPPER(G214)&amp;"|"&amp;SUBSTITUTE(C214,"/","-")</x:f>
        <x:v>1110|SFMTA|2025-01-04</x:v>
      </x:c>
    </x:row>
    <x:row r="215">
      <x:c r="A215" s="22" t="n">
        <x:v>31503</x:v>
      </x:c>
      <x:c r="B215" t="str">
        <x:v>FY25-26</x:v>
      </x:c>
      <x:c r="C215" t="str">
        <x:v>2025/07/01</x:v>
      </x:c>
      <x:c r="D215" t="str">
        <x:v>1110</x:v>
      </x:c>
      <x:c r="E215" t="str">
        <x:v>Ex Asst to Ex Dir, Retirement</x:v>
      </x:c>
      <x:c r="F215" t="str">
        <x:v>351</x:v>
      </x:c>
      <x:c r="G215" t="str">
        <x:v>COMMN</x:v>
      </x:c>
      <x:c r="H215" t="str">
        <x:v>1110B</x:v>
      </x:c>
      <x:c r="I215" t="str">
        <x:v>$5,177</x:v>
      </x:c>
      <x:c r="J215" t="str"/>
      <x:c r="K215" t="str">
        <x:v>6</x:v>
      </x:c>
      <x:c r="L215" t="str">
        <x:v>$64.7125</x:v>
      </x:c>
      <x:c r="M215" t="str">
        <x:v>$67.9500</x:v>
      </x:c>
      <x:c r="N215" t="str">
        <x:v>$71.4125</x:v>
      </x:c>
      <x:c r="O215" t="str">
        <x:v>$74.9375</x:v>
      </x:c>
      <x:c r="P215" t="str">
        <x:v>$78.6750</x:v>
      </x:c>
      <x:c r="Q215" t="str">
        <x:v>$80.6375</x:v>
      </x:c>
      <x:c r="R215" t="str">
        <x:v>$82.6125</x:v>
      </x:c>
      <x:c r="S215" t="str">
        <x:v>$84.7000</x:v>
      </x:c>
      <x:c r="T215" t="str">
        <x:v>$86.7500</x:v>
      </x:c>
      <x:c r="U215" t="str"/>
      <x:c r="V215" t="str"/>
      <x:c r="W215" t="str"/>
      <x:c r="X215" t="str"/>
      <x:c r="Y215" t="str"/>
      <x:c r="Z215" t="str"/>
      <x:c r="AA215" t="str"/>
      <x:c r="AB215" t="str"/>
      <x:c r="AC215" t="str"/>
      <x:c r="AD215" t="str"/>
      <x:c r="AE215" t="str"/>
      <x:c r="AF215" t="str">
        <x:f>D215&amp;"|"&amp;UPPER(G215)&amp;"|"&amp;SUBSTITUTE(C215,"/","-")</x:f>
        <x:v>1110|COMMN|2025-07-01</x:v>
      </x:c>
    </x:row>
    <x:row r="216">
      <x:c r="A216" s="22" t="n">
        <x:v>31504</x:v>
      </x:c>
      <x:c r="B216" t="str">
        <x:v>FY25-26</x:v>
      </x:c>
      <x:c r="C216" t="str">
        <x:v>2025/07/01</x:v>
      </x:c>
      <x:c r="D216" t="str">
        <x:v>1110</x:v>
      </x:c>
      <x:c r="E216" t="str">
        <x:v>Ex Asst to Ex Dir, Retirement</x:v>
      </x:c>
      <x:c r="F216" t="str">
        <x:v>351</x:v>
      </x:c>
      <x:c r="G216" t="str">
        <x:v>SFMTA</x:v>
      </x:c>
      <x:c r="H216" t="str">
        <x:v>1110B</x:v>
      </x:c>
      <x:c r="I216" t="str">
        <x:v>$5,177</x:v>
      </x:c>
      <x:c r="J216" t="str"/>
      <x:c r="K216" t="str">
        <x:v>6</x:v>
      </x:c>
      <x:c r="L216" t="str">
        <x:v>$64.7125</x:v>
      </x:c>
      <x:c r="M216" t="str">
        <x:v>$67.9500</x:v>
      </x:c>
      <x:c r="N216" t="str">
        <x:v>$71.4125</x:v>
      </x:c>
      <x:c r="O216" t="str">
        <x:v>$74.9375</x:v>
      </x:c>
      <x:c r="P216" t="str">
        <x:v>$78.6750</x:v>
      </x:c>
      <x:c r="Q216" t="str">
        <x:v>$80.6375</x:v>
      </x:c>
      <x:c r="R216" t="str">
        <x:v>$82.6125</x:v>
      </x:c>
      <x:c r="S216" t="str">
        <x:v>$84.7000</x:v>
      </x:c>
      <x:c r="T216" t="str">
        <x:v>$86.7500</x:v>
      </x:c>
      <x:c r="U216" t="str"/>
      <x:c r="V216" t="str"/>
      <x:c r="W216" t="str"/>
      <x:c r="X216" t="str"/>
      <x:c r="Y216" t="str"/>
      <x:c r="Z216" t="str"/>
      <x:c r="AA216" t="str"/>
      <x:c r="AB216" t="str"/>
      <x:c r="AC216" t="str"/>
      <x:c r="AD216" t="str"/>
      <x:c r="AE216" t="str"/>
      <x:c r="AF216" t="str">
        <x:f>D216&amp;"|"&amp;UPPER(G216)&amp;"|"&amp;SUBSTITUTE(C216,"/","-")</x:f>
        <x:v>1110|SFMTA|2025-07-01</x:v>
      </x:c>
    </x:row>
    <x:row r="217">
      <x:c r="A217" s="22" t="n">
        <x:v>33189</x:v>
      </x:c>
      <x:c r="B217" t="str">
        <x:v>FY25-26</x:v>
      </x:c>
      <x:c r="C217" t="str">
        <x:v>2026/01/03</x:v>
      </x:c>
      <x:c r="D217" t="str">
        <x:v>1110</x:v>
      </x:c>
      <x:c r="E217" t="str">
        <x:v>Ex Asst to Ex Dir, Retirement</x:v>
      </x:c>
      <x:c r="F217" t="str">
        <x:v>351</x:v>
      </x:c>
      <x:c r="G217" t="str">
        <x:v>COMMN</x:v>
      </x:c>
      <x:c r="H217" t="str">
        <x:v>1110C</x:v>
      </x:c>
      <x:c r="I217" t="str">
        <x:v>$5,255</x:v>
      </x:c>
      <x:c r="J217" t="str"/>
      <x:c r="K217" t="str">
        <x:v>6</x:v>
      </x:c>
      <x:c r="L217" t="str">
        <x:v>$65.6875</x:v>
      </x:c>
      <x:c r="M217" t="str">
        <x:v>$68.9750</x:v>
      </x:c>
      <x:c r="N217" t="str">
        <x:v>$72.4875</x:v>
      </x:c>
      <x:c r="O217" t="str">
        <x:v>$76.0625</x:v>
      </x:c>
      <x:c r="P217" t="str">
        <x:v>$79.8500</x:v>
      </x:c>
      <x:c r="Q217" t="str">
        <x:v>$81.8500</x:v>
      </x:c>
      <x:c r="R217" t="str">
        <x:v>$83.8500</x:v>
      </x:c>
      <x:c r="S217" t="str">
        <x:v>$85.9750</x:v>
      </x:c>
      <x:c r="T217" t="str">
        <x:v>$88.0500</x:v>
      </x:c>
      <x:c r="U217" t="str"/>
      <x:c r="V217" t="str"/>
      <x:c r="W217" t="str"/>
      <x:c r="X217" t="str"/>
      <x:c r="Y217" t="str"/>
      <x:c r="Z217" t="str"/>
      <x:c r="AA217" t="str"/>
      <x:c r="AB217" t="str"/>
      <x:c r="AC217" t="str"/>
      <x:c r="AD217" t="str"/>
      <x:c r="AE217" t="str"/>
      <x:c r="AF217" t="str">
        <x:f>D217&amp;"|"&amp;UPPER(G217)&amp;"|"&amp;SUBSTITUTE(C217,"/","-")</x:f>
        <x:v>1110|COMMN|2026-01-03</x:v>
      </x:c>
    </x:row>
    <x:row r="218">
      <x:c r="A218" s="22" t="n">
        <x:v>33190</x:v>
      </x:c>
      <x:c r="B218" t="str">
        <x:v>FY25-26</x:v>
      </x:c>
      <x:c r="C218" t="str">
        <x:v>2026/01/03</x:v>
      </x:c>
      <x:c r="D218" t="str">
        <x:v>1110</x:v>
      </x:c>
      <x:c r="E218" t="str">
        <x:v>Ex Asst to Ex Dir, Retirement</x:v>
      </x:c>
      <x:c r="F218" t="str">
        <x:v>351</x:v>
      </x:c>
      <x:c r="G218" t="str">
        <x:v>SFMTA</x:v>
      </x:c>
      <x:c r="H218" t="str">
        <x:v>1110C</x:v>
      </x:c>
      <x:c r="I218" t="str">
        <x:v>$5,255</x:v>
      </x:c>
      <x:c r="J218" t="str"/>
      <x:c r="K218" t="str">
        <x:v>6</x:v>
      </x:c>
      <x:c r="L218" t="str">
        <x:v>$65.6875</x:v>
      </x:c>
      <x:c r="M218" t="str">
        <x:v>$68.9750</x:v>
      </x:c>
      <x:c r="N218" t="str">
        <x:v>$72.4875</x:v>
      </x:c>
      <x:c r="O218" t="str">
        <x:v>$76.0625</x:v>
      </x:c>
      <x:c r="P218" t="str">
        <x:v>$79.8500</x:v>
      </x:c>
      <x:c r="Q218" t="str">
        <x:v>$81.8500</x:v>
      </x:c>
      <x:c r="R218" t="str">
        <x:v>$83.8500</x:v>
      </x:c>
      <x:c r="S218" t="str">
        <x:v>$85.9750</x:v>
      </x:c>
      <x:c r="T218" t="str">
        <x:v>$88.0500</x:v>
      </x:c>
      <x:c r="U218" t="str"/>
      <x:c r="V218" t="str"/>
      <x:c r="W218" t="str"/>
      <x:c r="X218" t="str"/>
      <x:c r="Y218" t="str"/>
      <x:c r="Z218" t="str"/>
      <x:c r="AA218" t="str"/>
      <x:c r="AB218" t="str"/>
      <x:c r="AC218" t="str"/>
      <x:c r="AD218" t="str"/>
      <x:c r="AE218" t="str"/>
      <x:c r="AF218" t="str">
        <x:f>D218&amp;"|"&amp;UPPER(G218)&amp;"|"&amp;SUBSTITUTE(C218,"/","-")</x:f>
        <x:v>1110|SFMTA|2026-01-03</x:v>
      </x:c>
    </x:row>
    <x:row r="219">
      <x:c r="A219" s="22" t="n">
        <x:v>26344</x:v>
      </x:c>
      <x:c r="B219" t="str">
        <x:v>FY23-24</x:v>
      </x:c>
      <x:c r="C219" t="str">
        <x:v>2024/01/06</x:v>
      </x:c>
      <x:c r="D219" t="str">
        <x:v>1117</x:v>
      </x:c>
      <x:c r="E219" t="str">
        <x:v>Deputy Director for Investments, Retirement System</x:v>
      </x:c>
      <x:c r="F219" t="str">
        <x:v>351</x:v>
      </x:c>
      <x:c r="G219" t="str">
        <x:v>COMMN</x:v>
      </x:c>
      <x:c r="H219" t="str">
        <x:v>1117Y</x:v>
      </x:c>
      <x:c r="I219" t="str">
        <x:v>$14,101</x:v>
      </x:c>
      <x:c r="J219" t="str"/>
      <x:c r="K219" t="str"/>
      <x:c r="L219" t="str">
        <x:v>$176.2625</x:v>
      </x:c>
      <x:c r="M219" t="str">
        <x:v>$185.1125</x:v>
      </x:c>
      <x:c r="N219" t="str">
        <x:v>$194.3500</x:v>
      </x:c>
      <x:c r="O219" t="str">
        <x:v>$204.0625</x:v>
      </x:c>
      <x:c r="P219" t="str">
        <x:v>$214.2750</x:v>
      </x:c>
      <x:c r="Q219" t="str"/>
      <x:c r="R219" t="str"/>
      <x:c r="S219" t="str"/>
      <x:c r="T219" t="str"/>
      <x:c r="U219" t="str"/>
      <x:c r="V219" t="str"/>
      <x:c r="W219" t="str"/>
      <x:c r="X219" t="str"/>
      <x:c r="Y219" t="str"/>
      <x:c r="Z219" t="str"/>
      <x:c r="AA219" t="str"/>
      <x:c r="AB219" t="str"/>
      <x:c r="AC219" t="str"/>
      <x:c r="AD219" t="str"/>
      <x:c r="AE219" t="str"/>
      <x:c r="AF219" t="str">
        <x:f>D219&amp;"|"&amp;UPPER(G219)&amp;"|"&amp;SUBSTITUTE(C219,"/","-")</x:f>
        <x:v>1117|COMMN|2024-01-06</x:v>
      </x:c>
    </x:row>
    <x:row r="220">
      <x:c r="A220" s="22" t="n">
        <x:v>28086</x:v>
      </x:c>
      <x:c r="B220" t="str">
        <x:v>FY24-25</x:v>
      </x:c>
      <x:c r="C220" t="str">
        <x:v>2024/07/01</x:v>
      </x:c>
      <x:c r="D220" t="str">
        <x:v>1117</x:v>
      </x:c>
      <x:c r="E220" t="str">
        <x:v>Chief Operating Officer, Retirement System</x:v>
      </x:c>
      <x:c r="F220" t="str">
        <x:v>351</x:v>
      </x:c>
      <x:c r="G220" t="str">
        <x:v>COMMN</x:v>
      </x:c>
      <x:c r="H220" t="str">
        <x:v>1117Z</x:v>
      </x:c>
      <x:c r="I220" t="str">
        <x:v>$14,313</x:v>
      </x:c>
      <x:c r="J220" t="str"/>
      <x:c r="K220" t="str"/>
      <x:c r="L220" t="str">
        <x:v>$178.9125</x:v>
      </x:c>
      <x:c r="M220" t="str">
        <x:v>$187.8875</x:v>
      </x:c>
      <x:c r="N220" t="str">
        <x:v>$197.2625</x:v>
      </x:c>
      <x:c r="O220" t="str">
        <x:v>$207.1250</x:v>
      </x:c>
      <x:c r="P220" t="str">
        <x:v>$217.4875</x:v>
      </x:c>
      <x:c r="Q220" t="str"/>
      <x:c r="R220" t="str"/>
      <x:c r="S220" t="str"/>
      <x:c r="T220" t="str"/>
      <x:c r="U220" t="str"/>
      <x:c r="V220" t="str"/>
      <x:c r="W220" t="str"/>
      <x:c r="X220" t="str"/>
      <x:c r="Y220" t="str"/>
      <x:c r="Z220" t="str"/>
      <x:c r="AA220" t="str"/>
      <x:c r="AB220" t="str"/>
      <x:c r="AC220" t="str"/>
      <x:c r="AD220" t="str"/>
      <x:c r="AE220" t="str"/>
      <x:c r="AF220" t="str">
        <x:f>D220&amp;"|"&amp;UPPER(G220)&amp;"|"&amp;SUBSTITUTE(C220,"/","-")</x:f>
        <x:v>1117|COMMN|2024-07-01</x:v>
      </x:c>
    </x:row>
    <x:row r="221">
      <x:c r="A221" s="22" t="n">
        <x:v>29792</x:v>
      </x:c>
      <x:c r="B221" t="str">
        <x:v>FY24-25</x:v>
      </x:c>
      <x:c r="C221" t="str">
        <x:v>2025/01/04</x:v>
      </x:c>
      <x:c r="D221" t="str">
        <x:v>1117</x:v>
      </x:c>
      <x:c r="E221" t="str">
        <x:v>Chief Operating Officer, Retirement System</x:v>
      </x:c>
      <x:c r="F221" t="str">
        <x:v>351</x:v>
      </x:c>
      <x:c r="G221" t="str">
        <x:v>COMMN</x:v>
      </x:c>
      <x:c r="H221" t="str">
        <x:v>1117A</x:v>
      </x:c>
      <x:c r="I221" t="str">
        <x:v>$14,528</x:v>
      </x:c>
      <x:c r="J221" t="str"/>
      <x:c r="K221" t="str"/>
      <x:c r="L221" t="str">
        <x:v>$181.6000</x:v>
      </x:c>
      <x:c r="M221" t="str">
        <x:v>$190.7000</x:v>
      </x:c>
      <x:c r="N221" t="str">
        <x:v>$200.2250</x:v>
      </x:c>
      <x:c r="O221" t="str">
        <x:v>$210.2375</x:v>
      </x:c>
      <x:c r="P221" t="str">
        <x:v>$220.7500</x:v>
      </x:c>
      <x:c r="Q221" t="str"/>
      <x:c r="R221" t="str"/>
      <x:c r="S221" t="str"/>
      <x:c r="T221" t="str"/>
      <x:c r="U221" t="str"/>
      <x:c r="V221" t="str"/>
      <x:c r="W221" t="str"/>
      <x:c r="X221" t="str"/>
      <x:c r="Y221" t="str"/>
      <x:c r="Z221" t="str"/>
      <x:c r="AA221" t="str"/>
      <x:c r="AB221" t="str"/>
      <x:c r="AC221" t="str"/>
      <x:c r="AD221" t="str"/>
      <x:c r="AE221" t="str"/>
      <x:c r="AF221" t="str">
        <x:f>D221&amp;"|"&amp;UPPER(G221)&amp;"|"&amp;SUBSTITUTE(C221,"/","-")</x:f>
        <x:v>1117|COMMN|2025-01-04</x:v>
      </x:c>
    </x:row>
    <x:row r="222">
      <x:c r="A222" s="22" t="n">
        <x:v>31505</x:v>
      </x:c>
      <x:c r="B222" t="str">
        <x:v>FY25-26</x:v>
      </x:c>
      <x:c r="C222" t="str">
        <x:v>2025/07/01</x:v>
      </x:c>
      <x:c r="D222" t="str">
        <x:v>1117</x:v>
      </x:c>
      <x:c r="E222" t="str">
        <x:v>COO - Retirement System</x:v>
      </x:c>
      <x:c r="F222" t="str">
        <x:v>351</x:v>
      </x:c>
      <x:c r="G222" t="str">
        <x:v>COMMN</x:v>
      </x:c>
      <x:c r="H222" t="str">
        <x:v>1117B</x:v>
      </x:c>
      <x:c r="I222" t="str">
        <x:v>$14,820</x:v>
      </x:c>
      <x:c r="J222" t="str"/>
      <x:c r="K222" t="str"/>
      <x:c r="L222" t="str">
        <x:v>$185.2500</x:v>
      </x:c>
      <x:c r="M222" t="str">
        <x:v>$194.5375</x:v>
      </x:c>
      <x:c r="N222" t="str">
        <x:v>$204.2500</x:v>
      </x:c>
      <x:c r="O222" t="str">
        <x:v>$214.4625</x:v>
      </x:c>
      <x:c r="P222" t="str">
        <x:v>$225.1875</x:v>
      </x:c>
      <x:c r="Q222" t="str"/>
      <x:c r="R222" t="str"/>
      <x:c r="S222" t="str"/>
      <x:c r="T222" t="str"/>
      <x:c r="U222" t="str"/>
      <x:c r="V222" t="str"/>
      <x:c r="W222" t="str"/>
      <x:c r="X222" t="str"/>
      <x:c r="Y222" t="str"/>
      <x:c r="Z222" t="str"/>
      <x:c r="AA222" t="str"/>
      <x:c r="AB222" t="str"/>
      <x:c r="AC222" t="str"/>
      <x:c r="AD222" t="str"/>
      <x:c r="AE222" t="str"/>
      <x:c r="AF222" t="str">
        <x:f>D222&amp;"|"&amp;UPPER(G222)&amp;"|"&amp;SUBSTITUTE(C222,"/","-")</x:f>
        <x:v>1117|COMMN|2025-07-01</x:v>
      </x:c>
    </x:row>
    <x:row r="223">
      <x:c r="A223" s="22" t="n">
        <x:v>33191</x:v>
      </x:c>
      <x:c r="B223" t="str">
        <x:v>FY25-26</x:v>
      </x:c>
      <x:c r="C223" t="str">
        <x:v>2026/01/03</x:v>
      </x:c>
      <x:c r="D223" t="str">
        <x:v>1117</x:v>
      </x:c>
      <x:c r="E223" t="str">
        <x:v>COO - Retirement System</x:v>
      </x:c>
      <x:c r="F223" t="str">
        <x:v>351</x:v>
      </x:c>
      <x:c r="G223" t="str">
        <x:v>COMMN</x:v>
      </x:c>
      <x:c r="H223" t="str">
        <x:v>1117C</x:v>
      </x:c>
      <x:c r="I223" t="str">
        <x:v>$15,042</x:v>
      </x:c>
      <x:c r="J223" t="str"/>
      <x:c r="K223" t="str"/>
      <x:c r="L223" t="str">
        <x:v>$188.0250</x:v>
      </x:c>
      <x:c r="M223" t="str">
        <x:v>$197.4500</x:v>
      </x:c>
      <x:c r="N223" t="str">
        <x:v>$207.3125</x:v>
      </x:c>
      <x:c r="O223" t="str">
        <x:v>$217.6750</x:v>
      </x:c>
      <x:c r="P223" t="str">
        <x:v>$228.5625</x:v>
      </x:c>
      <x:c r="Q223" t="str"/>
      <x:c r="R223" t="str"/>
      <x:c r="S223" t="str"/>
      <x:c r="T223" t="str"/>
      <x:c r="U223" t="str"/>
      <x:c r="V223" t="str"/>
      <x:c r="W223" t="str"/>
      <x:c r="X223" t="str"/>
      <x:c r="Y223" t="str"/>
      <x:c r="Z223" t="str"/>
      <x:c r="AA223" t="str"/>
      <x:c r="AB223" t="str"/>
      <x:c r="AC223" t="str"/>
      <x:c r="AD223" t="str"/>
      <x:c r="AE223" t="str"/>
      <x:c r="AF223" t="str">
        <x:f>D223&amp;"|"&amp;UPPER(G223)&amp;"|"&amp;SUBSTITUTE(C223,"/","-")</x:f>
        <x:v>1117|COMMN|2026-01-03</x:v>
      </x:c>
    </x:row>
    <x:row r="224">
      <x:c r="A224" s="22" t="n">
        <x:v>16015</x:v>
      </x:c>
      <x:c r="B224" t="str">
        <x:v>FY20-21</x:v>
      </x:c>
      <x:c r="C224" t="str">
        <x:v>2020/07/01</x:v>
      </x:c>
      <x:c r="D224" t="str">
        <x:v>1222</x:v>
      </x:c>
      <x:c r="E224" t="str">
        <x:v>Senior Payroll And Personnel Clerk</x:v>
      </x:c>
      <x:c r="F224" t="str">
        <x:v>790</x:v>
      </x:c>
      <x:c r="G224" t="str">
        <x:v>COMMN</x:v>
      </x:c>
      <x:c r="H224" t="str">
        <x:v>1222S</x:v>
      </x:c>
      <x:c r="I224" t="str">
        <x:v>$2,809</x:v>
      </x:c>
      <x:c r="J224" t="str"/>
      <x:c r="K224" t="str"/>
      <x:c r="L224" t="str">
        <x:v>$35.1125</x:v>
      </x:c>
      <x:c r="M224" t="str">
        <x:v>$36.8625</x:v>
      </x:c>
      <x:c r="N224" t="str">
        <x:v>$38.7125</x:v>
      </x:c>
      <x:c r="O224" t="str">
        <x:v>$40.6375</x:v>
      </x:c>
      <x:c r="P224" t="str">
        <x:v>$42.6750</x:v>
      </x:c>
      <x:c r="Q224" t="str"/>
      <x:c r="R224" t="str"/>
      <x:c r="S224" t="str"/>
      <x:c r="T224" t="str"/>
      <x:c r="U224" t="str"/>
      <x:c r="V224" t="str"/>
      <x:c r="W224" t="str"/>
      <x:c r="X224" t="str"/>
      <x:c r="Y224" t="str"/>
      <x:c r="Z224" t="str"/>
      <x:c r="AA224" t="str"/>
      <x:c r="AB224" t="str"/>
      <x:c r="AC224" t="str"/>
      <x:c r="AD224" t="str"/>
      <x:c r="AE224" t="str"/>
      <x:c r="AF224" t="str">
        <x:f>D224&amp;"|"&amp;UPPER(G224)&amp;"|"&amp;SUBSTITUTE(C224,"/","-")</x:f>
        <x:v>1222|COMMN|2020-07-01</x:v>
      </x:c>
    </x:row>
    <x:row r="225">
      <x:c r="A225" s="22" t="n">
        <x:v>26364</x:v>
      </x:c>
      <x:c r="B225" t="str">
        <x:v>FY23-24</x:v>
      </x:c>
      <x:c r="C225" t="str">
        <x:v>2024/01/06</x:v>
      </x:c>
      <x:c r="D225" t="str">
        <x:v>1222</x:v>
      </x:c>
      <x:c r="E225" t="str">
        <x:v>Senior Payroll And Personnel Clerk</x:v>
      </x:c>
      <x:c r="F225" t="str">
        <x:v>790</x:v>
      </x:c>
      <x:c r="G225" t="str">
        <x:v>COMMN</x:v>
      </x:c>
      <x:c r="H225" t="str">
        <x:v>1222Y</x:v>
      </x:c>
      <x:c r="I225" t="str">
        <x:v>$3,320</x:v>
      </x:c>
      <x:c r="J225" t="str"/>
      <x:c r="K225" t="str"/>
      <x:c r="L225" t="str">
        <x:v>$41.5000</x:v>
      </x:c>
      <x:c r="M225" t="str">
        <x:v>$43.5750</x:v>
      </x:c>
      <x:c r="N225" t="str">
        <x:v>$45.7625</x:v>
      </x:c>
      <x:c r="O225" t="str">
        <x:v>$48.0500</x:v>
      </x:c>
      <x:c r="P225" t="str">
        <x:v>$50.4375</x:v>
      </x:c>
      <x:c r="Q225" t="str"/>
      <x:c r="R225" t="str"/>
      <x:c r="S225" t="str"/>
      <x:c r="T225" t="str"/>
      <x:c r="U225" t="str"/>
      <x:c r="V225" t="str"/>
      <x:c r="W225" t="str"/>
      <x:c r="X225" t="str"/>
      <x:c r="Y225" t="str"/>
      <x:c r="Z225" t="str"/>
      <x:c r="AA225" t="str"/>
      <x:c r="AB225" t="str"/>
      <x:c r="AC225" t="str"/>
      <x:c r="AD225" t="str"/>
      <x:c r="AE225" t="str"/>
      <x:c r="AF225" t="str">
        <x:f>D225&amp;"|"&amp;UPPER(G225)&amp;"|"&amp;SUBSTITUTE(C225,"/","-")</x:f>
        <x:v>1222|COMMN|2024-01-06</x:v>
      </x:c>
    </x:row>
    <x:row r="226">
      <x:c r="A226" s="22" t="n">
        <x:v>26365</x:v>
      </x:c>
      <x:c r="B226" t="str">
        <x:v>FY23-24</x:v>
      </x:c>
      <x:c r="C226" t="str">
        <x:v>2024/01/06</x:v>
      </x:c>
      <x:c r="D226" t="str">
        <x:v>1222</x:v>
      </x:c>
      <x:c r="E226" t="str">
        <x:v>Senior Payroll And Personnel Clerk</x:v>
      </x:c>
      <x:c r="F226" t="str">
        <x:v>790</x:v>
      </x:c>
      <x:c r="G226" t="str">
        <x:v>SFMTA</x:v>
      </x:c>
      <x:c r="H226" t="str">
        <x:v>1222Y</x:v>
      </x:c>
      <x:c r="I226" t="str">
        <x:v>$3,320</x:v>
      </x:c>
      <x:c r="J226" t="str"/>
      <x:c r="K226" t="str"/>
      <x:c r="L226" t="str">
        <x:v>$41.5000</x:v>
      </x:c>
      <x:c r="M226" t="str">
        <x:v>$43.5750</x:v>
      </x:c>
      <x:c r="N226" t="str">
        <x:v>$45.7625</x:v>
      </x:c>
      <x:c r="O226" t="str">
        <x:v>$48.0500</x:v>
      </x:c>
      <x:c r="P226" t="str">
        <x:v>$50.4375</x:v>
      </x:c>
      <x:c r="Q226" t="str"/>
      <x:c r="R226" t="str"/>
      <x:c r="S226" t="str"/>
      <x:c r="T226" t="str"/>
      <x:c r="U226" t="str"/>
      <x:c r="V226" t="str"/>
      <x:c r="W226" t="str"/>
      <x:c r="X226" t="str"/>
      <x:c r="Y226" t="str"/>
      <x:c r="Z226" t="str"/>
      <x:c r="AA226" t="str"/>
      <x:c r="AB226" t="str"/>
      <x:c r="AC226" t="str"/>
      <x:c r="AD226" t="str"/>
      <x:c r="AE226" t="str"/>
      <x:c r="AF226" t="str">
        <x:f>D226&amp;"|"&amp;UPPER(G226)&amp;"|"&amp;SUBSTITUTE(C226,"/","-")</x:f>
        <x:v>1222|SFMTA|2024-01-06</x:v>
      </x:c>
    </x:row>
    <x:row r="227">
      <x:c r="A227" s="22" t="n">
        <x:v>28102</x:v>
      </x:c>
      <x:c r="B227" t="str">
        <x:v>FY24-25</x:v>
      </x:c>
      <x:c r="C227" t="str">
        <x:v>2024/07/01</x:v>
      </x:c>
      <x:c r="D227" t="str">
        <x:v>1222</x:v>
      </x:c>
      <x:c r="E227" t="str">
        <x:v>Senior Payroll And Personnel Clerk</x:v>
      </x:c>
      <x:c r="F227" t="str">
        <x:v>790</x:v>
      </x:c>
      <x:c r="G227" t="str">
        <x:v>COMMN</x:v>
      </x:c>
      <x:c r="H227" t="str">
        <x:v>1222Z</x:v>
      </x:c>
      <x:c r="I227" t="str">
        <x:v>$3,370</x:v>
      </x:c>
      <x:c r="J227" t="str"/>
      <x:c r="K227" t="str"/>
      <x:c r="L227" t="str">
        <x:v>$42.1250</x:v>
      </x:c>
      <x:c r="M227" t="str">
        <x:v>$44.2250</x:v>
      </x:c>
      <x:c r="N227" t="str">
        <x:v>$46.4500</x:v>
      </x:c>
      <x:c r="O227" t="str">
        <x:v>$48.7750</x:v>
      </x:c>
      <x:c r="P227" t="str">
        <x:v>$51.2000</x:v>
      </x:c>
      <x:c r="Q227" t="str"/>
      <x:c r="R227" t="str"/>
      <x:c r="S227" t="str"/>
      <x:c r="T227" t="str"/>
      <x:c r="U227" t="str"/>
      <x:c r="V227" t="str"/>
      <x:c r="W227" t="str"/>
      <x:c r="X227" t="str"/>
      <x:c r="Y227" t="str"/>
      <x:c r="Z227" t="str"/>
      <x:c r="AA227" t="str"/>
      <x:c r="AB227" t="str"/>
      <x:c r="AC227" t="str"/>
      <x:c r="AD227" t="str"/>
      <x:c r="AE227" t="str"/>
      <x:c r="AF227" t="str">
        <x:f>D227&amp;"|"&amp;UPPER(G227)&amp;"|"&amp;SUBSTITUTE(C227,"/","-")</x:f>
        <x:v>1222|COMMN|2024-07-01</x:v>
      </x:c>
    </x:row>
    <x:row r="228">
      <x:c r="A228" s="22" t="n">
        <x:v>28103</x:v>
      </x:c>
      <x:c r="B228" t="str">
        <x:v>FY24-25</x:v>
      </x:c>
      <x:c r="C228" t="str">
        <x:v>2024/07/01</x:v>
      </x:c>
      <x:c r="D228" t="str">
        <x:v>1222</x:v>
      </x:c>
      <x:c r="E228" t="str">
        <x:v>Senior Payroll And Personnel Clerk</x:v>
      </x:c>
      <x:c r="F228" t="str">
        <x:v>790</x:v>
      </x:c>
      <x:c r="G228" t="str">
        <x:v>SFMTA</x:v>
      </x:c>
      <x:c r="H228" t="str">
        <x:v>1222Z</x:v>
      </x:c>
      <x:c r="I228" t="str">
        <x:v>$3,370</x:v>
      </x:c>
      <x:c r="J228" t="str"/>
      <x:c r="K228" t="str"/>
      <x:c r="L228" t="str">
        <x:v>$42.1250</x:v>
      </x:c>
      <x:c r="M228" t="str">
        <x:v>$44.2250</x:v>
      </x:c>
      <x:c r="N228" t="str">
        <x:v>$46.4500</x:v>
      </x:c>
      <x:c r="O228" t="str">
        <x:v>$48.7750</x:v>
      </x:c>
      <x:c r="P228" t="str">
        <x:v>$51.2000</x:v>
      </x:c>
      <x:c r="Q228" t="str"/>
      <x:c r="R228" t="str"/>
      <x:c r="S228" t="str"/>
      <x:c r="T228" t="str"/>
      <x:c r="U228" t="str"/>
      <x:c r="V228" t="str"/>
      <x:c r="W228" t="str"/>
      <x:c r="X228" t="str"/>
      <x:c r="Y228" t="str"/>
      <x:c r="Z228" t="str"/>
      <x:c r="AA228" t="str"/>
      <x:c r="AB228" t="str"/>
      <x:c r="AC228" t="str"/>
      <x:c r="AD228" t="str"/>
      <x:c r="AE228" t="str"/>
      <x:c r="AF228" t="str">
        <x:f>D228&amp;"|"&amp;UPPER(G228)&amp;"|"&amp;SUBSTITUTE(C228,"/","-")</x:f>
        <x:v>1222|SFMTA|2024-07-01</x:v>
      </x:c>
    </x:row>
    <x:row r="229">
      <x:c r="A229" s="22" t="n">
        <x:v>29808</x:v>
      </x:c>
      <x:c r="B229" t="str">
        <x:v>FY24-25</x:v>
      </x:c>
      <x:c r="C229" t="str">
        <x:v>2025/01/04</x:v>
      </x:c>
      <x:c r="D229" t="str">
        <x:v>1222</x:v>
      </x:c>
      <x:c r="E229" t="str">
        <x:v>Senior Payroll And Personnel Clerk</x:v>
      </x:c>
      <x:c r="F229" t="str">
        <x:v>790</x:v>
      </x:c>
      <x:c r="G229" t="str">
        <x:v>COMMN</x:v>
      </x:c>
      <x:c r="H229" t="str">
        <x:v>1222A</x:v>
      </x:c>
      <x:c r="I229" t="str">
        <x:v>$3,421</x:v>
      </x:c>
      <x:c r="J229" t="str"/>
      <x:c r="K229" t="str"/>
      <x:c r="L229" t="str">
        <x:v>$42.7625</x:v>
      </x:c>
      <x:c r="M229" t="str">
        <x:v>$44.8875</x:v>
      </x:c>
      <x:c r="N229" t="str">
        <x:v>$47.1500</x:v>
      </x:c>
      <x:c r="O229" t="str">
        <x:v>$49.5125</x:v>
      </x:c>
      <x:c r="P229" t="str">
        <x:v>$51.9625</x:v>
      </x:c>
      <x:c r="Q229" t="str"/>
      <x:c r="R229" t="str"/>
      <x:c r="S229" t="str"/>
      <x:c r="T229" t="str"/>
      <x:c r="U229" t="str"/>
      <x:c r="V229" t="str"/>
      <x:c r="W229" t="str"/>
      <x:c r="X229" t="str"/>
      <x:c r="Y229" t="str"/>
      <x:c r="Z229" t="str"/>
      <x:c r="AA229" t="str"/>
      <x:c r="AB229" t="str"/>
      <x:c r="AC229" t="str"/>
      <x:c r="AD229" t="str"/>
      <x:c r="AE229" t="str"/>
      <x:c r="AF229" t="str">
        <x:f>D229&amp;"|"&amp;UPPER(G229)&amp;"|"&amp;SUBSTITUTE(C229,"/","-")</x:f>
        <x:v>1222|COMMN|2025-01-04</x:v>
      </x:c>
    </x:row>
    <x:row r="230">
      <x:c r="A230" s="22" t="n">
        <x:v>29809</x:v>
      </x:c>
      <x:c r="B230" t="str">
        <x:v>FY24-25</x:v>
      </x:c>
      <x:c r="C230" t="str">
        <x:v>2025/01/04</x:v>
      </x:c>
      <x:c r="D230" t="str">
        <x:v>1222</x:v>
      </x:c>
      <x:c r="E230" t="str">
        <x:v>Senior Payroll And Personnel Clerk</x:v>
      </x:c>
      <x:c r="F230" t="str">
        <x:v>790</x:v>
      </x:c>
      <x:c r="G230" t="str">
        <x:v>SFMTA</x:v>
      </x:c>
      <x:c r="H230" t="str">
        <x:v>1222A</x:v>
      </x:c>
      <x:c r="I230" t="str">
        <x:v>$3,421</x:v>
      </x:c>
      <x:c r="J230" t="str"/>
      <x:c r="K230" t="str"/>
      <x:c r="L230" t="str">
        <x:v>$42.7625</x:v>
      </x:c>
      <x:c r="M230" t="str">
        <x:v>$44.8875</x:v>
      </x:c>
      <x:c r="N230" t="str">
        <x:v>$47.1500</x:v>
      </x:c>
      <x:c r="O230" t="str">
        <x:v>$49.5125</x:v>
      </x:c>
      <x:c r="P230" t="str">
        <x:v>$51.9625</x:v>
      </x:c>
      <x:c r="Q230" t="str"/>
      <x:c r="R230" t="str"/>
      <x:c r="S230" t="str"/>
      <x:c r="T230" t="str"/>
      <x:c r="U230" t="str"/>
      <x:c r="V230" t="str"/>
      <x:c r="W230" t="str"/>
      <x:c r="X230" t="str"/>
      <x:c r="Y230" t="str"/>
      <x:c r="Z230" t="str"/>
      <x:c r="AA230" t="str"/>
      <x:c r="AB230" t="str"/>
      <x:c r="AC230" t="str"/>
      <x:c r="AD230" t="str"/>
      <x:c r="AE230" t="str"/>
      <x:c r="AF230" t="str">
        <x:f>D230&amp;"|"&amp;UPPER(G230)&amp;"|"&amp;SUBSTITUTE(C230,"/","-")</x:f>
        <x:v>1222|SFMTA|2025-01-04</x:v>
      </x:c>
    </x:row>
    <x:row r="231">
      <x:c r="A231" s="22" t="n">
        <x:v>31521</x:v>
      </x:c>
      <x:c r="B231" t="str">
        <x:v>FY25-26</x:v>
      </x:c>
      <x:c r="C231" t="str">
        <x:v>2025/07/01</x:v>
      </x:c>
      <x:c r="D231" t="str">
        <x:v>1222</x:v>
      </x:c>
      <x:c r="E231" t="str">
        <x:v>Sr Payroll &amp; Personnel Clerk</x:v>
      </x:c>
      <x:c r="F231" t="str">
        <x:v>790</x:v>
      </x:c>
      <x:c r="G231" t="str">
        <x:v>COMMN</x:v>
      </x:c>
      <x:c r="H231" t="str">
        <x:v>1222B</x:v>
      </x:c>
      <x:c r="I231" t="str">
        <x:v>$3,490</x:v>
      </x:c>
      <x:c r="J231" t="str"/>
      <x:c r="K231" t="str"/>
      <x:c r="L231" t="str">
        <x:v>$43.6250</x:v>
      </x:c>
      <x:c r="M231" t="str">
        <x:v>$45.7875</x:v>
      </x:c>
      <x:c r="N231" t="str">
        <x:v>$48.1000</x:v>
      </x:c>
      <x:c r="O231" t="str">
        <x:v>$50.5125</x:v>
      </x:c>
      <x:c r="P231" t="str">
        <x:v>$53.0125</x:v>
      </x:c>
      <x:c r="Q231" t="str"/>
      <x:c r="R231" t="str"/>
      <x:c r="S231" t="str"/>
      <x:c r="T231" t="str"/>
      <x:c r="U231" t="str"/>
      <x:c r="V231" t="str"/>
      <x:c r="W231" t="str"/>
      <x:c r="X231" t="str"/>
      <x:c r="Y231" t="str"/>
      <x:c r="Z231" t="str"/>
      <x:c r="AA231" t="str"/>
      <x:c r="AB231" t="str"/>
      <x:c r="AC231" t="str"/>
      <x:c r="AD231" t="str"/>
      <x:c r="AE231" t="str"/>
      <x:c r="AF231" t="str">
        <x:f>D231&amp;"|"&amp;UPPER(G231)&amp;"|"&amp;SUBSTITUTE(C231,"/","-")</x:f>
        <x:v>1222|COMMN|2025-07-01</x:v>
      </x:c>
    </x:row>
    <x:row r="232">
      <x:c r="A232" s="22" t="n">
        <x:v>31522</x:v>
      </x:c>
      <x:c r="B232" t="str">
        <x:v>FY25-26</x:v>
      </x:c>
      <x:c r="C232" t="str">
        <x:v>2025/07/01</x:v>
      </x:c>
      <x:c r="D232" t="str">
        <x:v>1222</x:v>
      </x:c>
      <x:c r="E232" t="str">
        <x:v>Sr Payroll &amp; Personnel Clerk</x:v>
      </x:c>
      <x:c r="F232" t="str">
        <x:v>790</x:v>
      </x:c>
      <x:c r="G232" t="str">
        <x:v>SFMTA</x:v>
      </x:c>
      <x:c r="H232" t="str">
        <x:v>1222B</x:v>
      </x:c>
      <x:c r="I232" t="str">
        <x:v>$3,490</x:v>
      </x:c>
      <x:c r="J232" t="str"/>
      <x:c r="K232" t="str"/>
      <x:c r="L232" t="str">
        <x:v>$43.6250</x:v>
      </x:c>
      <x:c r="M232" t="str">
        <x:v>$45.7875</x:v>
      </x:c>
      <x:c r="N232" t="str">
        <x:v>$48.1000</x:v>
      </x:c>
      <x:c r="O232" t="str">
        <x:v>$50.5125</x:v>
      </x:c>
      <x:c r="P232" t="str">
        <x:v>$53.0125</x:v>
      </x:c>
      <x:c r="Q232" t="str"/>
      <x:c r="R232" t="str"/>
      <x:c r="S232" t="str"/>
      <x:c r="T232" t="str"/>
      <x:c r="U232" t="str"/>
      <x:c r="V232" t="str"/>
      <x:c r="W232" t="str"/>
      <x:c r="X232" t="str"/>
      <x:c r="Y232" t="str"/>
      <x:c r="Z232" t="str"/>
      <x:c r="AA232" t="str"/>
      <x:c r="AB232" t="str"/>
      <x:c r="AC232" t="str"/>
      <x:c r="AD232" t="str"/>
      <x:c r="AE232" t="str"/>
      <x:c r="AF232" t="str">
        <x:f>D232&amp;"|"&amp;UPPER(G232)&amp;"|"&amp;SUBSTITUTE(C232,"/","-")</x:f>
        <x:v>1222|SFMTA|2025-07-01</x:v>
      </x:c>
    </x:row>
    <x:row r="233">
      <x:c r="A233" s="22" t="n">
        <x:v>33206</x:v>
      </x:c>
      <x:c r="B233" t="str">
        <x:v>FY25-26</x:v>
      </x:c>
      <x:c r="C233" t="str">
        <x:v>2026/01/03</x:v>
      </x:c>
      <x:c r="D233" t="str">
        <x:v>1222</x:v>
      </x:c>
      <x:c r="E233" t="str">
        <x:v>Sr Payroll &amp; Personnel Clerk</x:v>
      </x:c>
      <x:c r="F233" t="str">
        <x:v>790</x:v>
      </x:c>
      <x:c r="G233" t="str">
        <x:v>COMMN</x:v>
      </x:c>
      <x:c r="H233" t="str">
        <x:v>1222C</x:v>
      </x:c>
      <x:c r="I233" t="str">
        <x:v>$3,542</x:v>
      </x:c>
      <x:c r="J233" t="str"/>
      <x:c r="K233" t="str"/>
      <x:c r="L233" t="str">
        <x:v>$44.2750</x:v>
      </x:c>
      <x:c r="M233" t="str">
        <x:v>$46.4750</x:v>
      </x:c>
      <x:c r="N233" t="str">
        <x:v>$48.8250</x:v>
      </x:c>
      <x:c r="O233" t="str">
        <x:v>$51.2750</x:v>
      </x:c>
      <x:c r="P233" t="str">
        <x:v>$53.8125</x:v>
      </x:c>
      <x:c r="Q233" t="str"/>
      <x:c r="R233" t="str"/>
      <x:c r="S233" t="str"/>
      <x:c r="T233" t="str"/>
      <x:c r="U233" t="str"/>
      <x:c r="V233" t="str"/>
      <x:c r="W233" t="str"/>
      <x:c r="X233" t="str"/>
      <x:c r="Y233" t="str"/>
      <x:c r="Z233" t="str"/>
      <x:c r="AA233" t="str"/>
      <x:c r="AB233" t="str"/>
      <x:c r="AC233" t="str"/>
      <x:c r="AD233" t="str"/>
      <x:c r="AE233" t="str"/>
      <x:c r="AF233" t="str">
        <x:f>D233&amp;"|"&amp;UPPER(G233)&amp;"|"&amp;SUBSTITUTE(C233,"/","-")</x:f>
        <x:v>1222|COMMN|2026-01-03</x:v>
      </x:c>
    </x:row>
    <x:row r="234">
      <x:c r="A234" s="22" t="n">
        <x:v>33207</x:v>
      </x:c>
      <x:c r="B234" t="str">
        <x:v>FY25-26</x:v>
      </x:c>
      <x:c r="C234" t="str">
        <x:v>2026/01/03</x:v>
      </x:c>
      <x:c r="D234" t="str">
        <x:v>1222</x:v>
      </x:c>
      <x:c r="E234" t="str">
        <x:v>Sr Payroll &amp; Personnel Clerk</x:v>
      </x:c>
      <x:c r="F234" t="str">
        <x:v>790</x:v>
      </x:c>
      <x:c r="G234" t="str">
        <x:v>SFMTA</x:v>
      </x:c>
      <x:c r="H234" t="str">
        <x:v>1222C</x:v>
      </x:c>
      <x:c r="I234" t="str">
        <x:v>$3,542</x:v>
      </x:c>
      <x:c r="J234" t="str"/>
      <x:c r="K234" t="str"/>
      <x:c r="L234" t="str">
        <x:v>$44.2750</x:v>
      </x:c>
      <x:c r="M234" t="str">
        <x:v>$46.4750</x:v>
      </x:c>
      <x:c r="N234" t="str">
        <x:v>$48.8250</x:v>
      </x:c>
      <x:c r="O234" t="str">
        <x:v>$51.2750</x:v>
      </x:c>
      <x:c r="P234" t="str">
        <x:v>$53.8125</x:v>
      </x:c>
      <x:c r="Q234" t="str"/>
      <x:c r="R234" t="str"/>
      <x:c r="S234" t="str"/>
      <x:c r="T234" t="str"/>
      <x:c r="U234" t="str"/>
      <x:c r="V234" t="str"/>
      <x:c r="W234" t="str"/>
      <x:c r="X234" t="str"/>
      <x:c r="Y234" t="str"/>
      <x:c r="Z234" t="str"/>
      <x:c r="AA234" t="str"/>
      <x:c r="AB234" t="str"/>
      <x:c r="AC234" t="str"/>
      <x:c r="AD234" t="str"/>
      <x:c r="AE234" t="str"/>
      <x:c r="AF234" t="str">
        <x:f>D234&amp;"|"&amp;UPPER(G234)&amp;"|"&amp;SUBSTITUTE(C234,"/","-")</x:f>
        <x:v>1222|SFMTA|2026-01-03</x:v>
      </x:c>
    </x:row>
    <x:row r="235">
      <x:c r="A235" s="22" t="n">
        <x:v>16017</x:v>
      </x:c>
      <x:c r="B235" t="str">
        <x:v>FY20-21</x:v>
      </x:c>
      <x:c r="C235" t="str">
        <x:v>2020/07/01</x:v>
      </x:c>
      <x:c r="D235" t="str">
        <x:v>1224</x:v>
      </x:c>
      <x:c r="E235" t="str">
        <x:v>Principal Payroll And Personnel Clerk</x:v>
      </x:c>
      <x:c r="F235" t="str">
        <x:v>790</x:v>
      </x:c>
      <x:c r="G235" t="str">
        <x:v>COMMN</x:v>
      </x:c>
      <x:c r="H235" t="str">
        <x:v>1224S</x:v>
      </x:c>
      <x:c r="I235" t="str">
        <x:v>$3,097</x:v>
      </x:c>
      <x:c r="J235" t="str"/>
      <x:c r="K235" t="str"/>
      <x:c r="L235" t="str">
        <x:v>$38.7125</x:v>
      </x:c>
      <x:c r="M235" t="str">
        <x:v>$40.6375</x:v>
      </x:c>
      <x:c r="N235" t="str">
        <x:v>$42.6750</x:v>
      </x:c>
      <x:c r="O235" t="str">
        <x:v>$44.7875</x:v>
      </x:c>
      <x:c r="P235" t="str">
        <x:v>$47.0375</x:v>
      </x:c>
      <x:c r="Q235" t="str"/>
      <x:c r="R235" t="str"/>
      <x:c r="S235" t="str"/>
      <x:c r="T235" t="str"/>
      <x:c r="U235" t="str"/>
      <x:c r="V235" t="str"/>
      <x:c r="W235" t="str"/>
      <x:c r="X235" t="str"/>
      <x:c r="Y235" t="str"/>
      <x:c r="Z235" t="str"/>
      <x:c r="AA235" t="str"/>
      <x:c r="AB235" t="str"/>
      <x:c r="AC235" t="str"/>
      <x:c r="AD235" t="str"/>
      <x:c r="AE235" t="str"/>
      <x:c r="AF235" t="str">
        <x:f>D235&amp;"|"&amp;UPPER(G235)&amp;"|"&amp;SUBSTITUTE(C235,"/","-")</x:f>
        <x:v>1224|COMMN|2020-07-01</x:v>
      </x:c>
    </x:row>
    <x:row r="236">
      <x:c r="A236" s="22" t="n">
        <x:v>26366</x:v>
      </x:c>
      <x:c r="B236" t="str">
        <x:v>FY23-24</x:v>
      </x:c>
      <x:c r="C236" t="str">
        <x:v>2024/01/06</x:v>
      </x:c>
      <x:c r="D236" t="str">
        <x:v>1224</x:v>
      </x:c>
      <x:c r="E236" t="str">
        <x:v>Principal Payroll And Personnel Clerk</x:v>
      </x:c>
      <x:c r="F236" t="str">
        <x:v>790</x:v>
      </x:c>
      <x:c r="G236" t="str">
        <x:v>COMMN</x:v>
      </x:c>
      <x:c r="H236" t="str">
        <x:v>1224Y</x:v>
      </x:c>
      <x:c r="I236" t="str">
        <x:v>$3,661</x:v>
      </x:c>
      <x:c r="J236" t="str"/>
      <x:c r="K236" t="str"/>
      <x:c r="L236" t="str">
        <x:v>$45.7625</x:v>
      </x:c>
      <x:c r="M236" t="str">
        <x:v>$48.0500</x:v>
      </x:c>
      <x:c r="N236" t="str">
        <x:v>$50.4375</x:v>
      </x:c>
      <x:c r="O236" t="str">
        <x:v>$52.9375</x:v>
      </x:c>
      <x:c r="P236" t="str">
        <x:v>$55.6000</x:v>
      </x:c>
      <x:c r="Q236" t="str"/>
      <x:c r="R236" t="str"/>
      <x:c r="S236" t="str"/>
      <x:c r="T236" t="str"/>
      <x:c r="U236" t="str"/>
      <x:c r="V236" t="str"/>
      <x:c r="W236" t="str"/>
      <x:c r="X236" t="str"/>
      <x:c r="Y236" t="str"/>
      <x:c r="Z236" t="str"/>
      <x:c r="AA236" t="str"/>
      <x:c r="AB236" t="str"/>
      <x:c r="AC236" t="str"/>
      <x:c r="AD236" t="str"/>
      <x:c r="AE236" t="str"/>
      <x:c r="AF236" t="str">
        <x:f>D236&amp;"|"&amp;UPPER(G236)&amp;"|"&amp;SUBSTITUTE(C236,"/","-")</x:f>
        <x:v>1224|COMMN|2024-01-06</x:v>
      </x:c>
    </x:row>
    <x:row r="237">
      <x:c r="A237" s="22" t="n">
        <x:v>26367</x:v>
      </x:c>
      <x:c r="B237" t="str">
        <x:v>FY23-24</x:v>
      </x:c>
      <x:c r="C237" t="str">
        <x:v>2024/01/06</x:v>
      </x:c>
      <x:c r="D237" t="str">
        <x:v>1224</x:v>
      </x:c>
      <x:c r="E237" t="str">
        <x:v>Principal Payroll And Personnel Clerk</x:v>
      </x:c>
      <x:c r="F237" t="str">
        <x:v>790</x:v>
      </x:c>
      <x:c r="G237" t="str">
        <x:v>SFMTA</x:v>
      </x:c>
      <x:c r="H237" t="str">
        <x:v>1224Y</x:v>
      </x:c>
      <x:c r="I237" t="str">
        <x:v>$3,661</x:v>
      </x:c>
      <x:c r="J237" t="str"/>
      <x:c r="K237" t="str"/>
      <x:c r="L237" t="str">
        <x:v>$45.7625</x:v>
      </x:c>
      <x:c r="M237" t="str">
        <x:v>$48.0500</x:v>
      </x:c>
      <x:c r="N237" t="str">
        <x:v>$50.4375</x:v>
      </x:c>
      <x:c r="O237" t="str">
        <x:v>$52.9375</x:v>
      </x:c>
      <x:c r="P237" t="str">
        <x:v>$55.6000</x:v>
      </x:c>
      <x:c r="Q237" t="str"/>
      <x:c r="R237" t="str"/>
      <x:c r="S237" t="str"/>
      <x:c r="T237" t="str"/>
      <x:c r="U237" t="str"/>
      <x:c r="V237" t="str"/>
      <x:c r="W237" t="str"/>
      <x:c r="X237" t="str"/>
      <x:c r="Y237" t="str"/>
      <x:c r="Z237" t="str"/>
      <x:c r="AA237" t="str"/>
      <x:c r="AB237" t="str"/>
      <x:c r="AC237" t="str"/>
      <x:c r="AD237" t="str"/>
      <x:c r="AE237" t="str"/>
      <x:c r="AF237" t="str">
        <x:f>D237&amp;"|"&amp;UPPER(G237)&amp;"|"&amp;SUBSTITUTE(C237,"/","-")</x:f>
        <x:v>1224|SFMTA|2024-01-06</x:v>
      </x:c>
    </x:row>
    <x:row r="238">
      <x:c r="A238" s="22" t="n">
        <x:v>28104</x:v>
      </x:c>
      <x:c r="B238" t="str">
        <x:v>FY24-25</x:v>
      </x:c>
      <x:c r="C238" t="str">
        <x:v>2024/07/01</x:v>
      </x:c>
      <x:c r="D238" t="str">
        <x:v>1224</x:v>
      </x:c>
      <x:c r="E238" t="str">
        <x:v>Principal Payroll And Personnel Clerk</x:v>
      </x:c>
      <x:c r="F238" t="str">
        <x:v>790</x:v>
      </x:c>
      <x:c r="G238" t="str">
        <x:v>COMMN</x:v>
      </x:c>
      <x:c r="H238" t="str">
        <x:v>1224Z</x:v>
      </x:c>
      <x:c r="I238" t="str">
        <x:v>$3,716</x:v>
      </x:c>
      <x:c r="J238" t="str"/>
      <x:c r="K238" t="str"/>
      <x:c r="L238" t="str">
        <x:v>$46.4500</x:v>
      </x:c>
      <x:c r="M238" t="str">
        <x:v>$48.7750</x:v>
      </x:c>
      <x:c r="N238" t="str">
        <x:v>$51.2000</x:v>
      </x:c>
      <x:c r="O238" t="str">
        <x:v>$53.7375</x:v>
      </x:c>
      <x:c r="P238" t="str">
        <x:v>$56.4375</x:v>
      </x:c>
      <x:c r="Q238" t="str"/>
      <x:c r="R238" t="str"/>
      <x:c r="S238" t="str"/>
      <x:c r="T238" t="str"/>
      <x:c r="U238" t="str"/>
      <x:c r="V238" t="str"/>
      <x:c r="W238" t="str"/>
      <x:c r="X238" t="str"/>
      <x:c r="Y238" t="str"/>
      <x:c r="Z238" t="str"/>
      <x:c r="AA238" t="str"/>
      <x:c r="AB238" t="str"/>
      <x:c r="AC238" t="str"/>
      <x:c r="AD238" t="str"/>
      <x:c r="AE238" t="str"/>
      <x:c r="AF238" t="str">
        <x:f>D238&amp;"|"&amp;UPPER(G238)&amp;"|"&amp;SUBSTITUTE(C238,"/","-")</x:f>
        <x:v>1224|COMMN|2024-07-01</x:v>
      </x:c>
    </x:row>
    <x:row r="239">
      <x:c r="A239" s="22" t="n">
        <x:v>28105</x:v>
      </x:c>
      <x:c r="B239" t="str">
        <x:v>FY24-25</x:v>
      </x:c>
      <x:c r="C239" t="str">
        <x:v>2024/07/01</x:v>
      </x:c>
      <x:c r="D239" t="str">
        <x:v>1224</x:v>
      </x:c>
      <x:c r="E239" t="str">
        <x:v>Principal Payroll And Personnel Clerk</x:v>
      </x:c>
      <x:c r="F239" t="str">
        <x:v>790</x:v>
      </x:c>
      <x:c r="G239" t="str">
        <x:v>SFMTA</x:v>
      </x:c>
      <x:c r="H239" t="str">
        <x:v>1224Z</x:v>
      </x:c>
      <x:c r="I239" t="str">
        <x:v>$3,716</x:v>
      </x:c>
      <x:c r="J239" t="str"/>
      <x:c r="K239" t="str"/>
      <x:c r="L239" t="str">
        <x:v>$46.4500</x:v>
      </x:c>
      <x:c r="M239" t="str">
        <x:v>$48.7750</x:v>
      </x:c>
      <x:c r="N239" t="str">
        <x:v>$51.2000</x:v>
      </x:c>
      <x:c r="O239" t="str">
        <x:v>$53.7375</x:v>
      </x:c>
      <x:c r="P239" t="str">
        <x:v>$56.4375</x:v>
      </x:c>
      <x:c r="Q239" t="str"/>
      <x:c r="R239" t="str"/>
      <x:c r="S239" t="str"/>
      <x:c r="T239" t="str"/>
      <x:c r="U239" t="str"/>
      <x:c r="V239" t="str"/>
      <x:c r="W239" t="str"/>
      <x:c r="X239" t="str"/>
      <x:c r="Y239" t="str"/>
      <x:c r="Z239" t="str"/>
      <x:c r="AA239" t="str"/>
      <x:c r="AB239" t="str"/>
      <x:c r="AC239" t="str"/>
      <x:c r="AD239" t="str"/>
      <x:c r="AE239" t="str"/>
      <x:c r="AF239" t="str">
        <x:f>D239&amp;"|"&amp;UPPER(G239)&amp;"|"&amp;SUBSTITUTE(C239,"/","-")</x:f>
        <x:v>1224|SFMTA|2024-07-01</x:v>
      </x:c>
    </x:row>
    <x:row r="240">
      <x:c r="A240" s="22" t="n">
        <x:v>29810</x:v>
      </x:c>
      <x:c r="B240" t="str">
        <x:v>FY24-25</x:v>
      </x:c>
      <x:c r="C240" t="str">
        <x:v>2025/01/04</x:v>
      </x:c>
      <x:c r="D240" t="str">
        <x:v>1224</x:v>
      </x:c>
      <x:c r="E240" t="str">
        <x:v>Principal Payroll And Personnel Clerk</x:v>
      </x:c>
      <x:c r="F240" t="str">
        <x:v>790</x:v>
      </x:c>
      <x:c r="G240" t="str">
        <x:v>COMMN</x:v>
      </x:c>
      <x:c r="H240" t="str">
        <x:v>1224A</x:v>
      </x:c>
      <x:c r="I240" t="str">
        <x:v>$3,772</x:v>
      </x:c>
      <x:c r="J240" t="str"/>
      <x:c r="K240" t="str"/>
      <x:c r="L240" t="str">
        <x:v>$47.1500</x:v>
      </x:c>
      <x:c r="M240" t="str">
        <x:v>$49.5125</x:v>
      </x:c>
      <x:c r="N240" t="str">
        <x:v>$51.9625</x:v>
      </x:c>
      <x:c r="O240" t="str">
        <x:v>$54.5375</x:v>
      </x:c>
      <x:c r="P240" t="str">
        <x:v>$57.2875</x:v>
      </x:c>
      <x:c r="Q240" t="str"/>
      <x:c r="R240" t="str"/>
      <x:c r="S240" t="str"/>
      <x:c r="T240" t="str"/>
      <x:c r="U240" t="str"/>
      <x:c r="V240" t="str"/>
      <x:c r="W240" t="str"/>
      <x:c r="X240" t="str"/>
      <x:c r="Y240" t="str"/>
      <x:c r="Z240" t="str"/>
      <x:c r="AA240" t="str"/>
      <x:c r="AB240" t="str"/>
      <x:c r="AC240" t="str"/>
      <x:c r="AD240" t="str"/>
      <x:c r="AE240" t="str"/>
      <x:c r="AF240" t="str">
        <x:f>D240&amp;"|"&amp;UPPER(G240)&amp;"|"&amp;SUBSTITUTE(C240,"/","-")</x:f>
        <x:v>1224|COMMN|2025-01-04</x:v>
      </x:c>
    </x:row>
    <x:row r="241">
      <x:c r="A241" s="22" t="n">
        <x:v>29811</x:v>
      </x:c>
      <x:c r="B241" t="str">
        <x:v>FY24-25</x:v>
      </x:c>
      <x:c r="C241" t="str">
        <x:v>2025/01/04</x:v>
      </x:c>
      <x:c r="D241" t="str">
        <x:v>1224</x:v>
      </x:c>
      <x:c r="E241" t="str">
        <x:v>Principal Payroll And Personnel Clerk</x:v>
      </x:c>
      <x:c r="F241" t="str">
        <x:v>790</x:v>
      </x:c>
      <x:c r="G241" t="str">
        <x:v>SFMTA</x:v>
      </x:c>
      <x:c r="H241" t="str">
        <x:v>1224A</x:v>
      </x:c>
      <x:c r="I241" t="str">
        <x:v>$3,772</x:v>
      </x:c>
      <x:c r="J241" t="str"/>
      <x:c r="K241" t="str"/>
      <x:c r="L241" t="str">
        <x:v>$47.1500</x:v>
      </x:c>
      <x:c r="M241" t="str">
        <x:v>$49.5125</x:v>
      </x:c>
      <x:c r="N241" t="str">
        <x:v>$51.9625</x:v>
      </x:c>
      <x:c r="O241" t="str">
        <x:v>$54.5375</x:v>
      </x:c>
      <x:c r="P241" t="str">
        <x:v>$57.2875</x:v>
      </x:c>
      <x:c r="Q241" t="str"/>
      <x:c r="R241" t="str"/>
      <x:c r="S241" t="str"/>
      <x:c r="T241" t="str"/>
      <x:c r="U241" t="str"/>
      <x:c r="V241" t="str"/>
      <x:c r="W241" t="str"/>
      <x:c r="X241" t="str"/>
      <x:c r="Y241" t="str"/>
      <x:c r="Z241" t="str"/>
      <x:c r="AA241" t="str"/>
      <x:c r="AB241" t="str"/>
      <x:c r="AC241" t="str"/>
      <x:c r="AD241" t="str"/>
      <x:c r="AE241" t="str"/>
      <x:c r="AF241" t="str">
        <x:f>D241&amp;"|"&amp;UPPER(G241)&amp;"|"&amp;SUBSTITUTE(C241,"/","-")</x:f>
        <x:v>1224|SFMTA|2025-01-04</x:v>
      </x:c>
    </x:row>
    <x:row r="242">
      <x:c r="A242" s="22" t="n">
        <x:v>31523</x:v>
      </x:c>
      <x:c r="B242" t="str">
        <x:v>FY25-26</x:v>
      </x:c>
      <x:c r="C242" t="str">
        <x:v>2025/07/01</x:v>
      </x:c>
      <x:c r="D242" t="str">
        <x:v>1224</x:v>
      </x:c>
      <x:c r="E242" t="str">
        <x:v>Pr Payroll &amp; Personnel Clerk</x:v>
      </x:c>
      <x:c r="F242" t="str">
        <x:v>790</x:v>
      </x:c>
      <x:c r="G242" t="str">
        <x:v>COMMN</x:v>
      </x:c>
      <x:c r="H242" t="str">
        <x:v>1224B</x:v>
      </x:c>
      <x:c r="I242" t="str">
        <x:v>$3,848</x:v>
      </x:c>
      <x:c r="J242" t="str"/>
      <x:c r="K242" t="str"/>
      <x:c r="L242" t="str">
        <x:v>$48.1000</x:v>
      </x:c>
      <x:c r="M242" t="str">
        <x:v>$50.5125</x:v>
      </x:c>
      <x:c r="N242" t="str">
        <x:v>$53.0125</x:v>
      </x:c>
      <x:c r="O242" t="str">
        <x:v>$55.6375</x:v>
      </x:c>
      <x:c r="P242" t="str">
        <x:v>$58.4375</x:v>
      </x:c>
      <x:c r="Q242" t="str"/>
      <x:c r="R242" t="str"/>
      <x:c r="S242" t="str"/>
      <x:c r="T242" t="str"/>
      <x:c r="U242" t="str"/>
      <x:c r="V242" t="str"/>
      <x:c r="W242" t="str"/>
      <x:c r="X242" t="str"/>
      <x:c r="Y242" t="str"/>
      <x:c r="Z242" t="str"/>
      <x:c r="AA242" t="str"/>
      <x:c r="AB242" t="str"/>
      <x:c r="AC242" t="str"/>
      <x:c r="AD242" t="str"/>
      <x:c r="AE242" t="str"/>
      <x:c r="AF242" t="str">
        <x:f>D242&amp;"|"&amp;UPPER(G242)&amp;"|"&amp;SUBSTITUTE(C242,"/","-")</x:f>
        <x:v>1224|COMMN|2025-07-01</x:v>
      </x:c>
    </x:row>
    <x:row r="243">
      <x:c r="A243" s="22" t="n">
        <x:v>31524</x:v>
      </x:c>
      <x:c r="B243" t="str">
        <x:v>FY25-26</x:v>
      </x:c>
      <x:c r="C243" t="str">
        <x:v>2025/07/01</x:v>
      </x:c>
      <x:c r="D243" t="str">
        <x:v>1224</x:v>
      </x:c>
      <x:c r="E243" t="str">
        <x:v>Pr Payroll &amp; Personnel Clerk</x:v>
      </x:c>
      <x:c r="F243" t="str">
        <x:v>790</x:v>
      </x:c>
      <x:c r="G243" t="str">
        <x:v>SFMTA</x:v>
      </x:c>
      <x:c r="H243" t="str">
        <x:v>1224B</x:v>
      </x:c>
      <x:c r="I243" t="str">
        <x:v>$3,848</x:v>
      </x:c>
      <x:c r="J243" t="str"/>
      <x:c r="K243" t="str"/>
      <x:c r="L243" t="str">
        <x:v>$48.1000</x:v>
      </x:c>
      <x:c r="M243" t="str">
        <x:v>$50.5125</x:v>
      </x:c>
      <x:c r="N243" t="str">
        <x:v>$53.0125</x:v>
      </x:c>
      <x:c r="O243" t="str">
        <x:v>$55.6375</x:v>
      </x:c>
      <x:c r="P243" t="str">
        <x:v>$58.4375</x:v>
      </x:c>
      <x:c r="Q243" t="str"/>
      <x:c r="R243" t="str"/>
      <x:c r="S243" t="str"/>
      <x:c r="T243" t="str"/>
      <x:c r="U243" t="str"/>
      <x:c r="V243" t="str"/>
      <x:c r="W243" t="str"/>
      <x:c r="X243" t="str"/>
      <x:c r="Y243" t="str"/>
      <x:c r="Z243" t="str"/>
      <x:c r="AA243" t="str"/>
      <x:c r="AB243" t="str"/>
      <x:c r="AC243" t="str"/>
      <x:c r="AD243" t="str"/>
      <x:c r="AE243" t="str"/>
      <x:c r="AF243" t="str">
        <x:f>D243&amp;"|"&amp;UPPER(G243)&amp;"|"&amp;SUBSTITUTE(C243,"/","-")</x:f>
        <x:v>1224|SFMTA|2025-07-01</x:v>
      </x:c>
    </x:row>
    <x:row r="244">
      <x:c r="A244" s="22" t="n">
        <x:v>33208</x:v>
      </x:c>
      <x:c r="B244" t="str">
        <x:v>FY25-26</x:v>
      </x:c>
      <x:c r="C244" t="str">
        <x:v>2026/01/03</x:v>
      </x:c>
      <x:c r="D244" t="str">
        <x:v>1224</x:v>
      </x:c>
      <x:c r="E244" t="str">
        <x:v>Pr Payroll &amp; Personnel Clerk</x:v>
      </x:c>
      <x:c r="F244" t="str">
        <x:v>790</x:v>
      </x:c>
      <x:c r="G244" t="str">
        <x:v>COMMN</x:v>
      </x:c>
      <x:c r="H244" t="str">
        <x:v>1224C</x:v>
      </x:c>
      <x:c r="I244" t="str">
        <x:v>$3,906</x:v>
      </x:c>
      <x:c r="J244" t="str"/>
      <x:c r="K244" t="str"/>
      <x:c r="L244" t="str">
        <x:v>$48.8250</x:v>
      </x:c>
      <x:c r="M244" t="str">
        <x:v>$51.2750</x:v>
      </x:c>
      <x:c r="N244" t="str">
        <x:v>$53.8125</x:v>
      </x:c>
      <x:c r="O244" t="str">
        <x:v>$56.4750</x:v>
      </x:c>
      <x:c r="P244" t="str">
        <x:v>$59.3125</x:v>
      </x:c>
      <x:c r="Q244" t="str"/>
      <x:c r="R244" t="str"/>
      <x:c r="S244" t="str"/>
      <x:c r="T244" t="str"/>
      <x:c r="U244" t="str"/>
      <x:c r="V244" t="str"/>
      <x:c r="W244" t="str"/>
      <x:c r="X244" t="str"/>
      <x:c r="Y244" t="str"/>
      <x:c r="Z244" t="str"/>
      <x:c r="AA244" t="str"/>
      <x:c r="AB244" t="str"/>
      <x:c r="AC244" t="str"/>
      <x:c r="AD244" t="str"/>
      <x:c r="AE244" t="str"/>
      <x:c r="AF244" t="str">
        <x:f>D244&amp;"|"&amp;UPPER(G244)&amp;"|"&amp;SUBSTITUTE(C244,"/","-")</x:f>
        <x:v>1224|COMMN|2026-01-03</x:v>
      </x:c>
    </x:row>
    <x:row r="245">
      <x:c r="A245" s="22" t="n">
        <x:v>33209</x:v>
      </x:c>
      <x:c r="B245" t="str">
        <x:v>FY25-26</x:v>
      </x:c>
      <x:c r="C245" t="str">
        <x:v>2026/01/03</x:v>
      </x:c>
      <x:c r="D245" t="str">
        <x:v>1224</x:v>
      </x:c>
      <x:c r="E245" t="str">
        <x:v>Pr Payroll &amp; Personnel Clerk</x:v>
      </x:c>
      <x:c r="F245" t="str">
        <x:v>790</x:v>
      </x:c>
      <x:c r="G245" t="str">
        <x:v>SFMTA</x:v>
      </x:c>
      <x:c r="H245" t="str">
        <x:v>1224C</x:v>
      </x:c>
      <x:c r="I245" t="str">
        <x:v>$3,906</x:v>
      </x:c>
      <x:c r="J245" t="str"/>
      <x:c r="K245" t="str"/>
      <x:c r="L245" t="str">
        <x:v>$48.8250</x:v>
      </x:c>
      <x:c r="M245" t="str">
        <x:v>$51.2750</x:v>
      </x:c>
      <x:c r="N245" t="str">
        <x:v>$53.8125</x:v>
      </x:c>
      <x:c r="O245" t="str">
        <x:v>$56.4750</x:v>
      </x:c>
      <x:c r="P245" t="str">
        <x:v>$59.3125</x:v>
      </x:c>
      <x:c r="Q245" t="str"/>
      <x:c r="R245" t="str"/>
      <x:c r="S245" t="str"/>
      <x:c r="T245" t="str"/>
      <x:c r="U245" t="str"/>
      <x:c r="V245" t="str"/>
      <x:c r="W245" t="str"/>
      <x:c r="X245" t="str"/>
      <x:c r="Y245" t="str"/>
      <x:c r="Z245" t="str"/>
      <x:c r="AA245" t="str"/>
      <x:c r="AB245" t="str"/>
      <x:c r="AC245" t="str"/>
      <x:c r="AD245" t="str"/>
      <x:c r="AE245" t="str"/>
      <x:c r="AF245" t="str">
        <x:f>D245&amp;"|"&amp;UPPER(G245)&amp;"|"&amp;SUBSTITUTE(C245,"/","-")</x:f>
        <x:v>1224|SFMTA|2026-01-03</x:v>
      </x:c>
    </x:row>
    <x:row r="246">
      <x:c r="A246" s="22" t="n">
        <x:v>16019</x:v>
      </x:c>
      <x:c r="B246" t="str">
        <x:v>FY20-21</x:v>
      </x:c>
      <x:c r="C246" t="str">
        <x:v>2020/07/01</x:v>
      </x:c>
      <x:c r="D246" t="str">
        <x:v>1226</x:v>
      </x:c>
      <x:c r="E246" t="str">
        <x:v>Chief Payroll And Personnel Clerk</x:v>
      </x:c>
      <x:c r="F246" t="str">
        <x:v>790</x:v>
      </x:c>
      <x:c r="G246" t="str">
        <x:v>COMMN</x:v>
      </x:c>
      <x:c r="H246" t="str">
        <x:v>1226S</x:v>
      </x:c>
      <x:c r="I246" t="str">
        <x:v>$3,266</x:v>
      </x:c>
      <x:c r="J246" t="str"/>
      <x:c r="K246" t="str"/>
      <x:c r="L246" t="str">
        <x:v>$40.8250</x:v>
      </x:c>
      <x:c r="M246" t="str">
        <x:v>$42.8750</x:v>
      </x:c>
      <x:c r="N246" t="str">
        <x:v>$45.0250</x:v>
      </x:c>
      <x:c r="O246" t="str">
        <x:v>$47.2625</x:v>
      </x:c>
      <x:c r="P246" t="str">
        <x:v>$49.6125</x:v>
      </x:c>
      <x:c r="Q246" t="str"/>
      <x:c r="R246" t="str"/>
      <x:c r="S246" t="str"/>
      <x:c r="T246" t="str"/>
      <x:c r="U246" t="str"/>
      <x:c r="V246" t="str"/>
      <x:c r="W246" t="str"/>
      <x:c r="X246" t="str"/>
      <x:c r="Y246" t="str"/>
      <x:c r="Z246" t="str"/>
      <x:c r="AA246" t="str"/>
      <x:c r="AB246" t="str"/>
      <x:c r="AC246" t="str"/>
      <x:c r="AD246" t="str"/>
      <x:c r="AE246" t="str"/>
      <x:c r="AF246" t="str">
        <x:f>D246&amp;"|"&amp;UPPER(G246)&amp;"|"&amp;SUBSTITUTE(C246,"/","-")</x:f>
        <x:v>1226|COMMN|2020-07-01</x:v>
      </x:c>
    </x:row>
    <x:row r="247">
      <x:c r="A247" s="22" t="n">
        <x:v>26368</x:v>
      </x:c>
      <x:c r="B247" t="str">
        <x:v>FY23-24</x:v>
      </x:c>
      <x:c r="C247" t="str">
        <x:v>2024/01/06</x:v>
      </x:c>
      <x:c r="D247" t="str">
        <x:v>1226</x:v>
      </x:c>
      <x:c r="E247" t="str">
        <x:v>Chief Payroll And Personnel Clerk</x:v>
      </x:c>
      <x:c r="F247" t="str">
        <x:v>790</x:v>
      </x:c>
      <x:c r="G247" t="str">
        <x:v>COMMN</x:v>
      </x:c>
      <x:c r="H247" t="str">
        <x:v>1226Y</x:v>
      </x:c>
      <x:c r="I247" t="str">
        <x:v>$3,860</x:v>
      </x:c>
      <x:c r="J247" t="str"/>
      <x:c r="K247" t="str"/>
      <x:c r="L247" t="str">
        <x:v>$48.2500</x:v>
      </x:c>
      <x:c r="M247" t="str">
        <x:v>$50.6750</x:v>
      </x:c>
      <x:c r="N247" t="str">
        <x:v>$53.2250</x:v>
      </x:c>
      <x:c r="O247" t="str">
        <x:v>$55.8625</x:v>
      </x:c>
      <x:c r="P247" t="str">
        <x:v>$58.6375</x:v>
      </x:c>
      <x:c r="Q247" t="str"/>
      <x:c r="R247" t="str"/>
      <x:c r="S247" t="str"/>
      <x:c r="T247" t="str"/>
      <x:c r="U247" t="str"/>
      <x:c r="V247" t="str"/>
      <x:c r="W247" t="str"/>
      <x:c r="X247" t="str"/>
      <x:c r="Y247" t="str"/>
      <x:c r="Z247" t="str"/>
      <x:c r="AA247" t="str"/>
      <x:c r="AB247" t="str"/>
      <x:c r="AC247" t="str"/>
      <x:c r="AD247" t="str"/>
      <x:c r="AE247" t="str"/>
      <x:c r="AF247" t="str">
        <x:f>D247&amp;"|"&amp;UPPER(G247)&amp;"|"&amp;SUBSTITUTE(C247,"/","-")</x:f>
        <x:v>1226|COMMN|2024-01-06</x:v>
      </x:c>
    </x:row>
    <x:row r="248">
      <x:c r="A248" s="22" t="n">
        <x:v>26369</x:v>
      </x:c>
      <x:c r="B248" t="str">
        <x:v>FY23-24</x:v>
      </x:c>
      <x:c r="C248" t="str">
        <x:v>2024/01/06</x:v>
      </x:c>
      <x:c r="D248" t="str">
        <x:v>1226</x:v>
      </x:c>
      <x:c r="E248" t="str">
        <x:v>Chief Payroll And Personnel Clerk</x:v>
      </x:c>
      <x:c r="F248" t="str">
        <x:v>790</x:v>
      </x:c>
      <x:c r="G248" t="str">
        <x:v>SFMTA</x:v>
      </x:c>
      <x:c r="H248" t="str">
        <x:v>1226Y</x:v>
      </x:c>
      <x:c r="I248" t="str">
        <x:v>$3,860</x:v>
      </x:c>
      <x:c r="J248" t="str"/>
      <x:c r="K248" t="str"/>
      <x:c r="L248" t="str">
        <x:v>$48.2500</x:v>
      </x:c>
      <x:c r="M248" t="str">
        <x:v>$50.6750</x:v>
      </x:c>
      <x:c r="N248" t="str">
        <x:v>$53.2250</x:v>
      </x:c>
      <x:c r="O248" t="str">
        <x:v>$55.8625</x:v>
      </x:c>
      <x:c r="P248" t="str">
        <x:v>$58.6375</x:v>
      </x:c>
      <x:c r="Q248" t="str"/>
      <x:c r="R248" t="str"/>
      <x:c r="S248" t="str"/>
      <x:c r="T248" t="str"/>
      <x:c r="U248" t="str"/>
      <x:c r="V248" t="str"/>
      <x:c r="W248" t="str"/>
      <x:c r="X248" t="str"/>
      <x:c r="Y248" t="str"/>
      <x:c r="Z248" t="str"/>
      <x:c r="AA248" t="str"/>
      <x:c r="AB248" t="str"/>
      <x:c r="AC248" t="str"/>
      <x:c r="AD248" t="str"/>
      <x:c r="AE248" t="str"/>
      <x:c r="AF248" t="str">
        <x:f>D248&amp;"|"&amp;UPPER(G248)&amp;"|"&amp;SUBSTITUTE(C248,"/","-")</x:f>
        <x:v>1226|SFMTA|2024-01-06</x:v>
      </x:c>
    </x:row>
    <x:row r="249">
      <x:c r="A249" s="22" t="n">
        <x:v>28106</x:v>
      </x:c>
      <x:c r="B249" t="str">
        <x:v>FY24-25</x:v>
      </x:c>
      <x:c r="C249" t="str">
        <x:v>2024/07/01</x:v>
      </x:c>
      <x:c r="D249" t="str">
        <x:v>1226</x:v>
      </x:c>
      <x:c r="E249" t="str">
        <x:v>Chief Payroll And Personnel Clerk</x:v>
      </x:c>
      <x:c r="F249" t="str">
        <x:v>790</x:v>
      </x:c>
      <x:c r="G249" t="str">
        <x:v>COMMN</x:v>
      </x:c>
      <x:c r="H249" t="str">
        <x:v>1226Z</x:v>
      </x:c>
      <x:c r="I249" t="str">
        <x:v>$3,918</x:v>
      </x:c>
      <x:c r="J249" t="str"/>
      <x:c r="K249" t="str"/>
      <x:c r="L249" t="str">
        <x:v>$48.9750</x:v>
      </x:c>
      <x:c r="M249" t="str">
        <x:v>$51.4375</x:v>
      </x:c>
      <x:c r="N249" t="str">
        <x:v>$54.0250</x:v>
      </x:c>
      <x:c r="O249" t="str">
        <x:v>$56.7000</x:v>
      </x:c>
      <x:c r="P249" t="str">
        <x:v>$59.5125</x:v>
      </x:c>
      <x:c r="Q249" t="str"/>
      <x:c r="R249" t="str"/>
      <x:c r="S249" t="str"/>
      <x:c r="T249" t="str"/>
      <x:c r="U249" t="str"/>
      <x:c r="V249" t="str"/>
      <x:c r="W249" t="str"/>
      <x:c r="X249" t="str"/>
      <x:c r="Y249" t="str"/>
      <x:c r="Z249" t="str"/>
      <x:c r="AA249" t="str"/>
      <x:c r="AB249" t="str"/>
      <x:c r="AC249" t="str"/>
      <x:c r="AD249" t="str"/>
      <x:c r="AE249" t="str"/>
      <x:c r="AF249" t="str">
        <x:f>D249&amp;"|"&amp;UPPER(G249)&amp;"|"&amp;SUBSTITUTE(C249,"/","-")</x:f>
        <x:v>1226|COMMN|2024-07-01</x:v>
      </x:c>
    </x:row>
    <x:row r="250">
      <x:c r="A250" s="22" t="n">
        <x:v>28107</x:v>
      </x:c>
      <x:c r="B250" t="str">
        <x:v>FY24-25</x:v>
      </x:c>
      <x:c r="C250" t="str">
        <x:v>2024/07/01</x:v>
      </x:c>
      <x:c r="D250" t="str">
        <x:v>1226</x:v>
      </x:c>
      <x:c r="E250" t="str">
        <x:v>Chief Payroll And Personnel Clerk</x:v>
      </x:c>
      <x:c r="F250" t="str">
        <x:v>790</x:v>
      </x:c>
      <x:c r="G250" t="str">
        <x:v>SFMTA</x:v>
      </x:c>
      <x:c r="H250" t="str">
        <x:v>1226Z</x:v>
      </x:c>
      <x:c r="I250" t="str">
        <x:v>$3,918</x:v>
      </x:c>
      <x:c r="J250" t="str"/>
      <x:c r="K250" t="str"/>
      <x:c r="L250" t="str">
        <x:v>$48.9750</x:v>
      </x:c>
      <x:c r="M250" t="str">
        <x:v>$51.4375</x:v>
      </x:c>
      <x:c r="N250" t="str">
        <x:v>$54.0250</x:v>
      </x:c>
      <x:c r="O250" t="str">
        <x:v>$56.7000</x:v>
      </x:c>
      <x:c r="P250" t="str">
        <x:v>$59.5125</x:v>
      </x:c>
      <x:c r="Q250" t="str"/>
      <x:c r="R250" t="str"/>
      <x:c r="S250" t="str"/>
      <x:c r="T250" t="str"/>
      <x:c r="U250" t="str"/>
      <x:c r="V250" t="str"/>
      <x:c r="W250" t="str"/>
      <x:c r="X250" t="str"/>
      <x:c r="Y250" t="str"/>
      <x:c r="Z250" t="str"/>
      <x:c r="AA250" t="str"/>
      <x:c r="AB250" t="str"/>
      <x:c r="AC250" t="str"/>
      <x:c r="AD250" t="str"/>
      <x:c r="AE250" t="str"/>
      <x:c r="AF250" t="str">
        <x:f>D250&amp;"|"&amp;UPPER(G250)&amp;"|"&amp;SUBSTITUTE(C250,"/","-")</x:f>
        <x:v>1226|SFMTA|2024-07-01</x:v>
      </x:c>
    </x:row>
    <x:row r="251">
      <x:c r="A251" s="22" t="n">
        <x:v>29812</x:v>
      </x:c>
      <x:c r="B251" t="str">
        <x:v>FY24-25</x:v>
      </x:c>
      <x:c r="C251" t="str">
        <x:v>2025/01/04</x:v>
      </x:c>
      <x:c r="D251" t="str">
        <x:v>1226</x:v>
      </x:c>
      <x:c r="E251" t="str">
        <x:v>Chief Payroll And Personnel Clerk</x:v>
      </x:c>
      <x:c r="F251" t="str">
        <x:v>790</x:v>
      </x:c>
      <x:c r="G251" t="str">
        <x:v>COMMN</x:v>
      </x:c>
      <x:c r="H251" t="str">
        <x:v>1226A</x:v>
      </x:c>
      <x:c r="I251" t="str">
        <x:v>$3,977</x:v>
      </x:c>
      <x:c r="J251" t="str"/>
      <x:c r="K251" t="str"/>
      <x:c r="L251" t="str">
        <x:v>$49.7125</x:v>
      </x:c>
      <x:c r="M251" t="str">
        <x:v>$52.2125</x:v>
      </x:c>
      <x:c r="N251" t="str">
        <x:v>$54.8375</x:v>
      </x:c>
      <x:c r="O251" t="str">
        <x:v>$57.5500</x:v>
      </x:c>
      <x:c r="P251" t="str">
        <x:v>$60.4000</x:v>
      </x:c>
      <x:c r="Q251" t="str"/>
      <x:c r="R251" t="str"/>
      <x:c r="S251" t="str"/>
      <x:c r="T251" t="str"/>
      <x:c r="U251" t="str"/>
      <x:c r="V251" t="str"/>
      <x:c r="W251" t="str"/>
      <x:c r="X251" t="str"/>
      <x:c r="Y251" t="str"/>
      <x:c r="Z251" t="str"/>
      <x:c r="AA251" t="str"/>
      <x:c r="AB251" t="str"/>
      <x:c r="AC251" t="str"/>
      <x:c r="AD251" t="str"/>
      <x:c r="AE251" t="str"/>
      <x:c r="AF251" t="str">
        <x:f>D251&amp;"|"&amp;UPPER(G251)&amp;"|"&amp;SUBSTITUTE(C251,"/","-")</x:f>
        <x:v>1226|COMMN|2025-01-04</x:v>
      </x:c>
    </x:row>
    <x:row r="252">
      <x:c r="A252" s="22" t="n">
        <x:v>29813</x:v>
      </x:c>
      <x:c r="B252" t="str">
        <x:v>FY24-25</x:v>
      </x:c>
      <x:c r="C252" t="str">
        <x:v>2025/01/04</x:v>
      </x:c>
      <x:c r="D252" t="str">
        <x:v>1226</x:v>
      </x:c>
      <x:c r="E252" t="str">
        <x:v>Chief Payroll And Personnel Clerk</x:v>
      </x:c>
      <x:c r="F252" t="str">
        <x:v>790</x:v>
      </x:c>
      <x:c r="G252" t="str">
        <x:v>SFMTA</x:v>
      </x:c>
      <x:c r="H252" t="str">
        <x:v>1226A</x:v>
      </x:c>
      <x:c r="I252" t="str">
        <x:v>$3,977</x:v>
      </x:c>
      <x:c r="J252" t="str"/>
      <x:c r="K252" t="str"/>
      <x:c r="L252" t="str">
        <x:v>$49.7125</x:v>
      </x:c>
      <x:c r="M252" t="str">
        <x:v>$52.2125</x:v>
      </x:c>
      <x:c r="N252" t="str">
        <x:v>$54.8375</x:v>
      </x:c>
      <x:c r="O252" t="str">
        <x:v>$57.5500</x:v>
      </x:c>
      <x:c r="P252" t="str">
        <x:v>$60.4000</x:v>
      </x:c>
      <x:c r="Q252" t="str"/>
      <x:c r="R252" t="str"/>
      <x:c r="S252" t="str"/>
      <x:c r="T252" t="str"/>
      <x:c r="U252" t="str"/>
      <x:c r="V252" t="str"/>
      <x:c r="W252" t="str"/>
      <x:c r="X252" t="str"/>
      <x:c r="Y252" t="str"/>
      <x:c r="Z252" t="str"/>
      <x:c r="AA252" t="str"/>
      <x:c r="AB252" t="str"/>
      <x:c r="AC252" t="str"/>
      <x:c r="AD252" t="str"/>
      <x:c r="AE252" t="str"/>
      <x:c r="AF252" t="str">
        <x:f>D252&amp;"|"&amp;UPPER(G252)&amp;"|"&amp;SUBSTITUTE(C252,"/","-")</x:f>
        <x:v>1226|SFMTA|2025-01-04</x:v>
      </x:c>
    </x:row>
    <x:row r="253">
      <x:c r="A253" s="22" t="n">
        <x:v>31525</x:v>
      </x:c>
      <x:c r="B253" t="str">
        <x:v>FY25-26</x:v>
      </x:c>
      <x:c r="C253" t="str">
        <x:v>2025/07/01</x:v>
      </x:c>
      <x:c r="D253" t="str">
        <x:v>1226</x:v>
      </x:c>
      <x:c r="E253" t="str">
        <x:v>Chf Payroll &amp; Personnel Clerk</x:v>
      </x:c>
      <x:c r="F253" t="str">
        <x:v>790</x:v>
      </x:c>
      <x:c r="G253" t="str">
        <x:v>COMMN</x:v>
      </x:c>
      <x:c r="H253" t="str">
        <x:v>1226B</x:v>
      </x:c>
      <x:c r="I253" t="str">
        <x:v>$4,057</x:v>
      </x:c>
      <x:c r="J253" t="str"/>
      <x:c r="K253" t="str"/>
      <x:c r="L253" t="str">
        <x:v>$50.7125</x:v>
      </x:c>
      <x:c r="M253" t="str">
        <x:v>$53.2625</x:v>
      </x:c>
      <x:c r="N253" t="str">
        <x:v>$55.9375</x:v>
      </x:c>
      <x:c r="O253" t="str">
        <x:v>$58.7125</x:v>
      </x:c>
      <x:c r="P253" t="str">
        <x:v>$61.6125</x:v>
      </x:c>
      <x:c r="Q253" t="str"/>
      <x:c r="R253" t="str"/>
      <x:c r="S253" t="str"/>
      <x:c r="T253" t="str"/>
      <x:c r="U253" t="str"/>
      <x:c r="V253" t="str"/>
      <x:c r="W253" t="str"/>
      <x:c r="X253" t="str"/>
      <x:c r="Y253" t="str"/>
      <x:c r="Z253" t="str"/>
      <x:c r="AA253" t="str"/>
      <x:c r="AB253" t="str"/>
      <x:c r="AC253" t="str"/>
      <x:c r="AD253" t="str"/>
      <x:c r="AE253" t="str"/>
      <x:c r="AF253" t="str">
        <x:f>D253&amp;"|"&amp;UPPER(G253)&amp;"|"&amp;SUBSTITUTE(C253,"/","-")</x:f>
        <x:v>1226|COMMN|2025-07-01</x:v>
      </x:c>
    </x:row>
    <x:row r="254">
      <x:c r="A254" s="22" t="n">
        <x:v>31526</x:v>
      </x:c>
      <x:c r="B254" t="str">
        <x:v>FY25-26</x:v>
      </x:c>
      <x:c r="C254" t="str">
        <x:v>2025/07/01</x:v>
      </x:c>
      <x:c r="D254" t="str">
        <x:v>1226</x:v>
      </x:c>
      <x:c r="E254" t="str">
        <x:v>Chf Payroll &amp; Personnel Clerk</x:v>
      </x:c>
      <x:c r="F254" t="str">
        <x:v>790</x:v>
      </x:c>
      <x:c r="G254" t="str">
        <x:v>SFMTA</x:v>
      </x:c>
      <x:c r="H254" t="str">
        <x:v>1226B</x:v>
      </x:c>
      <x:c r="I254" t="str">
        <x:v>$4,057</x:v>
      </x:c>
      <x:c r="J254" t="str"/>
      <x:c r="K254" t="str"/>
      <x:c r="L254" t="str">
        <x:v>$50.7125</x:v>
      </x:c>
      <x:c r="M254" t="str">
        <x:v>$53.2625</x:v>
      </x:c>
      <x:c r="N254" t="str">
        <x:v>$55.9375</x:v>
      </x:c>
      <x:c r="O254" t="str">
        <x:v>$58.7125</x:v>
      </x:c>
      <x:c r="P254" t="str">
        <x:v>$61.6125</x:v>
      </x:c>
      <x:c r="Q254" t="str"/>
      <x:c r="R254" t="str"/>
      <x:c r="S254" t="str"/>
      <x:c r="T254" t="str"/>
      <x:c r="U254" t="str"/>
      <x:c r="V254" t="str"/>
      <x:c r="W254" t="str"/>
      <x:c r="X254" t="str"/>
      <x:c r="Y254" t="str"/>
      <x:c r="Z254" t="str"/>
      <x:c r="AA254" t="str"/>
      <x:c r="AB254" t="str"/>
      <x:c r="AC254" t="str"/>
      <x:c r="AD254" t="str"/>
      <x:c r="AE254" t="str"/>
      <x:c r="AF254" t="str">
        <x:f>D254&amp;"|"&amp;UPPER(G254)&amp;"|"&amp;SUBSTITUTE(C254,"/","-")</x:f>
        <x:v>1226|SFMTA|2025-07-01</x:v>
      </x:c>
    </x:row>
    <x:row r="255">
      <x:c r="A255" s="22" t="n">
        <x:v>33210</x:v>
      </x:c>
      <x:c r="B255" t="str">
        <x:v>FY25-26</x:v>
      </x:c>
      <x:c r="C255" t="str">
        <x:v>2026/01/03</x:v>
      </x:c>
      <x:c r="D255" t="str">
        <x:v>1226</x:v>
      </x:c>
      <x:c r="E255" t="str">
        <x:v>Chf Payroll &amp; Personnel Clerk</x:v>
      </x:c>
      <x:c r="F255" t="str">
        <x:v>790</x:v>
      </x:c>
      <x:c r="G255" t="str">
        <x:v>COMMN</x:v>
      </x:c>
      <x:c r="H255" t="str">
        <x:v>1226C</x:v>
      </x:c>
      <x:c r="I255" t="str">
        <x:v>$4,118</x:v>
      </x:c>
      <x:c r="J255" t="str"/>
      <x:c r="K255" t="str"/>
      <x:c r="L255" t="str">
        <x:v>$51.4750</x:v>
      </x:c>
      <x:c r="M255" t="str">
        <x:v>$54.0625</x:v>
      </x:c>
      <x:c r="N255" t="str">
        <x:v>$56.7750</x:v>
      </x:c>
      <x:c r="O255" t="str">
        <x:v>$59.5875</x:v>
      </x:c>
      <x:c r="P255" t="str">
        <x:v>$62.5375</x:v>
      </x:c>
      <x:c r="Q255" t="str"/>
      <x:c r="R255" t="str"/>
      <x:c r="S255" t="str"/>
      <x:c r="T255" t="str"/>
      <x:c r="U255" t="str"/>
      <x:c r="V255" t="str"/>
      <x:c r="W255" t="str"/>
      <x:c r="X255" t="str"/>
      <x:c r="Y255" t="str"/>
      <x:c r="Z255" t="str"/>
      <x:c r="AA255" t="str"/>
      <x:c r="AB255" t="str"/>
      <x:c r="AC255" t="str"/>
      <x:c r="AD255" t="str"/>
      <x:c r="AE255" t="str"/>
      <x:c r="AF255" t="str">
        <x:f>D255&amp;"|"&amp;UPPER(G255)&amp;"|"&amp;SUBSTITUTE(C255,"/","-")</x:f>
        <x:v>1226|COMMN|2026-01-03</x:v>
      </x:c>
    </x:row>
    <x:row r="256">
      <x:c r="A256" s="22" t="n">
        <x:v>33211</x:v>
      </x:c>
      <x:c r="B256" t="str">
        <x:v>FY25-26</x:v>
      </x:c>
      <x:c r="C256" t="str">
        <x:v>2026/01/03</x:v>
      </x:c>
      <x:c r="D256" t="str">
        <x:v>1226</x:v>
      </x:c>
      <x:c r="E256" t="str">
        <x:v>Chf Payroll &amp; Personnel Clerk</x:v>
      </x:c>
      <x:c r="F256" t="str">
        <x:v>790</x:v>
      </x:c>
      <x:c r="G256" t="str">
        <x:v>SFMTA</x:v>
      </x:c>
      <x:c r="H256" t="str">
        <x:v>1226C</x:v>
      </x:c>
      <x:c r="I256" t="str">
        <x:v>$4,118</x:v>
      </x:c>
      <x:c r="J256" t="str"/>
      <x:c r="K256" t="str"/>
      <x:c r="L256" t="str">
        <x:v>$51.4750</x:v>
      </x:c>
      <x:c r="M256" t="str">
        <x:v>$54.0625</x:v>
      </x:c>
      <x:c r="N256" t="str">
        <x:v>$56.7750</x:v>
      </x:c>
      <x:c r="O256" t="str">
        <x:v>$59.5875</x:v>
      </x:c>
      <x:c r="P256" t="str">
        <x:v>$62.5375</x:v>
      </x:c>
      <x:c r="Q256" t="str"/>
      <x:c r="R256" t="str"/>
      <x:c r="S256" t="str"/>
      <x:c r="T256" t="str"/>
      <x:c r="U256" t="str"/>
      <x:c r="V256" t="str"/>
      <x:c r="W256" t="str"/>
      <x:c r="X256" t="str"/>
      <x:c r="Y256" t="str"/>
      <x:c r="Z256" t="str"/>
      <x:c r="AA256" t="str"/>
      <x:c r="AB256" t="str"/>
      <x:c r="AC256" t="str"/>
      <x:c r="AD256" t="str"/>
      <x:c r="AE256" t="str"/>
      <x:c r="AF256" t="str">
        <x:f>D256&amp;"|"&amp;UPPER(G256)&amp;"|"&amp;SUBSTITUTE(C256,"/","-")</x:f>
        <x:v>1226|SFMTA|2026-01-03</x:v>
      </x:c>
    </x:row>
    <x:row r="257">
      <x:c r="A257" s="22" t="n">
        <x:v>16026</x:v>
      </x:c>
      <x:c r="B257" t="str">
        <x:v>FY20-21</x:v>
      </x:c>
      <x:c r="C257" t="str">
        <x:v>2020/07/01</x:v>
      </x:c>
      <x:c r="D257" t="str">
        <x:v>1231</x:v>
      </x:c>
      <x:c r="E257" t="str">
        <x:v>Equal Employment Opportunity Programs Senior Specialist</x:v>
      </x:c>
      <x:c r="F257" t="str">
        <x:v>022</x:v>
      </x:c>
      <x:c r="G257" t="str">
        <x:v>COMMN</x:v>
      </x:c>
      <x:c r="H257" t="str">
        <x:v>1231S</x:v>
      </x:c>
      <x:c r="I257" t="str">
        <x:v>$4,181</x:v>
      </x:c>
      <x:c r="J257" t="str"/>
      <x:c r="K257" t="str">
        <x:v>6</x:v>
      </x:c>
      <x:c r="L257" t="str">
        <x:v>$52.2625</x:v>
      </x:c>
      <x:c r="M257" t="str">
        <x:v>$54.8750</x:v>
      </x:c>
      <x:c r="N257" t="str">
        <x:v>$57.6125</x:v>
      </x:c>
      <x:c r="O257" t="str">
        <x:v>$60.5125</x:v>
      </x:c>
      <x:c r="P257" t="str">
        <x:v>$63.5125</x:v>
      </x:c>
      <x:c r="Q257" t="str">
        <x:v>$65.1000</x:v>
      </x:c>
      <x:c r="R257" t="str">
        <x:v>$66.7250</x:v>
      </x:c>
      <x:c r="S257" t="str">
        <x:v>$68.3875</x:v>
      </x:c>
      <x:c r="T257" t="str"/>
      <x:c r="U257" t="str"/>
      <x:c r="V257" t="str"/>
      <x:c r="W257" t="str"/>
      <x:c r="X257" t="str"/>
      <x:c r="Y257" t="str"/>
      <x:c r="Z257" t="str"/>
      <x:c r="AA257" t="str"/>
      <x:c r="AB257" t="str"/>
      <x:c r="AC257" t="str"/>
      <x:c r="AD257" t="str"/>
      <x:c r="AE257" t="str"/>
      <x:c r="AF257" t="str">
        <x:f>D257&amp;"|"&amp;UPPER(G257)&amp;"|"&amp;SUBSTITUTE(C257,"/","-")</x:f>
        <x:v>1231|COMMN|2020-07-01</x:v>
      </x:c>
    </x:row>
    <x:row r="258">
      <x:c r="A258" s="22" t="n">
        <x:v>26376</x:v>
      </x:c>
      <x:c r="B258" t="str">
        <x:v>FY23-24</x:v>
      </x:c>
      <x:c r="C258" t="str">
        <x:v>2024/01/06</x:v>
      </x:c>
      <x:c r="D258" t="str">
        <x:v>1231</x:v>
      </x:c>
      <x:c r="E258" t="str">
        <x:v>Equal Employment Opportunity Programs Senior Specialist</x:v>
      </x:c>
      <x:c r="F258" t="str">
        <x:v>022</x:v>
      </x:c>
      <x:c r="G258" t="str">
        <x:v>COMMN</x:v>
      </x:c>
      <x:c r="H258" t="str">
        <x:v>1231Y</x:v>
      </x:c>
      <x:c r="I258" t="str">
        <x:v>$4,941</x:v>
      </x:c>
      <x:c r="J258" t="str"/>
      <x:c r="K258" t="str">
        <x:v>6</x:v>
      </x:c>
      <x:c r="L258" t="str">
        <x:v>$61.7625</x:v>
      </x:c>
      <x:c r="M258" t="str">
        <x:v>$64.8625</x:v>
      </x:c>
      <x:c r="N258" t="str">
        <x:v>$68.1000</x:v>
      </x:c>
      <x:c r="O258" t="str">
        <x:v>$71.5125</x:v>
      </x:c>
      <x:c r="P258" t="str">
        <x:v>$75.0625</x:v>
      </x:c>
      <x:c r="Q258" t="str">
        <x:v>$76.9500</x:v>
      </x:c>
      <x:c r="R258" t="str">
        <x:v>$78.8500</x:v>
      </x:c>
      <x:c r="S258" t="str">
        <x:v>$80.8250</x:v>
      </x:c>
      <x:c r="T258" t="str"/>
      <x:c r="U258" t="str"/>
      <x:c r="V258" t="str"/>
      <x:c r="W258" t="str"/>
      <x:c r="X258" t="str"/>
      <x:c r="Y258" t="str"/>
      <x:c r="Z258" t="str"/>
      <x:c r="AA258" t="str"/>
      <x:c r="AB258" t="str"/>
      <x:c r="AC258" t="str"/>
      <x:c r="AD258" t="str"/>
      <x:c r="AE258" t="str"/>
      <x:c r="AF258" t="str">
        <x:f>D258&amp;"|"&amp;UPPER(G258)&amp;"|"&amp;SUBSTITUTE(C258,"/","-")</x:f>
        <x:v>1231|COMMN|2024-01-06</x:v>
      </x:c>
    </x:row>
    <x:row r="259">
      <x:c r="A259" s="22" t="n">
        <x:v>26377</x:v>
      </x:c>
      <x:c r="B259" t="str">
        <x:v>FY23-24</x:v>
      </x:c>
      <x:c r="C259" t="str">
        <x:v>2024/01/06</x:v>
      </x:c>
      <x:c r="D259" t="str">
        <x:v>1231</x:v>
      </x:c>
      <x:c r="E259" t="str">
        <x:v>Equal Employment Opportunity Programs Senior Specialist</x:v>
      </x:c>
      <x:c r="F259" t="str">
        <x:v>022</x:v>
      </x:c>
      <x:c r="G259" t="str">
        <x:v>SFMTA</x:v>
      </x:c>
      <x:c r="H259" t="str">
        <x:v>1231Y</x:v>
      </x:c>
      <x:c r="I259" t="str">
        <x:v>$4,941</x:v>
      </x:c>
      <x:c r="J259" t="str"/>
      <x:c r="K259" t="str">
        <x:v>6</x:v>
      </x:c>
      <x:c r="L259" t="str">
        <x:v>$61.7625</x:v>
      </x:c>
      <x:c r="M259" t="str">
        <x:v>$64.8625</x:v>
      </x:c>
      <x:c r="N259" t="str">
        <x:v>$68.1000</x:v>
      </x:c>
      <x:c r="O259" t="str">
        <x:v>$71.5125</x:v>
      </x:c>
      <x:c r="P259" t="str">
        <x:v>$75.0625</x:v>
      </x:c>
      <x:c r="Q259" t="str">
        <x:v>$76.9500</x:v>
      </x:c>
      <x:c r="R259" t="str">
        <x:v>$78.8500</x:v>
      </x:c>
      <x:c r="S259" t="str">
        <x:v>$80.8250</x:v>
      </x:c>
      <x:c r="T259" t="str"/>
      <x:c r="U259" t="str"/>
      <x:c r="V259" t="str"/>
      <x:c r="W259" t="str"/>
      <x:c r="X259" t="str"/>
      <x:c r="Y259" t="str"/>
      <x:c r="Z259" t="str"/>
      <x:c r="AA259" t="str"/>
      <x:c r="AB259" t="str"/>
      <x:c r="AC259" t="str"/>
      <x:c r="AD259" t="str"/>
      <x:c r="AE259" t="str"/>
      <x:c r="AF259" t="str">
        <x:f>D259&amp;"|"&amp;UPPER(G259)&amp;"|"&amp;SUBSTITUTE(C259,"/","-")</x:f>
        <x:v>1231|SFMTA|2024-01-06</x:v>
      </x:c>
    </x:row>
    <x:row r="260">
      <x:c r="A260" s="22" t="n">
        <x:v>28114</x:v>
      </x:c>
      <x:c r="B260" t="str">
        <x:v>FY24-25</x:v>
      </x:c>
      <x:c r="C260" t="str">
        <x:v>2024/07/01</x:v>
      </x:c>
      <x:c r="D260" t="str">
        <x:v>1231</x:v>
      </x:c>
      <x:c r="E260" t="str">
        <x:v>Equal Employment Opportunity Programs Senior Specialist</x:v>
      </x:c>
      <x:c r="F260" t="str">
        <x:v>022</x:v>
      </x:c>
      <x:c r="G260" t="str">
        <x:v>COMMN</x:v>
      </x:c>
      <x:c r="H260" t="str">
        <x:v>1231Z</x:v>
      </x:c>
      <x:c r="I260" t="str">
        <x:v>$5,015</x:v>
      </x:c>
      <x:c r="J260" t="str"/>
      <x:c r="K260" t="str">
        <x:v>6</x:v>
      </x:c>
      <x:c r="L260" t="str">
        <x:v>$62.6875</x:v>
      </x:c>
      <x:c r="M260" t="str">
        <x:v>$65.8375</x:v>
      </x:c>
      <x:c r="N260" t="str">
        <x:v>$69.1250</x:v>
      </x:c>
      <x:c r="O260" t="str">
        <x:v>$72.5875</x:v>
      </x:c>
      <x:c r="P260" t="str">
        <x:v>$76.1875</x:v>
      </x:c>
      <x:c r="Q260" t="str">
        <x:v>$78.1000</x:v>
      </x:c>
      <x:c r="R260" t="str">
        <x:v>$80.0375</x:v>
      </x:c>
      <x:c r="S260" t="str">
        <x:v>$82.0375</x:v>
      </x:c>
      <x:c r="T260" t="str"/>
      <x:c r="U260" t="str"/>
      <x:c r="V260" t="str"/>
      <x:c r="W260" t="str"/>
      <x:c r="X260" t="str"/>
      <x:c r="Y260" t="str"/>
      <x:c r="Z260" t="str"/>
      <x:c r="AA260" t="str"/>
      <x:c r="AB260" t="str"/>
      <x:c r="AC260" t="str"/>
      <x:c r="AD260" t="str"/>
      <x:c r="AE260" t="str"/>
      <x:c r="AF260" t="str">
        <x:f>D260&amp;"|"&amp;UPPER(G260)&amp;"|"&amp;SUBSTITUTE(C260,"/","-")</x:f>
        <x:v>1231|COMMN|2024-07-01</x:v>
      </x:c>
    </x:row>
    <x:row r="261">
      <x:c r="A261" s="22" t="n">
        <x:v>28115</x:v>
      </x:c>
      <x:c r="B261" t="str">
        <x:v>FY24-25</x:v>
      </x:c>
      <x:c r="C261" t="str">
        <x:v>2024/07/01</x:v>
      </x:c>
      <x:c r="D261" t="str">
        <x:v>1231</x:v>
      </x:c>
      <x:c r="E261" t="str">
        <x:v>Equal Employment Opportunity Programs Senior Specialist</x:v>
      </x:c>
      <x:c r="F261" t="str">
        <x:v>022</x:v>
      </x:c>
      <x:c r="G261" t="str">
        <x:v>SFMTA</x:v>
      </x:c>
      <x:c r="H261" t="str">
        <x:v>1231Z</x:v>
      </x:c>
      <x:c r="I261" t="str">
        <x:v>$5,015</x:v>
      </x:c>
      <x:c r="J261" t="str"/>
      <x:c r="K261" t="str">
        <x:v>6</x:v>
      </x:c>
      <x:c r="L261" t="str">
        <x:v>$62.6875</x:v>
      </x:c>
      <x:c r="M261" t="str">
        <x:v>$65.8375</x:v>
      </x:c>
      <x:c r="N261" t="str">
        <x:v>$69.1250</x:v>
      </x:c>
      <x:c r="O261" t="str">
        <x:v>$72.5875</x:v>
      </x:c>
      <x:c r="P261" t="str">
        <x:v>$76.1875</x:v>
      </x:c>
      <x:c r="Q261" t="str">
        <x:v>$78.1000</x:v>
      </x:c>
      <x:c r="R261" t="str">
        <x:v>$80.0375</x:v>
      </x:c>
      <x:c r="S261" t="str">
        <x:v>$82.0375</x:v>
      </x:c>
      <x:c r="T261" t="str"/>
      <x:c r="U261" t="str"/>
      <x:c r="V261" t="str"/>
      <x:c r="W261" t="str"/>
      <x:c r="X261" t="str"/>
      <x:c r="Y261" t="str"/>
      <x:c r="Z261" t="str"/>
      <x:c r="AA261" t="str"/>
      <x:c r="AB261" t="str"/>
      <x:c r="AC261" t="str"/>
      <x:c r="AD261" t="str"/>
      <x:c r="AE261" t="str"/>
      <x:c r="AF261" t="str">
        <x:f>D261&amp;"|"&amp;UPPER(G261)&amp;"|"&amp;SUBSTITUTE(C261,"/","-")</x:f>
        <x:v>1231|SFMTA|2024-07-01</x:v>
      </x:c>
    </x:row>
    <x:row r="262">
      <x:c r="A262" s="22" t="n">
        <x:v>29820</x:v>
      </x:c>
      <x:c r="B262" t="str">
        <x:v>FY24-25</x:v>
      </x:c>
      <x:c r="C262" t="str">
        <x:v>2025/01/04</x:v>
      </x:c>
      <x:c r="D262" t="str">
        <x:v>1231</x:v>
      </x:c>
      <x:c r="E262" t="str">
        <x:v>Equal Employment Opportunity Programs Senior Specialist</x:v>
      </x:c>
      <x:c r="F262" t="str">
        <x:v>022</x:v>
      </x:c>
      <x:c r="G262" t="str">
        <x:v>COMMN</x:v>
      </x:c>
      <x:c r="H262" t="str">
        <x:v>1231A</x:v>
      </x:c>
      <x:c r="I262" t="str">
        <x:v>$5,090</x:v>
      </x:c>
      <x:c r="J262" t="str"/>
      <x:c r="K262" t="str">
        <x:v>6</x:v>
      </x:c>
      <x:c r="L262" t="str">
        <x:v>$63.6250</x:v>
      </x:c>
      <x:c r="M262" t="str">
        <x:v>$66.8250</x:v>
      </x:c>
      <x:c r="N262" t="str">
        <x:v>$70.1625</x:v>
      </x:c>
      <x:c r="O262" t="str">
        <x:v>$73.6750</x:v>
      </x:c>
      <x:c r="P262" t="str">
        <x:v>$77.3250</x:v>
      </x:c>
      <x:c r="Q262" t="str">
        <x:v>$79.2750</x:v>
      </x:c>
      <x:c r="R262" t="str">
        <x:v>$81.2375</x:v>
      </x:c>
      <x:c r="S262" t="str">
        <x:v>$83.2625</x:v>
      </x:c>
      <x:c r="T262" t="str"/>
      <x:c r="U262" t="str"/>
      <x:c r="V262" t="str"/>
      <x:c r="W262" t="str"/>
      <x:c r="X262" t="str"/>
      <x:c r="Y262" t="str"/>
      <x:c r="Z262" t="str"/>
      <x:c r="AA262" t="str"/>
      <x:c r="AB262" t="str"/>
      <x:c r="AC262" t="str"/>
      <x:c r="AD262" t="str"/>
      <x:c r="AE262" t="str"/>
      <x:c r="AF262" t="str">
        <x:f>D262&amp;"|"&amp;UPPER(G262)&amp;"|"&amp;SUBSTITUTE(C262,"/","-")</x:f>
        <x:v>1231|COMMN|2025-01-04</x:v>
      </x:c>
    </x:row>
    <x:row r="263">
      <x:c r="A263" s="22" t="n">
        <x:v>29821</x:v>
      </x:c>
      <x:c r="B263" t="str">
        <x:v>FY24-25</x:v>
      </x:c>
      <x:c r="C263" t="str">
        <x:v>2025/01/04</x:v>
      </x:c>
      <x:c r="D263" t="str">
        <x:v>1231</x:v>
      </x:c>
      <x:c r="E263" t="str">
        <x:v>Equal Employment Opportunity Programs Senior Specialist</x:v>
      </x:c>
      <x:c r="F263" t="str">
        <x:v>022</x:v>
      </x:c>
      <x:c r="G263" t="str">
        <x:v>SFMTA</x:v>
      </x:c>
      <x:c r="H263" t="str">
        <x:v>1231A</x:v>
      </x:c>
      <x:c r="I263" t="str">
        <x:v>$5,090</x:v>
      </x:c>
      <x:c r="J263" t="str"/>
      <x:c r="K263" t="str">
        <x:v>6</x:v>
      </x:c>
      <x:c r="L263" t="str">
        <x:v>$63.6250</x:v>
      </x:c>
      <x:c r="M263" t="str">
        <x:v>$66.8250</x:v>
      </x:c>
      <x:c r="N263" t="str">
        <x:v>$70.1625</x:v>
      </x:c>
      <x:c r="O263" t="str">
        <x:v>$73.6750</x:v>
      </x:c>
      <x:c r="P263" t="str">
        <x:v>$77.3250</x:v>
      </x:c>
      <x:c r="Q263" t="str">
        <x:v>$79.2750</x:v>
      </x:c>
      <x:c r="R263" t="str">
        <x:v>$81.2375</x:v>
      </x:c>
      <x:c r="S263" t="str">
        <x:v>$83.2625</x:v>
      </x:c>
      <x:c r="T263" t="str"/>
      <x:c r="U263" t="str"/>
      <x:c r="V263" t="str"/>
      <x:c r="W263" t="str"/>
      <x:c r="X263" t="str"/>
      <x:c r="Y263" t="str"/>
      <x:c r="Z263" t="str"/>
      <x:c r="AA263" t="str"/>
      <x:c r="AB263" t="str"/>
      <x:c r="AC263" t="str"/>
      <x:c r="AD263" t="str"/>
      <x:c r="AE263" t="str"/>
      <x:c r="AF263" t="str">
        <x:f>D263&amp;"|"&amp;UPPER(G263)&amp;"|"&amp;SUBSTITUTE(C263,"/","-")</x:f>
        <x:v>1231|SFMTA|2025-01-04</x:v>
      </x:c>
    </x:row>
    <x:row r="264">
      <x:c r="A264" s="22" t="n">
        <x:v>31533</x:v>
      </x:c>
      <x:c r="B264" t="str">
        <x:v>FY25-26</x:v>
      </x:c>
      <x:c r="C264" t="str">
        <x:v>2025/07/01</x:v>
      </x:c>
      <x:c r="D264" t="str">
        <x:v>1231</x:v>
      </x:c>
      <x:c r="E264" t="str">
        <x:v>EEO Senior Specialist</x:v>
      </x:c>
      <x:c r="F264" t="str">
        <x:v>022</x:v>
      </x:c>
      <x:c r="G264" t="str">
        <x:v>COMMN</x:v>
      </x:c>
      <x:c r="H264" t="str">
        <x:v>1231B</x:v>
      </x:c>
      <x:c r="I264" t="str">
        <x:v>$5,192</x:v>
      </x:c>
      <x:c r="J264" t="str"/>
      <x:c r="K264" t="str">
        <x:v>6</x:v>
      </x:c>
      <x:c r="L264" t="str">
        <x:v>$64.9000</x:v>
      </x:c>
      <x:c r="M264" t="str">
        <x:v>$68.1625</x:v>
      </x:c>
      <x:c r="N264" t="str">
        <x:v>$71.5750</x:v>
      </x:c>
      <x:c r="O264" t="str">
        <x:v>$75.1500</x:v>
      </x:c>
      <x:c r="P264" t="str">
        <x:v>$78.8750</x:v>
      </x:c>
      <x:c r="Q264" t="str">
        <x:v>$80.8625</x:v>
      </x:c>
      <x:c r="R264" t="str">
        <x:v>$82.8750</x:v>
      </x:c>
      <x:c r="S264" t="str">
        <x:v>$84.9375</x:v>
      </x:c>
      <x:c r="T264" t="str"/>
      <x:c r="U264" t="str"/>
      <x:c r="V264" t="str"/>
      <x:c r="W264" t="str"/>
      <x:c r="X264" t="str"/>
      <x:c r="Y264" t="str"/>
      <x:c r="Z264" t="str"/>
      <x:c r="AA264" t="str"/>
      <x:c r="AB264" t="str"/>
      <x:c r="AC264" t="str"/>
      <x:c r="AD264" t="str"/>
      <x:c r="AE264" t="str"/>
      <x:c r="AF264" t="str">
        <x:f>D264&amp;"|"&amp;UPPER(G264)&amp;"|"&amp;SUBSTITUTE(C264,"/","-")</x:f>
        <x:v>1231|COMMN|2025-07-01</x:v>
      </x:c>
    </x:row>
    <x:row r="265">
      <x:c r="A265" s="22" t="n">
        <x:v>31534</x:v>
      </x:c>
      <x:c r="B265" t="str">
        <x:v>FY25-26</x:v>
      </x:c>
      <x:c r="C265" t="str">
        <x:v>2025/07/01</x:v>
      </x:c>
      <x:c r="D265" t="str">
        <x:v>1231</x:v>
      </x:c>
      <x:c r="E265" t="str">
        <x:v>EEO Senior Specialist</x:v>
      </x:c>
      <x:c r="F265" t="str">
        <x:v>022</x:v>
      </x:c>
      <x:c r="G265" t="str">
        <x:v>SFMTA</x:v>
      </x:c>
      <x:c r="H265" t="str">
        <x:v>1231B</x:v>
      </x:c>
      <x:c r="I265" t="str">
        <x:v>$5,192</x:v>
      </x:c>
      <x:c r="J265" t="str"/>
      <x:c r="K265" t="str">
        <x:v>6</x:v>
      </x:c>
      <x:c r="L265" t="str">
        <x:v>$64.9000</x:v>
      </x:c>
      <x:c r="M265" t="str">
        <x:v>$68.1625</x:v>
      </x:c>
      <x:c r="N265" t="str">
        <x:v>$71.5750</x:v>
      </x:c>
      <x:c r="O265" t="str">
        <x:v>$75.1500</x:v>
      </x:c>
      <x:c r="P265" t="str">
        <x:v>$78.8750</x:v>
      </x:c>
      <x:c r="Q265" t="str">
        <x:v>$80.8625</x:v>
      </x:c>
      <x:c r="R265" t="str">
        <x:v>$82.8750</x:v>
      </x:c>
      <x:c r="S265" t="str">
        <x:v>$84.9375</x:v>
      </x:c>
      <x:c r="T265" t="str"/>
      <x:c r="U265" t="str"/>
      <x:c r="V265" t="str"/>
      <x:c r="W265" t="str"/>
      <x:c r="X265" t="str"/>
      <x:c r="Y265" t="str"/>
      <x:c r="Z265" t="str"/>
      <x:c r="AA265" t="str"/>
      <x:c r="AB265" t="str"/>
      <x:c r="AC265" t="str"/>
      <x:c r="AD265" t="str"/>
      <x:c r="AE265" t="str"/>
      <x:c r="AF265" t="str">
        <x:f>D265&amp;"|"&amp;UPPER(G265)&amp;"|"&amp;SUBSTITUTE(C265,"/","-")</x:f>
        <x:v>1231|SFMTA|2025-07-01</x:v>
      </x:c>
    </x:row>
    <x:row r="266">
      <x:c r="A266" s="22" t="n">
        <x:v>33218</x:v>
      </x:c>
      <x:c r="B266" t="str">
        <x:v>FY25-26</x:v>
      </x:c>
      <x:c r="C266" t="str">
        <x:v>2026/01/03</x:v>
      </x:c>
      <x:c r="D266" t="str">
        <x:v>1231</x:v>
      </x:c>
      <x:c r="E266" t="str">
        <x:v>EEO Senior Specialist</x:v>
      </x:c>
      <x:c r="F266" t="str">
        <x:v>022</x:v>
      </x:c>
      <x:c r="G266" t="str">
        <x:v>COMMN</x:v>
      </x:c>
      <x:c r="H266" t="str">
        <x:v>1231C</x:v>
      </x:c>
      <x:c r="I266" t="str">
        <x:v>$5,270</x:v>
      </x:c>
      <x:c r="J266" t="str"/>
      <x:c r="K266" t="str">
        <x:v>6</x:v>
      </x:c>
      <x:c r="L266" t="str">
        <x:v>$65.8750</x:v>
      </x:c>
      <x:c r="M266" t="str">
        <x:v>$69.1875</x:v>
      </x:c>
      <x:c r="N266" t="str">
        <x:v>$72.6500</x:v>
      </x:c>
      <x:c r="O266" t="str">
        <x:v>$76.2750</x:v>
      </x:c>
      <x:c r="P266" t="str">
        <x:v>$80.0625</x:v>
      </x:c>
      <x:c r="Q266" t="str">
        <x:v>$82.0750</x:v>
      </x:c>
      <x:c r="R266" t="str">
        <x:v>$84.1125</x:v>
      </x:c>
      <x:c r="S266" t="str">
        <x:v>$86.2125</x:v>
      </x:c>
      <x:c r="T266" t="str"/>
      <x:c r="U266" t="str"/>
      <x:c r="V266" t="str"/>
      <x:c r="W266" t="str"/>
      <x:c r="X266" t="str"/>
      <x:c r="Y266" t="str"/>
      <x:c r="Z266" t="str"/>
      <x:c r="AA266" t="str"/>
      <x:c r="AB266" t="str"/>
      <x:c r="AC266" t="str"/>
      <x:c r="AD266" t="str"/>
      <x:c r="AE266" t="str"/>
      <x:c r="AF266" t="str">
        <x:f>D266&amp;"|"&amp;UPPER(G266)&amp;"|"&amp;SUBSTITUTE(C266,"/","-")</x:f>
        <x:v>1231|COMMN|2026-01-03</x:v>
      </x:c>
    </x:row>
    <x:row r="267">
      <x:c r="A267" s="22" t="n">
        <x:v>33219</x:v>
      </x:c>
      <x:c r="B267" t="str">
        <x:v>FY25-26</x:v>
      </x:c>
      <x:c r="C267" t="str">
        <x:v>2026/01/03</x:v>
      </x:c>
      <x:c r="D267" t="str">
        <x:v>1231</x:v>
      </x:c>
      <x:c r="E267" t="str">
        <x:v>EEO Senior Specialist</x:v>
      </x:c>
      <x:c r="F267" t="str">
        <x:v>022</x:v>
      </x:c>
      <x:c r="G267" t="str">
        <x:v>SFMTA</x:v>
      </x:c>
      <x:c r="H267" t="str">
        <x:v>1231C</x:v>
      </x:c>
      <x:c r="I267" t="str">
        <x:v>$5,270</x:v>
      </x:c>
      <x:c r="J267" t="str"/>
      <x:c r="K267" t="str">
        <x:v>6</x:v>
      </x:c>
      <x:c r="L267" t="str">
        <x:v>$65.8750</x:v>
      </x:c>
      <x:c r="M267" t="str">
        <x:v>$69.1875</x:v>
      </x:c>
      <x:c r="N267" t="str">
        <x:v>$72.6500</x:v>
      </x:c>
      <x:c r="O267" t="str">
        <x:v>$76.2750</x:v>
      </x:c>
      <x:c r="P267" t="str">
        <x:v>$80.0625</x:v>
      </x:c>
      <x:c r="Q267" t="str">
        <x:v>$82.0750</x:v>
      </x:c>
      <x:c r="R267" t="str">
        <x:v>$84.1125</x:v>
      </x:c>
      <x:c r="S267" t="str">
        <x:v>$86.2125</x:v>
      </x:c>
      <x:c r="T267" t="str"/>
      <x:c r="U267" t="str"/>
      <x:c r="V267" t="str"/>
      <x:c r="W267" t="str"/>
      <x:c r="X267" t="str"/>
      <x:c r="Y267" t="str"/>
      <x:c r="Z267" t="str"/>
      <x:c r="AA267" t="str"/>
      <x:c r="AB267" t="str"/>
      <x:c r="AC267" t="str"/>
      <x:c r="AD267" t="str"/>
      <x:c r="AE267" t="str"/>
      <x:c r="AF267" t="str">
        <x:f>D267&amp;"|"&amp;UPPER(G267)&amp;"|"&amp;SUBSTITUTE(C267,"/","-")</x:f>
        <x:v>1231|SFMTA|2026-01-03</x:v>
      </x:c>
    </x:row>
    <x:row r="268">
      <x:c r="A268" s="22" t="n">
        <x:v>26380</x:v>
      </x:c>
      <x:c r="B268" t="str">
        <x:v>FY23-24</x:v>
      </x:c>
      <x:c r="C268" t="str">
        <x:v>2024/01/06</x:v>
      </x:c>
      <x:c r="D268" t="str">
        <x:v>1233</x:v>
      </x:c>
      <x:c r="E268" t="str">
        <x:v>Equal Employment Opportunity Programs Specialist</x:v>
      </x:c>
      <x:c r="F268" t="str">
        <x:v>022</x:v>
      </x:c>
      <x:c r="G268" t="str">
        <x:v>COMMN</x:v>
      </x:c>
      <x:c r="H268" t="str">
        <x:v>1233Y</x:v>
      </x:c>
      <x:c r="I268" t="str">
        <x:v>$4,232</x:v>
      </x:c>
      <x:c r="J268" t="str"/>
      <x:c r="K268" t="str"/>
      <x:c r="L268" t="str">
        <x:v>$52.9000</x:v>
      </x:c>
      <x:c r="M268" t="str">
        <x:v>$55.5875</x:v>
      </x:c>
      <x:c r="N268" t="str">
        <x:v>$58.3750</x:v>
      </x:c>
      <x:c r="O268" t="str">
        <x:v>$61.3125</x:v>
      </x:c>
      <x:c r="P268" t="str">
        <x:v>$64.3500</x:v>
      </x:c>
      <x:c r="Q268" t="str"/>
      <x:c r="R268" t="str"/>
      <x:c r="S268" t="str"/>
      <x:c r="T268" t="str"/>
      <x:c r="U268" t="str"/>
      <x:c r="V268" t="str"/>
      <x:c r="W268" t="str"/>
      <x:c r="X268" t="str"/>
      <x:c r="Y268" t="str"/>
      <x:c r="Z268" t="str"/>
      <x:c r="AA268" t="str"/>
      <x:c r="AB268" t="str"/>
      <x:c r="AC268" t="str"/>
      <x:c r="AD268" t="str"/>
      <x:c r="AE268" t="str"/>
      <x:c r="AF268" t="str">
        <x:f>D268&amp;"|"&amp;UPPER(G268)&amp;"|"&amp;SUBSTITUTE(C268,"/","-")</x:f>
        <x:v>1233|COMMN|2024-01-06</x:v>
      </x:c>
    </x:row>
    <x:row r="269">
      <x:c r="A269" s="22" t="n">
        <x:v>26381</x:v>
      </x:c>
      <x:c r="B269" t="str">
        <x:v>FY23-24</x:v>
      </x:c>
      <x:c r="C269" t="str">
        <x:v>2024/01/06</x:v>
      </x:c>
      <x:c r="D269" t="str">
        <x:v>1233</x:v>
      </x:c>
      <x:c r="E269" t="str">
        <x:v>Equal Employment Opportunity Programs Specialist</x:v>
      </x:c>
      <x:c r="F269" t="str">
        <x:v>022</x:v>
      </x:c>
      <x:c r="G269" t="str">
        <x:v>SFMTA</x:v>
      </x:c>
      <x:c r="H269" t="str">
        <x:v>1233Y</x:v>
      </x:c>
      <x:c r="I269" t="str">
        <x:v>$4,232</x:v>
      </x:c>
      <x:c r="J269" t="str"/>
      <x:c r="K269" t="str"/>
      <x:c r="L269" t="str">
        <x:v>$52.9000</x:v>
      </x:c>
      <x:c r="M269" t="str">
        <x:v>$55.5875</x:v>
      </x:c>
      <x:c r="N269" t="str">
        <x:v>$58.3750</x:v>
      </x:c>
      <x:c r="O269" t="str">
        <x:v>$61.3125</x:v>
      </x:c>
      <x:c r="P269" t="str">
        <x:v>$64.3500</x:v>
      </x:c>
      <x:c r="Q269" t="str"/>
      <x:c r="R269" t="str"/>
      <x:c r="S269" t="str"/>
      <x:c r="T269" t="str"/>
      <x:c r="U269" t="str"/>
      <x:c r="V269" t="str"/>
      <x:c r="W269" t="str"/>
      <x:c r="X269" t="str"/>
      <x:c r="Y269" t="str"/>
      <x:c r="Z269" t="str"/>
      <x:c r="AA269" t="str"/>
      <x:c r="AB269" t="str"/>
      <x:c r="AC269" t="str"/>
      <x:c r="AD269" t="str"/>
      <x:c r="AE269" t="str"/>
      <x:c r="AF269" t="str">
        <x:f>D269&amp;"|"&amp;UPPER(G269)&amp;"|"&amp;SUBSTITUTE(C269,"/","-")</x:f>
        <x:v>1233|SFMTA|2024-01-06</x:v>
      </x:c>
    </x:row>
    <x:row r="270">
      <x:c r="A270" s="22" t="n">
        <x:v>28118</x:v>
      </x:c>
      <x:c r="B270" t="str">
        <x:v>FY24-25</x:v>
      </x:c>
      <x:c r="C270" t="str">
        <x:v>2024/07/01</x:v>
      </x:c>
      <x:c r="D270" t="str">
        <x:v>1233</x:v>
      </x:c>
      <x:c r="E270" t="str">
        <x:v>Equal Employment Opportunity Programs Specialist</x:v>
      </x:c>
      <x:c r="F270" t="str">
        <x:v>022</x:v>
      </x:c>
      <x:c r="G270" t="str">
        <x:v>COMMN</x:v>
      </x:c>
      <x:c r="H270" t="str">
        <x:v>1233Z</x:v>
      </x:c>
      <x:c r="I270" t="str">
        <x:v>$4,295</x:v>
      </x:c>
      <x:c r="J270" t="str"/>
      <x:c r="K270" t="str"/>
      <x:c r="L270" t="str">
        <x:v>$53.6875</x:v>
      </x:c>
      <x:c r="M270" t="str">
        <x:v>$56.4250</x:v>
      </x:c>
      <x:c r="N270" t="str">
        <x:v>$59.2500</x:v>
      </x:c>
      <x:c r="O270" t="str">
        <x:v>$62.2375</x:v>
      </x:c>
      <x:c r="P270" t="str">
        <x:v>$65.3125</x:v>
      </x:c>
      <x:c r="Q270" t="str"/>
      <x:c r="R270" t="str"/>
      <x:c r="S270" t="str"/>
      <x:c r="T270" t="str"/>
      <x:c r="U270" t="str"/>
      <x:c r="V270" t="str"/>
      <x:c r="W270" t="str"/>
      <x:c r="X270" t="str"/>
      <x:c r="Y270" t="str"/>
      <x:c r="Z270" t="str"/>
      <x:c r="AA270" t="str"/>
      <x:c r="AB270" t="str"/>
      <x:c r="AC270" t="str"/>
      <x:c r="AD270" t="str"/>
      <x:c r="AE270" t="str"/>
      <x:c r="AF270" t="str">
        <x:f>D270&amp;"|"&amp;UPPER(G270)&amp;"|"&amp;SUBSTITUTE(C270,"/","-")</x:f>
        <x:v>1233|COMMN|2024-07-01</x:v>
      </x:c>
    </x:row>
    <x:row r="271">
      <x:c r="A271" s="22" t="n">
        <x:v>28119</x:v>
      </x:c>
      <x:c r="B271" t="str">
        <x:v>FY24-25</x:v>
      </x:c>
      <x:c r="C271" t="str">
        <x:v>2024/07/01</x:v>
      </x:c>
      <x:c r="D271" t="str">
        <x:v>1233</x:v>
      </x:c>
      <x:c r="E271" t="str">
        <x:v>Equal Employment Opportunity Programs Specialist</x:v>
      </x:c>
      <x:c r="F271" t="str">
        <x:v>022</x:v>
      </x:c>
      <x:c r="G271" t="str">
        <x:v>SFMTA</x:v>
      </x:c>
      <x:c r="H271" t="str">
        <x:v>1233Z</x:v>
      </x:c>
      <x:c r="I271" t="str">
        <x:v>$4,295</x:v>
      </x:c>
      <x:c r="J271" t="str"/>
      <x:c r="K271" t="str"/>
      <x:c r="L271" t="str">
        <x:v>$53.6875</x:v>
      </x:c>
      <x:c r="M271" t="str">
        <x:v>$56.4250</x:v>
      </x:c>
      <x:c r="N271" t="str">
        <x:v>$59.2500</x:v>
      </x:c>
      <x:c r="O271" t="str">
        <x:v>$62.2375</x:v>
      </x:c>
      <x:c r="P271" t="str">
        <x:v>$65.3125</x:v>
      </x:c>
      <x:c r="Q271" t="str"/>
      <x:c r="R271" t="str"/>
      <x:c r="S271" t="str"/>
      <x:c r="T271" t="str"/>
      <x:c r="U271" t="str"/>
      <x:c r="V271" t="str"/>
      <x:c r="W271" t="str"/>
      <x:c r="X271" t="str"/>
      <x:c r="Y271" t="str"/>
      <x:c r="Z271" t="str"/>
      <x:c r="AA271" t="str"/>
      <x:c r="AB271" t="str"/>
      <x:c r="AC271" t="str"/>
      <x:c r="AD271" t="str"/>
      <x:c r="AE271" t="str"/>
      <x:c r="AF271" t="str">
        <x:f>D271&amp;"|"&amp;UPPER(G271)&amp;"|"&amp;SUBSTITUTE(C271,"/","-")</x:f>
        <x:v>1233|SFMTA|2024-07-01</x:v>
      </x:c>
    </x:row>
    <x:row r="272">
      <x:c r="A272" s="22" t="n">
        <x:v>29824</x:v>
      </x:c>
      <x:c r="B272" t="str">
        <x:v>FY24-25</x:v>
      </x:c>
      <x:c r="C272" t="str">
        <x:v>2025/01/04</x:v>
      </x:c>
      <x:c r="D272" t="str">
        <x:v>1233</x:v>
      </x:c>
      <x:c r="E272" t="str">
        <x:v>Equal Employment Opportunity Programs Specialist</x:v>
      </x:c>
      <x:c r="F272" t="str">
        <x:v>022</x:v>
      </x:c>
      <x:c r="G272" t="str">
        <x:v>COMMN</x:v>
      </x:c>
      <x:c r="H272" t="str">
        <x:v>1233A</x:v>
      </x:c>
      <x:c r="I272" t="str">
        <x:v>$4,359</x:v>
      </x:c>
      <x:c r="J272" t="str"/>
      <x:c r="K272" t="str"/>
      <x:c r="L272" t="str">
        <x:v>$54.4875</x:v>
      </x:c>
      <x:c r="M272" t="str">
        <x:v>$57.2750</x:v>
      </x:c>
      <x:c r="N272" t="str">
        <x:v>$60.1375</x:v>
      </x:c>
      <x:c r="O272" t="str">
        <x:v>$63.1750</x:v>
      </x:c>
      <x:c r="P272" t="str">
        <x:v>$66.2875</x:v>
      </x:c>
      <x:c r="Q272" t="str"/>
      <x:c r="R272" t="str"/>
      <x:c r="S272" t="str"/>
      <x:c r="T272" t="str"/>
      <x:c r="U272" t="str"/>
      <x:c r="V272" t="str"/>
      <x:c r="W272" t="str"/>
      <x:c r="X272" t="str"/>
      <x:c r="Y272" t="str"/>
      <x:c r="Z272" t="str"/>
      <x:c r="AA272" t="str"/>
      <x:c r="AB272" t="str"/>
      <x:c r="AC272" t="str"/>
      <x:c r="AD272" t="str"/>
      <x:c r="AE272" t="str"/>
      <x:c r="AF272" t="str">
        <x:f>D272&amp;"|"&amp;UPPER(G272)&amp;"|"&amp;SUBSTITUTE(C272,"/","-")</x:f>
        <x:v>1233|COMMN|2025-01-04</x:v>
      </x:c>
    </x:row>
    <x:row r="273">
      <x:c r="A273" s="22" t="n">
        <x:v>29825</x:v>
      </x:c>
      <x:c r="B273" t="str">
        <x:v>FY24-25</x:v>
      </x:c>
      <x:c r="C273" t="str">
        <x:v>2025/01/04</x:v>
      </x:c>
      <x:c r="D273" t="str">
        <x:v>1233</x:v>
      </x:c>
      <x:c r="E273" t="str">
        <x:v>Equal Employment Opportunity Programs Specialist</x:v>
      </x:c>
      <x:c r="F273" t="str">
        <x:v>022</x:v>
      </x:c>
      <x:c r="G273" t="str">
        <x:v>SFMTA</x:v>
      </x:c>
      <x:c r="H273" t="str">
        <x:v>1233A</x:v>
      </x:c>
      <x:c r="I273" t="str">
        <x:v>$4,359</x:v>
      </x:c>
      <x:c r="J273" t="str"/>
      <x:c r="K273" t="str"/>
      <x:c r="L273" t="str">
        <x:v>$54.4875</x:v>
      </x:c>
      <x:c r="M273" t="str">
        <x:v>$57.2750</x:v>
      </x:c>
      <x:c r="N273" t="str">
        <x:v>$60.1375</x:v>
      </x:c>
      <x:c r="O273" t="str">
        <x:v>$63.1750</x:v>
      </x:c>
      <x:c r="P273" t="str">
        <x:v>$66.2875</x:v>
      </x:c>
      <x:c r="Q273" t="str"/>
      <x:c r="R273" t="str"/>
      <x:c r="S273" t="str"/>
      <x:c r="T273" t="str"/>
      <x:c r="U273" t="str"/>
      <x:c r="V273" t="str"/>
      <x:c r="W273" t="str"/>
      <x:c r="X273" t="str"/>
      <x:c r="Y273" t="str"/>
      <x:c r="Z273" t="str"/>
      <x:c r="AA273" t="str"/>
      <x:c r="AB273" t="str"/>
      <x:c r="AC273" t="str"/>
      <x:c r="AD273" t="str"/>
      <x:c r="AE273" t="str"/>
      <x:c r="AF273" t="str">
        <x:f>D273&amp;"|"&amp;UPPER(G273)&amp;"|"&amp;SUBSTITUTE(C273,"/","-")</x:f>
        <x:v>1233|SFMTA|2025-01-04</x:v>
      </x:c>
    </x:row>
    <x:row r="274">
      <x:c r="A274" s="22" t="n">
        <x:v>31537</x:v>
      </x:c>
      <x:c r="B274" t="str">
        <x:v>FY25-26</x:v>
      </x:c>
      <x:c r="C274" t="str">
        <x:v>2025/07/01</x:v>
      </x:c>
      <x:c r="D274" t="str">
        <x:v>1233</x:v>
      </x:c>
      <x:c r="E274" t="str">
        <x:v>EEO Programs Specialist</x:v>
      </x:c>
      <x:c r="F274" t="str">
        <x:v>022</x:v>
      </x:c>
      <x:c r="G274" t="str">
        <x:v>COMMN</x:v>
      </x:c>
      <x:c r="H274" t="str">
        <x:v>1233B</x:v>
      </x:c>
      <x:c r="I274" t="str">
        <x:v>$4,447</x:v>
      </x:c>
      <x:c r="J274" t="str"/>
      <x:c r="K274" t="str"/>
      <x:c r="L274" t="str">
        <x:v>$55.5875</x:v>
      </x:c>
      <x:c r="M274" t="str">
        <x:v>$58.4250</x:v>
      </x:c>
      <x:c r="N274" t="str">
        <x:v>$61.3500</x:v>
      </x:c>
      <x:c r="O274" t="str">
        <x:v>$64.4500</x:v>
      </x:c>
      <x:c r="P274" t="str">
        <x:v>$67.6250</x:v>
      </x:c>
      <x:c r="Q274" t="str"/>
      <x:c r="R274" t="str"/>
      <x:c r="S274" t="str"/>
      <x:c r="T274" t="str"/>
      <x:c r="U274" t="str"/>
      <x:c r="V274" t="str"/>
      <x:c r="W274" t="str"/>
      <x:c r="X274" t="str"/>
      <x:c r="Y274" t="str"/>
      <x:c r="Z274" t="str"/>
      <x:c r="AA274" t="str"/>
      <x:c r="AB274" t="str"/>
      <x:c r="AC274" t="str"/>
      <x:c r="AD274" t="str"/>
      <x:c r="AE274" t="str"/>
      <x:c r="AF274" t="str">
        <x:f>D274&amp;"|"&amp;UPPER(G274)&amp;"|"&amp;SUBSTITUTE(C274,"/","-")</x:f>
        <x:v>1233|COMMN|2025-07-01</x:v>
      </x:c>
    </x:row>
    <x:row r="275">
      <x:c r="A275" s="22" t="n">
        <x:v>31538</x:v>
      </x:c>
      <x:c r="B275" t="str">
        <x:v>FY25-26</x:v>
      </x:c>
      <x:c r="C275" t="str">
        <x:v>2025/07/01</x:v>
      </x:c>
      <x:c r="D275" t="str">
        <x:v>1233</x:v>
      </x:c>
      <x:c r="E275" t="str">
        <x:v>EEO Programs Specialist</x:v>
      </x:c>
      <x:c r="F275" t="str">
        <x:v>022</x:v>
      </x:c>
      <x:c r="G275" t="str">
        <x:v>SFMTA</x:v>
      </x:c>
      <x:c r="H275" t="str">
        <x:v>1233B</x:v>
      </x:c>
      <x:c r="I275" t="str">
        <x:v>$4,447</x:v>
      </x:c>
      <x:c r="J275" t="str"/>
      <x:c r="K275" t="str"/>
      <x:c r="L275" t="str">
        <x:v>$55.5875</x:v>
      </x:c>
      <x:c r="M275" t="str">
        <x:v>$58.4250</x:v>
      </x:c>
      <x:c r="N275" t="str">
        <x:v>$61.3500</x:v>
      </x:c>
      <x:c r="O275" t="str">
        <x:v>$64.4500</x:v>
      </x:c>
      <x:c r="P275" t="str">
        <x:v>$67.6250</x:v>
      </x:c>
      <x:c r="Q275" t="str"/>
      <x:c r="R275" t="str"/>
      <x:c r="S275" t="str"/>
      <x:c r="T275" t="str"/>
      <x:c r="U275" t="str"/>
      <x:c r="V275" t="str"/>
      <x:c r="W275" t="str"/>
      <x:c r="X275" t="str"/>
      <x:c r="Y275" t="str"/>
      <x:c r="Z275" t="str"/>
      <x:c r="AA275" t="str"/>
      <x:c r="AB275" t="str"/>
      <x:c r="AC275" t="str"/>
      <x:c r="AD275" t="str"/>
      <x:c r="AE275" t="str"/>
      <x:c r="AF275" t="str">
        <x:f>D275&amp;"|"&amp;UPPER(G275)&amp;"|"&amp;SUBSTITUTE(C275,"/","-")</x:f>
        <x:v>1233|SFMTA|2025-07-01</x:v>
      </x:c>
    </x:row>
    <x:row r="276">
      <x:c r="A276" s="22" t="n">
        <x:v>33222</x:v>
      </x:c>
      <x:c r="B276" t="str">
        <x:v>FY25-26</x:v>
      </x:c>
      <x:c r="C276" t="str">
        <x:v>2026/01/03</x:v>
      </x:c>
      <x:c r="D276" t="str">
        <x:v>1233</x:v>
      </x:c>
      <x:c r="E276" t="str">
        <x:v>EEO Programs Specialist</x:v>
      </x:c>
      <x:c r="F276" t="str">
        <x:v>022</x:v>
      </x:c>
      <x:c r="G276" t="str">
        <x:v>COMMN</x:v>
      </x:c>
      <x:c r="H276" t="str">
        <x:v>1233C</x:v>
      </x:c>
      <x:c r="I276" t="str">
        <x:v>$4,514</x:v>
      </x:c>
      <x:c r="J276" t="str"/>
      <x:c r="K276" t="str"/>
      <x:c r="L276" t="str">
        <x:v>$56.4250</x:v>
      </x:c>
      <x:c r="M276" t="str">
        <x:v>$59.3000</x:v>
      </x:c>
      <x:c r="N276" t="str">
        <x:v>$62.2750</x:v>
      </x:c>
      <x:c r="O276" t="str">
        <x:v>$65.4125</x:v>
      </x:c>
      <x:c r="P276" t="str">
        <x:v>$68.6375</x:v>
      </x:c>
      <x:c r="Q276" t="str"/>
      <x:c r="R276" t="str"/>
      <x:c r="S276" t="str"/>
      <x:c r="T276" t="str"/>
      <x:c r="U276" t="str"/>
      <x:c r="V276" t="str"/>
      <x:c r="W276" t="str"/>
      <x:c r="X276" t="str"/>
      <x:c r="Y276" t="str"/>
      <x:c r="Z276" t="str"/>
      <x:c r="AA276" t="str"/>
      <x:c r="AB276" t="str"/>
      <x:c r="AC276" t="str"/>
      <x:c r="AD276" t="str"/>
      <x:c r="AE276" t="str"/>
      <x:c r="AF276" t="str">
        <x:f>D276&amp;"|"&amp;UPPER(G276)&amp;"|"&amp;SUBSTITUTE(C276,"/","-")</x:f>
        <x:v>1233|COMMN|2026-01-03</x:v>
      </x:c>
    </x:row>
    <x:row r="277">
      <x:c r="A277" s="22" t="n">
        <x:v>33223</x:v>
      </x:c>
      <x:c r="B277" t="str">
        <x:v>FY25-26</x:v>
      </x:c>
      <x:c r="C277" t="str">
        <x:v>2026/01/03</x:v>
      </x:c>
      <x:c r="D277" t="str">
        <x:v>1233</x:v>
      </x:c>
      <x:c r="E277" t="str">
        <x:v>EEO Programs Specialist</x:v>
      </x:c>
      <x:c r="F277" t="str">
        <x:v>022</x:v>
      </x:c>
      <x:c r="G277" t="str">
        <x:v>SFMTA</x:v>
      </x:c>
      <x:c r="H277" t="str">
        <x:v>1233C</x:v>
      </x:c>
      <x:c r="I277" t="str">
        <x:v>$4,514</x:v>
      </x:c>
      <x:c r="J277" t="str"/>
      <x:c r="K277" t="str"/>
      <x:c r="L277" t="str">
        <x:v>$56.4250</x:v>
      </x:c>
      <x:c r="M277" t="str">
        <x:v>$59.3000</x:v>
      </x:c>
      <x:c r="N277" t="str">
        <x:v>$62.2750</x:v>
      </x:c>
      <x:c r="O277" t="str">
        <x:v>$65.4125</x:v>
      </x:c>
      <x:c r="P277" t="str">
        <x:v>$68.6375</x:v>
      </x:c>
      <x:c r="Q277" t="str"/>
      <x:c r="R277" t="str"/>
      <x:c r="S277" t="str"/>
      <x:c r="T277" t="str"/>
      <x:c r="U277" t="str"/>
      <x:c r="V277" t="str"/>
      <x:c r="W277" t="str"/>
      <x:c r="X277" t="str"/>
      <x:c r="Y277" t="str"/>
      <x:c r="Z277" t="str"/>
      <x:c r="AA277" t="str"/>
      <x:c r="AB277" t="str"/>
      <x:c r="AC277" t="str"/>
      <x:c r="AD277" t="str"/>
      <x:c r="AE277" t="str"/>
      <x:c r="AF277" t="str">
        <x:f>D277&amp;"|"&amp;UPPER(G277)&amp;"|"&amp;SUBSTITUTE(C277,"/","-")</x:f>
        <x:v>1233|SFMTA|2026-01-03</x:v>
      </x:c>
    </x:row>
    <x:row r="278">
      <x:c r="A278" s="22" t="n">
        <x:v>26386</x:v>
      </x:c>
      <x:c r="B278" t="str">
        <x:v>FY23-24</x:v>
      </x:c>
      <x:c r="C278" t="str">
        <x:v>2024/01/06</x:v>
      </x:c>
      <x:c r="D278" t="str">
        <x:v>1246</x:v>
      </x:c>
      <x:c r="E278" t="str">
        <x:v>Principal Human Resources Analyst</x:v>
      </x:c>
      <x:c r="F278" t="str">
        <x:v>022</x:v>
      </x:c>
      <x:c r="G278" t="str">
        <x:v>COMMN</x:v>
      </x:c>
      <x:c r="H278" t="str">
        <x:v>1246Y</x:v>
      </x:c>
      <x:c r="I278" t="str">
        <x:v>$5,582</x:v>
      </x:c>
      <x:c r="J278" t="str"/>
      <x:c r="K278" t="str">
        <x:v>6</x:v>
      </x:c>
      <x:c r="L278" t="str">
        <x:v>$69.7750</x:v>
      </x:c>
      <x:c r="M278" t="str">
        <x:v>$73.2625</x:v>
      </x:c>
      <x:c r="N278" t="str">
        <x:v>$76.9250</x:v>
      </x:c>
      <x:c r="O278" t="str">
        <x:v>$80.7750</x:v>
      </x:c>
      <x:c r="P278" t="str">
        <x:v>$84.8125</x:v>
      </x:c>
      <x:c r="Q278" t="str">
        <x:v>$86.9375</x:v>
      </x:c>
      <x:c r="R278" t="str">
        <x:v>$89.0500</x:v>
      </x:c>
      <x:c r="S278" t="str">
        <x:v>$91.2875</x:v>
      </x:c>
      <x:c r="T278" t="str"/>
      <x:c r="U278" t="str"/>
      <x:c r="V278" t="str"/>
      <x:c r="W278" t="str"/>
      <x:c r="X278" t="str"/>
      <x:c r="Y278" t="str"/>
      <x:c r="Z278" t="str"/>
      <x:c r="AA278" t="str"/>
      <x:c r="AB278" t="str"/>
      <x:c r="AC278" t="str"/>
      <x:c r="AD278" t="str"/>
      <x:c r="AE278" t="str"/>
      <x:c r="AF278" t="str">
        <x:f>D278&amp;"|"&amp;UPPER(G278)&amp;"|"&amp;SUBSTITUTE(C278,"/","-")</x:f>
        <x:v>1246|COMMN|2024-01-06</x:v>
      </x:c>
    </x:row>
    <x:row r="279">
      <x:c r="A279" s="22" t="n">
        <x:v>26387</x:v>
      </x:c>
      <x:c r="B279" t="str">
        <x:v>FY23-24</x:v>
      </x:c>
      <x:c r="C279" t="str">
        <x:v>2024/01/06</x:v>
      </x:c>
      <x:c r="D279" t="str">
        <x:v>1246</x:v>
      </x:c>
      <x:c r="E279" t="str">
        <x:v>Principal Human Resources Analyst</x:v>
      </x:c>
      <x:c r="F279" t="str">
        <x:v>022</x:v>
      </x:c>
      <x:c r="G279" t="str">
        <x:v>SFMTA</x:v>
      </x:c>
      <x:c r="H279" t="str">
        <x:v>1246Y</x:v>
      </x:c>
      <x:c r="I279" t="str">
        <x:v>$5,582</x:v>
      </x:c>
      <x:c r="J279" t="str"/>
      <x:c r="K279" t="str">
        <x:v>6</x:v>
      </x:c>
      <x:c r="L279" t="str">
        <x:v>$69.7750</x:v>
      </x:c>
      <x:c r="M279" t="str">
        <x:v>$73.2625</x:v>
      </x:c>
      <x:c r="N279" t="str">
        <x:v>$76.9250</x:v>
      </x:c>
      <x:c r="O279" t="str">
        <x:v>$80.7750</x:v>
      </x:c>
      <x:c r="P279" t="str">
        <x:v>$84.8125</x:v>
      </x:c>
      <x:c r="Q279" t="str">
        <x:v>$86.9375</x:v>
      </x:c>
      <x:c r="R279" t="str">
        <x:v>$89.0500</x:v>
      </x:c>
      <x:c r="S279" t="str">
        <x:v>$91.2875</x:v>
      </x:c>
      <x:c r="T279" t="str"/>
      <x:c r="U279" t="str"/>
      <x:c r="V279" t="str"/>
      <x:c r="W279" t="str"/>
      <x:c r="X279" t="str"/>
      <x:c r="Y279" t="str"/>
      <x:c r="Z279" t="str"/>
      <x:c r="AA279" t="str"/>
      <x:c r="AB279" t="str"/>
      <x:c r="AC279" t="str"/>
      <x:c r="AD279" t="str"/>
      <x:c r="AE279" t="str"/>
      <x:c r="AF279" t="str">
        <x:f>D279&amp;"|"&amp;UPPER(G279)&amp;"|"&amp;SUBSTITUTE(C279,"/","-")</x:f>
        <x:v>1246|SFMTA|2024-01-06</x:v>
      </x:c>
    </x:row>
    <x:row r="280">
      <x:c r="A280" s="22" t="n">
        <x:v>28124</x:v>
      </x:c>
      <x:c r="B280" t="str">
        <x:v>FY24-25</x:v>
      </x:c>
      <x:c r="C280" t="str">
        <x:v>2024/07/01</x:v>
      </x:c>
      <x:c r="D280" t="str">
        <x:v>1246</x:v>
      </x:c>
      <x:c r="E280" t="str">
        <x:v>Principal Human Resources Analyst</x:v>
      </x:c>
      <x:c r="F280" t="str">
        <x:v>022</x:v>
      </x:c>
      <x:c r="G280" t="str">
        <x:v>COMMN</x:v>
      </x:c>
      <x:c r="H280" t="str">
        <x:v>1246Z</x:v>
      </x:c>
      <x:c r="I280" t="str">
        <x:v>$5,666</x:v>
      </x:c>
      <x:c r="J280" t="str"/>
      <x:c r="K280" t="str">
        <x:v>6</x:v>
      </x:c>
      <x:c r="L280" t="str">
        <x:v>$70.8250</x:v>
      </x:c>
      <x:c r="M280" t="str">
        <x:v>$74.3625</x:v>
      </x:c>
      <x:c r="N280" t="str">
        <x:v>$78.0750</x:v>
      </x:c>
      <x:c r="O280" t="str">
        <x:v>$81.9875</x:v>
      </x:c>
      <x:c r="P280" t="str">
        <x:v>$86.0875</x:v>
      </x:c>
      <x:c r="Q280" t="str">
        <x:v>$88.2375</x:v>
      </x:c>
      <x:c r="R280" t="str">
        <x:v>$90.3875</x:v>
      </x:c>
      <x:c r="S280" t="str">
        <x:v>$92.6625</x:v>
      </x:c>
      <x:c r="T280" t="str"/>
      <x:c r="U280" t="str"/>
      <x:c r="V280" t="str"/>
      <x:c r="W280" t="str"/>
      <x:c r="X280" t="str"/>
      <x:c r="Y280" t="str"/>
      <x:c r="Z280" t="str"/>
      <x:c r="AA280" t="str"/>
      <x:c r="AB280" t="str"/>
      <x:c r="AC280" t="str"/>
      <x:c r="AD280" t="str"/>
      <x:c r="AE280" t="str"/>
      <x:c r="AF280" t="str">
        <x:f>D280&amp;"|"&amp;UPPER(G280)&amp;"|"&amp;SUBSTITUTE(C280,"/","-")</x:f>
        <x:v>1246|COMMN|2024-07-01</x:v>
      </x:c>
    </x:row>
    <x:row r="281">
      <x:c r="A281" s="22" t="n">
        <x:v>28125</x:v>
      </x:c>
      <x:c r="B281" t="str">
        <x:v>FY24-25</x:v>
      </x:c>
      <x:c r="C281" t="str">
        <x:v>2024/07/01</x:v>
      </x:c>
      <x:c r="D281" t="str">
        <x:v>1246</x:v>
      </x:c>
      <x:c r="E281" t="str">
        <x:v>Principal Human Resources Analyst</x:v>
      </x:c>
      <x:c r="F281" t="str">
        <x:v>022</x:v>
      </x:c>
      <x:c r="G281" t="str">
        <x:v>SFMTA</x:v>
      </x:c>
      <x:c r="H281" t="str">
        <x:v>1246Z</x:v>
      </x:c>
      <x:c r="I281" t="str">
        <x:v>$5,666</x:v>
      </x:c>
      <x:c r="J281" t="str"/>
      <x:c r="K281" t="str">
        <x:v>6</x:v>
      </x:c>
      <x:c r="L281" t="str">
        <x:v>$70.8250</x:v>
      </x:c>
      <x:c r="M281" t="str">
        <x:v>$74.3625</x:v>
      </x:c>
      <x:c r="N281" t="str">
        <x:v>$78.0750</x:v>
      </x:c>
      <x:c r="O281" t="str">
        <x:v>$81.9875</x:v>
      </x:c>
      <x:c r="P281" t="str">
        <x:v>$86.0875</x:v>
      </x:c>
      <x:c r="Q281" t="str">
        <x:v>$88.2375</x:v>
      </x:c>
      <x:c r="R281" t="str">
        <x:v>$90.3875</x:v>
      </x:c>
      <x:c r="S281" t="str">
        <x:v>$92.6625</x:v>
      </x:c>
      <x:c r="T281" t="str"/>
      <x:c r="U281" t="str"/>
      <x:c r="V281" t="str"/>
      <x:c r="W281" t="str"/>
      <x:c r="X281" t="str"/>
      <x:c r="Y281" t="str"/>
      <x:c r="Z281" t="str"/>
      <x:c r="AA281" t="str"/>
      <x:c r="AB281" t="str"/>
      <x:c r="AC281" t="str"/>
      <x:c r="AD281" t="str"/>
      <x:c r="AE281" t="str"/>
      <x:c r="AF281" t="str">
        <x:f>D281&amp;"|"&amp;UPPER(G281)&amp;"|"&amp;SUBSTITUTE(C281,"/","-")</x:f>
        <x:v>1246|SFMTA|2024-07-01</x:v>
      </x:c>
    </x:row>
    <x:row r="282">
      <x:c r="A282" s="22" t="n">
        <x:v>29830</x:v>
      </x:c>
      <x:c r="B282" t="str">
        <x:v>FY24-25</x:v>
      </x:c>
      <x:c r="C282" t="str">
        <x:v>2025/01/04</x:v>
      </x:c>
      <x:c r="D282" t="str">
        <x:v>1246</x:v>
      </x:c>
      <x:c r="E282" t="str">
        <x:v>Principal Human Resources Analyst</x:v>
      </x:c>
      <x:c r="F282" t="str">
        <x:v>022</x:v>
      </x:c>
      <x:c r="G282" t="str">
        <x:v>COMMN</x:v>
      </x:c>
      <x:c r="H282" t="str">
        <x:v>1246A</x:v>
      </x:c>
      <x:c r="I282" t="str">
        <x:v>$5,751</x:v>
      </x:c>
      <x:c r="J282" t="str"/>
      <x:c r="K282" t="str">
        <x:v>6</x:v>
      </x:c>
      <x:c r="L282" t="str">
        <x:v>$71.8875</x:v>
      </x:c>
      <x:c r="M282" t="str">
        <x:v>$75.4750</x:v>
      </x:c>
      <x:c r="N282" t="str">
        <x:v>$79.2500</x:v>
      </x:c>
      <x:c r="O282" t="str">
        <x:v>$83.2125</x:v>
      </x:c>
      <x:c r="P282" t="str">
        <x:v>$87.3750</x:v>
      </x:c>
      <x:c r="Q282" t="str">
        <x:v>$89.5625</x:v>
      </x:c>
      <x:c r="R282" t="str">
        <x:v>$91.7375</x:v>
      </x:c>
      <x:c r="S282" t="str">
        <x:v>$94.0500</x:v>
      </x:c>
      <x:c r="T282" t="str"/>
      <x:c r="U282" t="str"/>
      <x:c r="V282" t="str"/>
      <x:c r="W282" t="str"/>
      <x:c r="X282" t="str"/>
      <x:c r="Y282" t="str"/>
      <x:c r="Z282" t="str"/>
      <x:c r="AA282" t="str"/>
      <x:c r="AB282" t="str"/>
      <x:c r="AC282" t="str"/>
      <x:c r="AD282" t="str"/>
      <x:c r="AE282" t="str"/>
      <x:c r="AF282" t="str">
        <x:f>D282&amp;"|"&amp;UPPER(G282)&amp;"|"&amp;SUBSTITUTE(C282,"/","-")</x:f>
        <x:v>1246|COMMN|2025-01-04</x:v>
      </x:c>
    </x:row>
    <x:row r="283">
      <x:c r="A283" s="22" t="n">
        <x:v>29831</x:v>
      </x:c>
      <x:c r="B283" t="str">
        <x:v>FY24-25</x:v>
      </x:c>
      <x:c r="C283" t="str">
        <x:v>2025/01/04</x:v>
      </x:c>
      <x:c r="D283" t="str">
        <x:v>1246</x:v>
      </x:c>
      <x:c r="E283" t="str">
        <x:v>Principal Human Resources Analyst</x:v>
      </x:c>
      <x:c r="F283" t="str">
        <x:v>022</x:v>
      </x:c>
      <x:c r="G283" t="str">
        <x:v>SFMTA</x:v>
      </x:c>
      <x:c r="H283" t="str">
        <x:v>1246A</x:v>
      </x:c>
      <x:c r="I283" t="str">
        <x:v>$5,751</x:v>
      </x:c>
      <x:c r="J283" t="str"/>
      <x:c r="K283" t="str">
        <x:v>6</x:v>
      </x:c>
      <x:c r="L283" t="str">
        <x:v>$71.8875</x:v>
      </x:c>
      <x:c r="M283" t="str">
        <x:v>$75.4750</x:v>
      </x:c>
      <x:c r="N283" t="str">
        <x:v>$79.2500</x:v>
      </x:c>
      <x:c r="O283" t="str">
        <x:v>$83.2125</x:v>
      </x:c>
      <x:c r="P283" t="str">
        <x:v>$87.3750</x:v>
      </x:c>
      <x:c r="Q283" t="str">
        <x:v>$89.5625</x:v>
      </x:c>
      <x:c r="R283" t="str">
        <x:v>$91.7375</x:v>
      </x:c>
      <x:c r="S283" t="str">
        <x:v>$94.0500</x:v>
      </x:c>
      <x:c r="T283" t="str"/>
      <x:c r="U283" t="str"/>
      <x:c r="V283" t="str"/>
      <x:c r="W283" t="str"/>
      <x:c r="X283" t="str"/>
      <x:c r="Y283" t="str"/>
      <x:c r="Z283" t="str"/>
      <x:c r="AA283" t="str"/>
      <x:c r="AB283" t="str"/>
      <x:c r="AC283" t="str"/>
      <x:c r="AD283" t="str"/>
      <x:c r="AE283" t="str"/>
      <x:c r="AF283" t="str">
        <x:f>D283&amp;"|"&amp;UPPER(G283)&amp;"|"&amp;SUBSTITUTE(C283,"/","-")</x:f>
        <x:v>1246|SFMTA|2025-01-04</x:v>
      </x:c>
    </x:row>
    <x:row r="284">
      <x:c r="A284" s="22" t="n">
        <x:v>31543</x:v>
      </x:c>
      <x:c r="B284" t="str">
        <x:v>FY25-26</x:v>
      </x:c>
      <x:c r="C284" t="str">
        <x:v>2025/07/01</x:v>
      </x:c>
      <x:c r="D284" t="str">
        <x:v>1246</x:v>
      </x:c>
      <x:c r="E284" t="str">
        <x:v>Prin Human Resources Analyst</x:v>
      </x:c>
      <x:c r="F284" t="str">
        <x:v>022</x:v>
      </x:c>
      <x:c r="G284" t="str">
        <x:v>COMMN</x:v>
      </x:c>
      <x:c r="H284" t="str">
        <x:v>1246B</x:v>
      </x:c>
      <x:c r="I284" t="str">
        <x:v>$5,867</x:v>
      </x:c>
      <x:c r="J284" t="str"/>
      <x:c r="K284" t="str">
        <x:v>6</x:v>
      </x:c>
      <x:c r="L284" t="str">
        <x:v>$73.3375</x:v>
      </x:c>
      <x:c r="M284" t="str">
        <x:v>$76.9875</x:v>
      </x:c>
      <x:c r="N284" t="str">
        <x:v>$80.8375</x:v>
      </x:c>
      <x:c r="O284" t="str">
        <x:v>$84.8875</x:v>
      </x:c>
      <x:c r="P284" t="str">
        <x:v>$89.1250</x:v>
      </x:c>
      <x:c r="Q284" t="str">
        <x:v>$91.3625</x:v>
      </x:c>
      <x:c r="R284" t="str">
        <x:v>$93.5875</x:v>
      </x:c>
      <x:c r="S284" t="str">
        <x:v>$95.9375</x:v>
      </x:c>
      <x:c r="T284" t="str"/>
      <x:c r="U284" t="str"/>
      <x:c r="V284" t="str"/>
      <x:c r="W284" t="str"/>
      <x:c r="X284" t="str"/>
      <x:c r="Y284" t="str"/>
      <x:c r="Z284" t="str"/>
      <x:c r="AA284" t="str"/>
      <x:c r="AB284" t="str"/>
      <x:c r="AC284" t="str"/>
      <x:c r="AD284" t="str"/>
      <x:c r="AE284" t="str"/>
      <x:c r="AF284" t="str">
        <x:f>D284&amp;"|"&amp;UPPER(G284)&amp;"|"&amp;SUBSTITUTE(C284,"/","-")</x:f>
        <x:v>1246|COMMN|2025-07-01</x:v>
      </x:c>
    </x:row>
    <x:row r="285">
      <x:c r="A285" s="22" t="n">
        <x:v>31544</x:v>
      </x:c>
      <x:c r="B285" t="str">
        <x:v>FY25-26</x:v>
      </x:c>
      <x:c r="C285" t="str">
        <x:v>2025/07/01</x:v>
      </x:c>
      <x:c r="D285" t="str">
        <x:v>1246</x:v>
      </x:c>
      <x:c r="E285" t="str">
        <x:v>Prin Human Resources Analyst</x:v>
      </x:c>
      <x:c r="F285" t="str">
        <x:v>022</x:v>
      </x:c>
      <x:c r="G285" t="str">
        <x:v>SFMTA</x:v>
      </x:c>
      <x:c r="H285" t="str">
        <x:v>1246B</x:v>
      </x:c>
      <x:c r="I285" t="str">
        <x:v>$5,867</x:v>
      </x:c>
      <x:c r="J285" t="str"/>
      <x:c r="K285" t="str">
        <x:v>6</x:v>
      </x:c>
      <x:c r="L285" t="str">
        <x:v>$73.3375</x:v>
      </x:c>
      <x:c r="M285" t="str">
        <x:v>$76.9875</x:v>
      </x:c>
      <x:c r="N285" t="str">
        <x:v>$80.8375</x:v>
      </x:c>
      <x:c r="O285" t="str">
        <x:v>$84.8875</x:v>
      </x:c>
      <x:c r="P285" t="str">
        <x:v>$89.1250</x:v>
      </x:c>
      <x:c r="Q285" t="str">
        <x:v>$91.3625</x:v>
      </x:c>
      <x:c r="R285" t="str">
        <x:v>$93.5875</x:v>
      </x:c>
      <x:c r="S285" t="str">
        <x:v>$95.9375</x:v>
      </x:c>
      <x:c r="T285" t="str"/>
      <x:c r="U285" t="str"/>
      <x:c r="V285" t="str"/>
      <x:c r="W285" t="str"/>
      <x:c r="X285" t="str"/>
      <x:c r="Y285" t="str"/>
      <x:c r="Z285" t="str"/>
      <x:c r="AA285" t="str"/>
      <x:c r="AB285" t="str"/>
      <x:c r="AC285" t="str"/>
      <x:c r="AD285" t="str"/>
      <x:c r="AE285" t="str"/>
      <x:c r="AF285" t="str">
        <x:f>D285&amp;"|"&amp;UPPER(G285)&amp;"|"&amp;SUBSTITUTE(C285,"/","-")</x:f>
        <x:v>1246|SFMTA|2025-07-01</x:v>
      </x:c>
    </x:row>
    <x:row r="286">
      <x:c r="A286" s="22" t="n">
        <x:v>33228</x:v>
      </x:c>
      <x:c r="B286" t="str">
        <x:v>FY25-26</x:v>
      </x:c>
      <x:c r="C286" t="str">
        <x:v>2026/01/03</x:v>
      </x:c>
      <x:c r="D286" t="str">
        <x:v>1246</x:v>
      </x:c>
      <x:c r="E286" t="str">
        <x:v>Prin Human Resources Analyst</x:v>
      </x:c>
      <x:c r="F286" t="str">
        <x:v>022</x:v>
      </x:c>
      <x:c r="G286" t="str">
        <x:v>COMMN</x:v>
      </x:c>
      <x:c r="H286" t="str">
        <x:v>1246C</x:v>
      </x:c>
      <x:c r="I286" t="str">
        <x:v>$5,955</x:v>
      </x:c>
      <x:c r="J286" t="str"/>
      <x:c r="K286" t="str">
        <x:v>6</x:v>
      </x:c>
      <x:c r="L286" t="str">
        <x:v>$74.4375</x:v>
      </x:c>
      <x:c r="M286" t="str">
        <x:v>$78.1375</x:v>
      </x:c>
      <x:c r="N286" t="str">
        <x:v>$82.0500</x:v>
      </x:c>
      <x:c r="O286" t="str">
        <x:v>$86.1625</x:v>
      </x:c>
      <x:c r="P286" t="str">
        <x:v>$90.4625</x:v>
      </x:c>
      <x:c r="Q286" t="str">
        <x:v>$92.7375</x:v>
      </x:c>
      <x:c r="R286" t="str">
        <x:v>$94.9875</x:v>
      </x:c>
      <x:c r="S286" t="str">
        <x:v>$97.3750</x:v>
      </x:c>
      <x:c r="T286" t="str"/>
      <x:c r="U286" t="str"/>
      <x:c r="V286" t="str"/>
      <x:c r="W286" t="str"/>
      <x:c r="X286" t="str"/>
      <x:c r="Y286" t="str"/>
      <x:c r="Z286" t="str"/>
      <x:c r="AA286" t="str"/>
      <x:c r="AB286" t="str"/>
      <x:c r="AC286" t="str"/>
      <x:c r="AD286" t="str"/>
      <x:c r="AE286" t="str"/>
      <x:c r="AF286" t="str">
        <x:f>D286&amp;"|"&amp;UPPER(G286)&amp;"|"&amp;SUBSTITUTE(C286,"/","-")</x:f>
        <x:v>1246|COMMN|2026-01-03</x:v>
      </x:c>
    </x:row>
    <x:row r="287">
      <x:c r="A287" s="22" t="n">
        <x:v>33229</x:v>
      </x:c>
      <x:c r="B287" t="str">
        <x:v>FY25-26</x:v>
      </x:c>
      <x:c r="C287" t="str">
        <x:v>2026/01/03</x:v>
      </x:c>
      <x:c r="D287" t="str">
        <x:v>1246</x:v>
      </x:c>
      <x:c r="E287" t="str">
        <x:v>Prin Human Resources Analyst</x:v>
      </x:c>
      <x:c r="F287" t="str">
        <x:v>022</x:v>
      </x:c>
      <x:c r="G287" t="str">
        <x:v>SFMTA</x:v>
      </x:c>
      <x:c r="H287" t="str">
        <x:v>1246C</x:v>
      </x:c>
      <x:c r="I287" t="str">
        <x:v>$5,955</x:v>
      </x:c>
      <x:c r="J287" t="str"/>
      <x:c r="K287" t="str">
        <x:v>6</x:v>
      </x:c>
      <x:c r="L287" t="str">
        <x:v>$74.4375</x:v>
      </x:c>
      <x:c r="M287" t="str">
        <x:v>$78.1375</x:v>
      </x:c>
      <x:c r="N287" t="str">
        <x:v>$82.0500</x:v>
      </x:c>
      <x:c r="O287" t="str">
        <x:v>$86.1625</x:v>
      </x:c>
      <x:c r="P287" t="str">
        <x:v>$90.4625</x:v>
      </x:c>
      <x:c r="Q287" t="str">
        <x:v>$92.7375</x:v>
      </x:c>
      <x:c r="R287" t="str">
        <x:v>$94.9875</x:v>
      </x:c>
      <x:c r="S287" t="str">
        <x:v>$97.3750</x:v>
      </x:c>
      <x:c r="T287" t="str"/>
      <x:c r="U287" t="str"/>
      <x:c r="V287" t="str"/>
      <x:c r="W287" t="str"/>
      <x:c r="X287" t="str"/>
      <x:c r="Y287" t="str"/>
      <x:c r="Z287" t="str"/>
      <x:c r="AA287" t="str"/>
      <x:c r="AB287" t="str"/>
      <x:c r="AC287" t="str"/>
      <x:c r="AD287" t="str"/>
      <x:c r="AE287" t="str"/>
      <x:c r="AF287" t="str">
        <x:f>D287&amp;"|"&amp;UPPER(G287)&amp;"|"&amp;SUBSTITUTE(C287,"/","-")</x:f>
        <x:v>1246|SFMTA|2026-01-03</x:v>
      </x:c>
    </x:row>
    <x:row r="288">
      <x:c r="A288" s="22" t="n">
        <x:v>26393</x:v>
      </x:c>
      <x:c r="B288" t="str">
        <x:v>FY23-24</x:v>
      </x:c>
      <x:c r="C288" t="str">
        <x:v>2024/01/06</x:v>
      </x:c>
      <x:c r="D288" t="str">
        <x:v>1280</x:v>
      </x:c>
      <x:c r="E288" t="str">
        <x:v>Employee Relations Representative</x:v>
      </x:c>
      <x:c r="F288" t="str">
        <x:v>001</x:v>
      </x:c>
      <x:c r="G288" t="str">
        <x:v>COMMN</x:v>
      </x:c>
      <x:c r="H288" t="str">
        <x:v>1280Y</x:v>
      </x:c>
      <x:c r="I288" t="str">
        <x:v>$4,271</x:v>
      </x:c>
      <x:c r="J288" t="str"/>
      <x:c r="K288" t="str">
        <x:v>6</x:v>
      </x:c>
      <x:c r="L288" t="str">
        <x:v>$53.3875</x:v>
      </x:c>
      <x:c r="M288" t="str">
        <x:v>$56.0375</x:v>
      </x:c>
      <x:c r="N288" t="str">
        <x:v>$58.8250</x:v>
      </x:c>
      <x:c r="O288" t="str">
        <x:v>$61.8000</x:v>
      </x:c>
      <x:c r="P288" t="str">
        <x:v>$64.8750</x:v>
      </x:c>
      <x:c r="Q288" t="str">
        <x:v>$68.1250</x:v>
      </x:c>
      <x:c r="R288" t="str">
        <x:v>$71.5625</x:v>
      </x:c>
      <x:c r="S288" t="str">
        <x:v>$75.0625</x:v>
      </x:c>
      <x:c r="T288" t="str"/>
      <x:c r="U288" t="str"/>
      <x:c r="V288" t="str"/>
      <x:c r="W288" t="str"/>
      <x:c r="X288" t="str"/>
      <x:c r="Y288" t="str"/>
      <x:c r="Z288" t="str"/>
      <x:c r="AA288" t="str"/>
      <x:c r="AB288" t="str"/>
      <x:c r="AC288" t="str"/>
      <x:c r="AD288" t="str"/>
      <x:c r="AE288" t="str"/>
      <x:c r="AF288" t="str">
        <x:f>D288&amp;"|"&amp;UPPER(G288)&amp;"|"&amp;SUBSTITUTE(C288,"/","-")</x:f>
        <x:v>1280|COMMN|2024-01-06</x:v>
      </x:c>
    </x:row>
    <x:row r="289">
      <x:c r="A289" s="22" t="n">
        <x:v>28131</x:v>
      </x:c>
      <x:c r="B289" t="str">
        <x:v>FY24-25</x:v>
      </x:c>
      <x:c r="C289" t="str">
        <x:v>2024/07/01</x:v>
      </x:c>
      <x:c r="D289" t="str">
        <x:v>1280</x:v>
      </x:c>
      <x:c r="E289" t="str">
        <x:v>Employee Relations Representative</x:v>
      </x:c>
      <x:c r="F289" t="str">
        <x:v>001</x:v>
      </x:c>
      <x:c r="G289" t="str">
        <x:v>COMMN</x:v>
      </x:c>
      <x:c r="H289" t="str">
        <x:v>1280Z</x:v>
      </x:c>
      <x:c r="I289" t="str">
        <x:v>$4,335</x:v>
      </x:c>
      <x:c r="J289" t="str"/>
      <x:c r="K289" t="str">
        <x:v>6</x:v>
      </x:c>
      <x:c r="L289" t="str">
        <x:v>$54.1875</x:v>
      </x:c>
      <x:c r="M289" t="str">
        <x:v>$56.8750</x:v>
      </x:c>
      <x:c r="N289" t="str">
        <x:v>$59.7125</x:v>
      </x:c>
      <x:c r="O289" t="str">
        <x:v>$62.7250</x:v>
      </x:c>
      <x:c r="P289" t="str">
        <x:v>$65.8500</x:v>
      </x:c>
      <x:c r="Q289" t="str">
        <x:v>$69.1500</x:v>
      </x:c>
      <x:c r="R289" t="str">
        <x:v>$72.6375</x:v>
      </x:c>
      <x:c r="S289" t="str">
        <x:v>$76.1875</x:v>
      </x:c>
      <x:c r="T289" t="str"/>
      <x:c r="U289" t="str"/>
      <x:c r="V289" t="str"/>
      <x:c r="W289" t="str"/>
      <x:c r="X289" t="str"/>
      <x:c r="Y289" t="str"/>
      <x:c r="Z289" t="str"/>
      <x:c r="AA289" t="str"/>
      <x:c r="AB289" t="str"/>
      <x:c r="AC289" t="str"/>
      <x:c r="AD289" t="str"/>
      <x:c r="AE289" t="str"/>
      <x:c r="AF289" t="str">
        <x:f>D289&amp;"|"&amp;UPPER(G289)&amp;"|"&amp;SUBSTITUTE(C289,"/","-")</x:f>
        <x:v>1280|COMMN|2024-07-01</x:v>
      </x:c>
    </x:row>
    <x:row r="290">
      <x:c r="A290" s="22" t="n">
        <x:v>29837</x:v>
      </x:c>
      <x:c r="B290" t="str">
        <x:v>FY24-25</x:v>
      </x:c>
      <x:c r="C290" t="str">
        <x:v>2025/01/04</x:v>
      </x:c>
      <x:c r="D290" t="str">
        <x:v>1280</x:v>
      </x:c>
      <x:c r="E290" t="str">
        <x:v>Employee Relations Representative</x:v>
      </x:c>
      <x:c r="F290" t="str">
        <x:v>001</x:v>
      </x:c>
      <x:c r="G290" t="str">
        <x:v>COMMN</x:v>
      </x:c>
      <x:c r="H290" t="str">
        <x:v>1280A</x:v>
      </x:c>
      <x:c r="I290" t="str">
        <x:v>$4,400</x:v>
      </x:c>
      <x:c r="J290" t="str"/>
      <x:c r="K290" t="str">
        <x:v>6</x:v>
      </x:c>
      <x:c r="L290" t="str">
        <x:v>$55.0000</x:v>
      </x:c>
      <x:c r="M290" t="str">
        <x:v>$57.7250</x:v>
      </x:c>
      <x:c r="N290" t="str">
        <x:v>$60.6125</x:v>
      </x:c>
      <x:c r="O290" t="str">
        <x:v>$63.6625</x:v>
      </x:c>
      <x:c r="P290" t="str">
        <x:v>$66.8375</x:v>
      </x:c>
      <x:c r="Q290" t="str">
        <x:v>$70.1875</x:v>
      </x:c>
      <x:c r="R290" t="str">
        <x:v>$73.7250</x:v>
      </x:c>
      <x:c r="S290" t="str">
        <x:v>$77.3250</x:v>
      </x:c>
      <x:c r="T290" t="str"/>
      <x:c r="U290" t="str"/>
      <x:c r="V290" t="str"/>
      <x:c r="W290" t="str"/>
      <x:c r="X290" t="str"/>
      <x:c r="Y290" t="str"/>
      <x:c r="Z290" t="str"/>
      <x:c r="AA290" t="str"/>
      <x:c r="AB290" t="str"/>
      <x:c r="AC290" t="str"/>
      <x:c r="AD290" t="str"/>
      <x:c r="AE290" t="str"/>
      <x:c r="AF290" t="str">
        <x:f>D290&amp;"|"&amp;UPPER(G290)&amp;"|"&amp;SUBSTITUTE(C290,"/","-")</x:f>
        <x:v>1280|COMMN|2025-01-04</x:v>
      </x:c>
    </x:row>
    <x:row r="291">
      <x:c r="A291" s="22" t="n">
        <x:v>31550</x:v>
      </x:c>
      <x:c r="B291" t="str">
        <x:v>FY25-26</x:v>
      </x:c>
      <x:c r="C291" t="str">
        <x:v>2025/07/01</x:v>
      </x:c>
      <x:c r="D291" t="str">
        <x:v>1280</x:v>
      </x:c>
      <x:c r="E291" t="str">
        <x:v>Employee Relations Representat</x:v>
      </x:c>
      <x:c r="F291" t="str">
        <x:v>001</x:v>
      </x:c>
      <x:c r="G291" t="str">
        <x:v>COMMN</x:v>
      </x:c>
      <x:c r="H291" t="str">
        <x:v>1280B</x:v>
      </x:c>
      <x:c r="I291" t="str">
        <x:v>$4,488</x:v>
      </x:c>
      <x:c r="J291" t="str"/>
      <x:c r="K291" t="str">
        <x:v>6</x:v>
      </x:c>
      <x:c r="L291" t="str">
        <x:v>$56.1000</x:v>
      </x:c>
      <x:c r="M291" t="str">
        <x:v>$58.8875</x:v>
      </x:c>
      <x:c r="N291" t="str">
        <x:v>$61.8250</x:v>
      </x:c>
      <x:c r="O291" t="str">
        <x:v>$64.9375</x:v>
      </x:c>
      <x:c r="P291" t="str">
        <x:v>$68.1750</x:v>
      </x:c>
      <x:c r="Q291" t="str">
        <x:v>$71.6000</x:v>
      </x:c>
      <x:c r="R291" t="str">
        <x:v>$75.2125</x:v>
      </x:c>
      <x:c r="S291" t="str">
        <x:v>$78.8750</x:v>
      </x:c>
      <x:c r="T291" t="str"/>
      <x:c r="U291" t="str"/>
      <x:c r="V291" t="str"/>
      <x:c r="W291" t="str"/>
      <x:c r="X291" t="str"/>
      <x:c r="Y291" t="str"/>
      <x:c r="Z291" t="str"/>
      <x:c r="AA291" t="str"/>
      <x:c r="AB291" t="str"/>
      <x:c r="AC291" t="str"/>
      <x:c r="AD291" t="str"/>
      <x:c r="AE291" t="str"/>
      <x:c r="AF291" t="str">
        <x:f>D291&amp;"|"&amp;UPPER(G291)&amp;"|"&amp;SUBSTITUTE(C291,"/","-")</x:f>
        <x:v>1280|COMMN|2025-07-01</x:v>
      </x:c>
    </x:row>
    <x:row r="292">
      <x:c r="A292" s="22" t="n">
        <x:v>33235</x:v>
      </x:c>
      <x:c r="B292" t="str">
        <x:v>FY25-26</x:v>
      </x:c>
      <x:c r="C292" t="str">
        <x:v>2026/01/03</x:v>
      </x:c>
      <x:c r="D292" t="str">
        <x:v>1280</x:v>
      </x:c>
      <x:c r="E292" t="str">
        <x:v>Employee Relations Representat</x:v>
      </x:c>
      <x:c r="F292" t="str">
        <x:v>001</x:v>
      </x:c>
      <x:c r="G292" t="str">
        <x:v>COMMN</x:v>
      </x:c>
      <x:c r="H292" t="str">
        <x:v>1280C</x:v>
      </x:c>
      <x:c r="I292" t="str">
        <x:v>$4,555</x:v>
      </x:c>
      <x:c r="J292" t="str"/>
      <x:c r="K292" t="str">
        <x:v>6</x:v>
      </x:c>
      <x:c r="L292" t="str">
        <x:v>$56.9375</x:v>
      </x:c>
      <x:c r="M292" t="str">
        <x:v>$59.7750</x:v>
      </x:c>
      <x:c r="N292" t="str">
        <x:v>$62.7500</x:v>
      </x:c>
      <x:c r="O292" t="str">
        <x:v>$65.9125</x:v>
      </x:c>
      <x:c r="P292" t="str">
        <x:v>$69.2000</x:v>
      </x:c>
      <x:c r="Q292" t="str">
        <x:v>$72.6750</x:v>
      </x:c>
      <x:c r="R292" t="str">
        <x:v>$76.3375</x:v>
      </x:c>
      <x:c r="S292" t="str">
        <x:v>$80.0625</x:v>
      </x:c>
      <x:c r="T292" t="str"/>
      <x:c r="U292" t="str"/>
      <x:c r="V292" t="str"/>
      <x:c r="W292" t="str"/>
      <x:c r="X292" t="str"/>
      <x:c r="Y292" t="str"/>
      <x:c r="Z292" t="str"/>
      <x:c r="AA292" t="str"/>
      <x:c r="AB292" t="str"/>
      <x:c r="AC292" t="str"/>
      <x:c r="AD292" t="str"/>
      <x:c r="AE292" t="str"/>
      <x:c r="AF292" t="str">
        <x:f>D292&amp;"|"&amp;UPPER(G292)&amp;"|"&amp;SUBSTITUTE(C292,"/","-")</x:f>
        <x:v>1280|COMMN|2026-01-03</x:v>
      </x:c>
    </x:row>
    <x:row r="293">
      <x:c r="A293" s="22" t="n">
        <x:v>26394</x:v>
      </x:c>
      <x:c r="B293" t="str">
        <x:v>FY23-24</x:v>
      </x:c>
      <x:c r="C293" t="str">
        <x:v>2024/01/06</x:v>
      </x:c>
      <x:c r="D293" t="str">
        <x:v>1281</x:v>
      </x:c>
      <x:c r="E293" t="str">
        <x:v>Senior Employee Relations Representative</x:v>
      </x:c>
      <x:c r="F293" t="str">
        <x:v>001</x:v>
      </x:c>
      <x:c r="G293" t="str">
        <x:v>COMMN</x:v>
      </x:c>
      <x:c r="H293" t="str">
        <x:v>1281Y</x:v>
      </x:c>
      <x:c r="I293" t="str">
        <x:v>$5,162</x:v>
      </x:c>
      <x:c r="J293" t="str"/>
      <x:c r="K293" t="str">
        <x:v>6</x:v>
      </x:c>
      <x:c r="L293" t="str">
        <x:v>$64.5250</x:v>
      </x:c>
      <x:c r="M293" t="str">
        <x:v>$67.7375</x:v>
      </x:c>
      <x:c r="N293" t="str">
        <x:v>$71.1375</x:v>
      </x:c>
      <x:c r="O293" t="str">
        <x:v>$74.7125</x:v>
      </x:c>
      <x:c r="P293" t="str">
        <x:v>$78.4375</x:v>
      </x:c>
      <x:c r="Q293" t="str">
        <x:v>$82.3750</x:v>
      </x:c>
      <x:c r="R293" t="str">
        <x:v>$86.4750</x:v>
      </x:c>
      <x:c r="S293" t="str">
        <x:v>$90.8000</x:v>
      </x:c>
      <x:c r="T293" t="str"/>
      <x:c r="U293" t="str"/>
      <x:c r="V293" t="str"/>
      <x:c r="W293" t="str"/>
      <x:c r="X293" t="str"/>
      <x:c r="Y293" t="str"/>
      <x:c r="Z293" t="str"/>
      <x:c r="AA293" t="str"/>
      <x:c r="AB293" t="str"/>
      <x:c r="AC293" t="str"/>
      <x:c r="AD293" t="str"/>
      <x:c r="AE293" t="str"/>
      <x:c r="AF293" t="str">
        <x:f>D293&amp;"|"&amp;UPPER(G293)&amp;"|"&amp;SUBSTITUTE(C293,"/","-")</x:f>
        <x:v>1281|COMMN|2024-01-06</x:v>
      </x:c>
    </x:row>
    <x:row r="294">
      <x:c r="A294" s="22" t="n">
        <x:v>28132</x:v>
      </x:c>
      <x:c r="B294" t="str">
        <x:v>FY24-25</x:v>
      </x:c>
      <x:c r="C294" t="str">
        <x:v>2024/07/01</x:v>
      </x:c>
      <x:c r="D294" t="str">
        <x:v>1281</x:v>
      </x:c>
      <x:c r="E294" t="str">
        <x:v>Senior Employee Relations Representative</x:v>
      </x:c>
      <x:c r="F294" t="str">
        <x:v>001</x:v>
      </x:c>
      <x:c r="G294" t="str">
        <x:v>COMMN</x:v>
      </x:c>
      <x:c r="H294" t="str">
        <x:v>1281Z</x:v>
      </x:c>
      <x:c r="I294" t="str">
        <x:v>$5,239</x:v>
      </x:c>
      <x:c r="J294" t="str"/>
      <x:c r="K294" t="str">
        <x:v>6</x:v>
      </x:c>
      <x:c r="L294" t="str">
        <x:v>$65.4875</x:v>
      </x:c>
      <x:c r="M294" t="str">
        <x:v>$68.7500</x:v>
      </x:c>
      <x:c r="N294" t="str">
        <x:v>$72.2000</x:v>
      </x:c>
      <x:c r="O294" t="str">
        <x:v>$75.8375</x:v>
      </x:c>
      <x:c r="P294" t="str">
        <x:v>$79.6125</x:v>
      </x:c>
      <x:c r="Q294" t="str">
        <x:v>$83.6125</x:v>
      </x:c>
      <x:c r="R294" t="str">
        <x:v>$87.7750</x:v>
      </x:c>
      <x:c r="S294" t="str">
        <x:v>$92.1625</x:v>
      </x:c>
      <x:c r="T294" t="str"/>
      <x:c r="U294" t="str"/>
      <x:c r="V294" t="str"/>
      <x:c r="W294" t="str"/>
      <x:c r="X294" t="str"/>
      <x:c r="Y294" t="str"/>
      <x:c r="Z294" t="str"/>
      <x:c r="AA294" t="str"/>
      <x:c r="AB294" t="str"/>
      <x:c r="AC294" t="str"/>
      <x:c r="AD294" t="str"/>
      <x:c r="AE294" t="str"/>
      <x:c r="AF294" t="str">
        <x:f>D294&amp;"|"&amp;UPPER(G294)&amp;"|"&amp;SUBSTITUTE(C294,"/","-")</x:f>
        <x:v>1281|COMMN|2024-07-01</x:v>
      </x:c>
    </x:row>
    <x:row r="295">
      <x:c r="A295" s="22" t="n">
        <x:v>29838</x:v>
      </x:c>
      <x:c r="B295" t="str">
        <x:v>FY24-25</x:v>
      </x:c>
      <x:c r="C295" t="str">
        <x:v>2025/01/04</x:v>
      </x:c>
      <x:c r="D295" t="str">
        <x:v>1281</x:v>
      </x:c>
      <x:c r="E295" t="str">
        <x:v>Senior Employee Relations Representative</x:v>
      </x:c>
      <x:c r="F295" t="str">
        <x:v>001</x:v>
      </x:c>
      <x:c r="G295" t="str">
        <x:v>COMMN</x:v>
      </x:c>
      <x:c r="H295" t="str">
        <x:v>1281A</x:v>
      </x:c>
      <x:c r="I295" t="str">
        <x:v>$5,318</x:v>
      </x:c>
      <x:c r="J295" t="str"/>
      <x:c r="K295" t="str">
        <x:v>6</x:v>
      </x:c>
      <x:c r="L295" t="str">
        <x:v>$66.4750</x:v>
      </x:c>
      <x:c r="M295" t="str">
        <x:v>$69.7875</x:v>
      </x:c>
      <x:c r="N295" t="str">
        <x:v>$73.2875</x:v>
      </x:c>
      <x:c r="O295" t="str">
        <x:v>$76.9750</x:v>
      </x:c>
      <x:c r="P295" t="str">
        <x:v>$80.8125</x:v>
      </x:c>
      <x:c r="Q295" t="str">
        <x:v>$84.8625</x:v>
      </x:c>
      <x:c r="R295" t="str">
        <x:v>$89.0875</x:v>
      </x:c>
      <x:c r="S295" t="str">
        <x:v>$93.5500</x:v>
      </x:c>
      <x:c r="T295" t="str"/>
      <x:c r="U295" t="str"/>
      <x:c r="V295" t="str"/>
      <x:c r="W295" t="str"/>
      <x:c r="X295" t="str"/>
      <x:c r="Y295" t="str"/>
      <x:c r="Z295" t="str"/>
      <x:c r="AA295" t="str"/>
      <x:c r="AB295" t="str"/>
      <x:c r="AC295" t="str"/>
      <x:c r="AD295" t="str"/>
      <x:c r="AE295" t="str"/>
      <x:c r="AF295" t="str">
        <x:f>D295&amp;"|"&amp;UPPER(G295)&amp;"|"&amp;SUBSTITUTE(C295,"/","-")</x:f>
        <x:v>1281|COMMN|2025-01-04</x:v>
      </x:c>
    </x:row>
    <x:row r="296">
      <x:c r="A296" s="22" t="n">
        <x:v>31551</x:v>
      </x:c>
      <x:c r="B296" t="str">
        <x:v>FY25-26</x:v>
      </x:c>
      <x:c r="C296" t="str">
        <x:v>2025/07/01</x:v>
      </x:c>
      <x:c r="D296" t="str">
        <x:v>1281</x:v>
      </x:c>
      <x:c r="E296" t="str">
        <x:v>Senior Emp Relations Repres</x:v>
      </x:c>
      <x:c r="F296" t="str">
        <x:v>001</x:v>
      </x:c>
      <x:c r="G296" t="str">
        <x:v>COMMN</x:v>
      </x:c>
      <x:c r="H296" t="str">
        <x:v>1281B</x:v>
      </x:c>
      <x:c r="I296" t="str">
        <x:v>$5,425</x:v>
      </x:c>
      <x:c r="J296" t="str"/>
      <x:c r="K296" t="str">
        <x:v>6</x:v>
      </x:c>
      <x:c r="L296" t="str">
        <x:v>$67.8125</x:v>
      </x:c>
      <x:c r="M296" t="str">
        <x:v>$71.1875</x:v>
      </x:c>
      <x:c r="N296" t="str">
        <x:v>$74.7625</x:v>
      </x:c>
      <x:c r="O296" t="str">
        <x:v>$78.5250</x:v>
      </x:c>
      <x:c r="P296" t="str">
        <x:v>$82.4375</x:v>
      </x:c>
      <x:c r="Q296" t="str">
        <x:v>$86.5625</x:v>
      </x:c>
      <x:c r="R296" t="str">
        <x:v>$90.8750</x:v>
      </x:c>
      <x:c r="S296" t="str">
        <x:v>$95.4250</x:v>
      </x:c>
      <x:c r="T296" t="str"/>
      <x:c r="U296" t="str"/>
      <x:c r="V296" t="str"/>
      <x:c r="W296" t="str"/>
      <x:c r="X296" t="str"/>
      <x:c r="Y296" t="str"/>
      <x:c r="Z296" t="str"/>
      <x:c r="AA296" t="str"/>
      <x:c r="AB296" t="str"/>
      <x:c r="AC296" t="str"/>
      <x:c r="AD296" t="str"/>
      <x:c r="AE296" t="str"/>
      <x:c r="AF296" t="str">
        <x:f>D296&amp;"|"&amp;UPPER(G296)&amp;"|"&amp;SUBSTITUTE(C296,"/","-")</x:f>
        <x:v>1281|COMMN|2025-07-01</x:v>
      </x:c>
    </x:row>
    <x:row r="297">
      <x:c r="A297" s="22" t="n">
        <x:v>33236</x:v>
      </x:c>
      <x:c r="B297" t="str">
        <x:v>FY25-26</x:v>
      </x:c>
      <x:c r="C297" t="str">
        <x:v>2026/01/03</x:v>
      </x:c>
      <x:c r="D297" t="str">
        <x:v>1281</x:v>
      </x:c>
      <x:c r="E297" t="str">
        <x:v>Senior Emp Relations Repres</x:v>
      </x:c>
      <x:c r="F297" t="str">
        <x:v>001</x:v>
      </x:c>
      <x:c r="G297" t="str">
        <x:v>COMMN</x:v>
      </x:c>
      <x:c r="H297" t="str">
        <x:v>1281C</x:v>
      </x:c>
      <x:c r="I297" t="str">
        <x:v>$5,506</x:v>
      </x:c>
      <x:c r="J297" t="str"/>
      <x:c r="K297" t="str">
        <x:v>6</x:v>
      </x:c>
      <x:c r="L297" t="str">
        <x:v>$68.8250</x:v>
      </x:c>
      <x:c r="M297" t="str">
        <x:v>$72.2500</x:v>
      </x:c>
      <x:c r="N297" t="str">
        <x:v>$75.8875</x:v>
      </x:c>
      <x:c r="O297" t="str">
        <x:v>$79.7000</x:v>
      </x:c>
      <x:c r="P297" t="str">
        <x:v>$83.6750</x:v>
      </x:c>
      <x:c r="Q297" t="str">
        <x:v>$87.8625</x:v>
      </x:c>
      <x:c r="R297" t="str">
        <x:v>$92.2375</x:v>
      </x:c>
      <x:c r="S297" t="str">
        <x:v>$96.8625</x:v>
      </x:c>
      <x:c r="T297" t="str"/>
      <x:c r="U297" t="str"/>
      <x:c r="V297" t="str"/>
      <x:c r="W297" t="str"/>
      <x:c r="X297" t="str"/>
      <x:c r="Y297" t="str"/>
      <x:c r="Z297" t="str"/>
      <x:c r="AA297" t="str"/>
      <x:c r="AB297" t="str"/>
      <x:c r="AC297" t="str"/>
      <x:c r="AD297" t="str"/>
      <x:c r="AE297" t="str"/>
      <x:c r="AF297" t="str">
        <x:f>D297&amp;"|"&amp;UPPER(G297)&amp;"|"&amp;SUBSTITUTE(C297,"/","-")</x:f>
        <x:v>1281|COMMN|2026-01-03</x:v>
      </x:c>
    </x:row>
    <x:row r="298">
      <x:c r="A298" s="22" t="n">
        <x:v>26395</x:v>
      </x:c>
      <x:c r="B298" t="str">
        <x:v>FY23-24</x:v>
      </x:c>
      <x:c r="C298" t="str">
        <x:v>2024/01/06</x:v>
      </x:c>
      <x:c r="D298" t="str">
        <x:v>1302</x:v>
      </x:c>
      <x:c r="E298" t="str">
        <x:v>Customer Service Representative Trainee</x:v>
      </x:c>
      <x:c r="F298" t="str">
        <x:v>790</x:v>
      </x:c>
      <x:c r="G298" t="str">
        <x:v>COMMN</x:v>
      </x:c>
      <x:c r="H298" t="str">
        <x:v>1302Y</x:v>
      </x:c>
      <x:c r="I298" t="str">
        <x:v>$3,131</x:v>
      </x:c>
      <x:c r="J298" t="str"/>
      <x:c r="K298" t="str"/>
      <x:c r="L298" t="str">
        <x:v>$39.1375</x:v>
      </x:c>
      <x:c r="M298" t="str">
        <x:v>$41.1125</x:v>
      </x:c>
      <x:c r="N298" t="str">
        <x:v>$43.1625</x:v>
      </x:c>
      <x:c r="O298" t="str">
        <x:v>$45.2875</x:v>
      </x:c>
      <x:c r="P298" t="str">
        <x:v>$47.6000</x:v>
      </x:c>
      <x:c r="Q298" t="str"/>
      <x:c r="R298" t="str"/>
      <x:c r="S298" t="str"/>
      <x:c r="T298" t="str"/>
      <x:c r="U298" t="str"/>
      <x:c r="V298" t="str"/>
      <x:c r="W298" t="str"/>
      <x:c r="X298" t="str"/>
      <x:c r="Y298" t="str"/>
      <x:c r="Z298" t="str"/>
      <x:c r="AA298" t="str"/>
      <x:c r="AB298" t="str"/>
      <x:c r="AC298" t="str"/>
      <x:c r="AD298" t="str"/>
      <x:c r="AE298" t="str"/>
      <x:c r="AF298" t="str">
        <x:f>D298&amp;"|"&amp;UPPER(G298)&amp;"|"&amp;SUBSTITUTE(C298,"/","-")</x:f>
        <x:v>1302|COMMN|2024-01-06</x:v>
      </x:c>
    </x:row>
    <x:row r="299">
      <x:c r="A299" s="22" t="n">
        <x:v>28133</x:v>
      </x:c>
      <x:c r="B299" t="str">
        <x:v>FY24-25</x:v>
      </x:c>
      <x:c r="C299" t="str">
        <x:v>2024/07/01</x:v>
      </x:c>
      <x:c r="D299" t="str">
        <x:v>1302</x:v>
      </x:c>
      <x:c r="E299" t="str">
        <x:v>Customer Service Representative Trainee</x:v>
      </x:c>
      <x:c r="F299" t="str">
        <x:v>790</x:v>
      </x:c>
      <x:c r="G299" t="str">
        <x:v>COMMN</x:v>
      </x:c>
      <x:c r="H299" t="str">
        <x:v>1302Z</x:v>
      </x:c>
      <x:c r="I299" t="str">
        <x:v>$3,178</x:v>
      </x:c>
      <x:c r="J299" t="str"/>
      <x:c r="K299" t="str"/>
      <x:c r="L299" t="str">
        <x:v>$39.7250</x:v>
      </x:c>
      <x:c r="M299" t="str">
        <x:v>$41.7250</x:v>
      </x:c>
      <x:c r="N299" t="str">
        <x:v>$43.8125</x:v>
      </x:c>
      <x:c r="O299" t="str">
        <x:v>$45.9625</x:v>
      </x:c>
      <x:c r="P299" t="str">
        <x:v>$48.3125</x:v>
      </x:c>
      <x:c r="Q299" t="str"/>
      <x:c r="R299" t="str"/>
      <x:c r="S299" t="str"/>
      <x:c r="T299" t="str"/>
      <x:c r="U299" t="str"/>
      <x:c r="V299" t="str"/>
      <x:c r="W299" t="str"/>
      <x:c r="X299" t="str"/>
      <x:c r="Y299" t="str"/>
      <x:c r="Z299" t="str"/>
      <x:c r="AA299" t="str"/>
      <x:c r="AB299" t="str"/>
      <x:c r="AC299" t="str"/>
      <x:c r="AD299" t="str"/>
      <x:c r="AE299" t="str"/>
      <x:c r="AF299" t="str">
        <x:f>D299&amp;"|"&amp;UPPER(G299)&amp;"|"&amp;SUBSTITUTE(C299,"/","-")</x:f>
        <x:v>1302|COMMN|2024-07-01</x:v>
      </x:c>
    </x:row>
    <x:row r="300">
      <x:c r="A300" s="22" t="n">
        <x:v>29839</x:v>
      </x:c>
      <x:c r="B300" t="str">
        <x:v>FY24-25</x:v>
      </x:c>
      <x:c r="C300" t="str">
        <x:v>2025/01/04</x:v>
      </x:c>
      <x:c r="D300" t="str">
        <x:v>1302</x:v>
      </x:c>
      <x:c r="E300" t="str">
        <x:v>Customer Service Representative Trainee</x:v>
      </x:c>
      <x:c r="F300" t="str">
        <x:v>790</x:v>
      </x:c>
      <x:c r="G300" t="str">
        <x:v>COMMN</x:v>
      </x:c>
      <x:c r="H300" t="str">
        <x:v>1302A</x:v>
      </x:c>
      <x:c r="I300" t="str">
        <x:v>$3,226</x:v>
      </x:c>
      <x:c r="J300" t="str"/>
      <x:c r="K300" t="str"/>
      <x:c r="L300" t="str">
        <x:v>$40.3250</x:v>
      </x:c>
      <x:c r="M300" t="str">
        <x:v>$42.3500</x:v>
      </x:c>
      <x:c r="N300" t="str">
        <x:v>$44.4750</x:v>
      </x:c>
      <x:c r="O300" t="str">
        <x:v>$46.6500</x:v>
      </x:c>
      <x:c r="P300" t="str">
        <x:v>$49.0375</x:v>
      </x:c>
      <x:c r="Q300" t="str"/>
      <x:c r="R300" t="str"/>
      <x:c r="S300" t="str"/>
      <x:c r="T300" t="str"/>
      <x:c r="U300" t="str"/>
      <x:c r="V300" t="str"/>
      <x:c r="W300" t="str"/>
      <x:c r="X300" t="str"/>
      <x:c r="Y300" t="str"/>
      <x:c r="Z300" t="str"/>
      <x:c r="AA300" t="str"/>
      <x:c r="AB300" t="str"/>
      <x:c r="AC300" t="str"/>
      <x:c r="AD300" t="str"/>
      <x:c r="AE300" t="str"/>
      <x:c r="AF300" t="str">
        <x:f>D300&amp;"|"&amp;UPPER(G300)&amp;"|"&amp;SUBSTITUTE(C300,"/","-")</x:f>
        <x:v>1302|COMMN|2025-01-04</x:v>
      </x:c>
    </x:row>
    <x:row r="301">
      <x:c r="A301" s="22" t="n">
        <x:v>31552</x:v>
      </x:c>
      <x:c r="B301" t="str">
        <x:v>FY25-26</x:v>
      </x:c>
      <x:c r="C301" t="str">
        <x:v>2025/07/01</x:v>
      </x:c>
      <x:c r="D301" t="str">
        <x:v>1302</x:v>
      </x:c>
      <x:c r="E301" t="str">
        <x:v>Customer Service Rep Trainee</x:v>
      </x:c>
      <x:c r="F301" t="str">
        <x:v>790</x:v>
      </x:c>
      <x:c r="G301" t="str">
        <x:v>COMMN</x:v>
      </x:c>
      <x:c r="H301" t="str">
        <x:v>1302B</x:v>
      </x:c>
      <x:c r="I301" t="str">
        <x:v>$3,291</x:v>
      </x:c>
      <x:c r="J301" t="str"/>
      <x:c r="K301" t="str"/>
      <x:c r="L301" t="str">
        <x:v>$41.1375</x:v>
      </x:c>
      <x:c r="M301" t="str">
        <x:v>$43.2000</x:v>
      </x:c>
      <x:c r="N301" t="str">
        <x:v>$45.3750</x:v>
      </x:c>
      <x:c r="O301" t="str">
        <x:v>$47.5875</x:v>
      </x:c>
      <x:c r="P301" t="str">
        <x:v>$50.0250</x:v>
      </x:c>
      <x:c r="Q301" t="str"/>
      <x:c r="R301" t="str"/>
      <x:c r="S301" t="str"/>
      <x:c r="T301" t="str"/>
      <x:c r="U301" t="str"/>
      <x:c r="V301" t="str"/>
      <x:c r="W301" t="str"/>
      <x:c r="X301" t="str"/>
      <x:c r="Y301" t="str"/>
      <x:c r="Z301" t="str"/>
      <x:c r="AA301" t="str"/>
      <x:c r="AB301" t="str"/>
      <x:c r="AC301" t="str"/>
      <x:c r="AD301" t="str"/>
      <x:c r="AE301" t="str"/>
      <x:c r="AF301" t="str">
        <x:f>D301&amp;"|"&amp;UPPER(G301)&amp;"|"&amp;SUBSTITUTE(C301,"/","-")</x:f>
        <x:v>1302|COMMN|2025-07-01</x:v>
      </x:c>
    </x:row>
    <x:row r="302">
      <x:c r="A302" s="22" t="n">
        <x:v>33237</x:v>
      </x:c>
      <x:c r="B302" t="str">
        <x:v>FY25-26</x:v>
      </x:c>
      <x:c r="C302" t="str">
        <x:v>2026/01/03</x:v>
      </x:c>
      <x:c r="D302" t="str">
        <x:v>1302</x:v>
      </x:c>
      <x:c r="E302" t="str">
        <x:v>Customer Service Rep Trainee</x:v>
      </x:c>
      <x:c r="F302" t="str">
        <x:v>790</x:v>
      </x:c>
      <x:c r="G302" t="str">
        <x:v>COMMN</x:v>
      </x:c>
      <x:c r="H302" t="str">
        <x:v>1302C</x:v>
      </x:c>
      <x:c r="I302" t="str">
        <x:v>$3,340</x:v>
      </x:c>
      <x:c r="J302" t="str"/>
      <x:c r="K302" t="str"/>
      <x:c r="L302" t="str">
        <x:v>$41.7500</x:v>
      </x:c>
      <x:c r="M302" t="str">
        <x:v>$43.8500</x:v>
      </x:c>
      <x:c r="N302" t="str">
        <x:v>$46.0500</x:v>
      </x:c>
      <x:c r="O302" t="str">
        <x:v>$48.3000</x:v>
      </x:c>
      <x:c r="P302" t="str">
        <x:v>$50.7750</x:v>
      </x:c>
      <x:c r="Q302" t="str"/>
      <x:c r="R302" t="str"/>
      <x:c r="S302" t="str"/>
      <x:c r="T302" t="str"/>
      <x:c r="U302" t="str"/>
      <x:c r="V302" t="str"/>
      <x:c r="W302" t="str"/>
      <x:c r="X302" t="str"/>
      <x:c r="Y302" t="str"/>
      <x:c r="Z302" t="str"/>
      <x:c r="AA302" t="str"/>
      <x:c r="AB302" t="str"/>
      <x:c r="AC302" t="str"/>
      <x:c r="AD302" t="str"/>
      <x:c r="AE302" t="str"/>
      <x:c r="AF302" t="str">
        <x:f>D302&amp;"|"&amp;UPPER(G302)&amp;"|"&amp;SUBSTITUTE(C302,"/","-")</x:f>
        <x:v>1302|COMMN|2026-01-03</x:v>
      </x:c>
    </x:row>
    <x:row r="303">
      <x:c r="A303" s="22" t="n">
        <x:v>26396</x:v>
      </x:c>
      <x:c r="B303" t="str">
        <x:v>FY23-24</x:v>
      </x:c>
      <x:c r="C303" t="str">
        <x:v>2024/01/06</x:v>
      </x:c>
      <x:c r="D303" t="str">
        <x:v>1304</x:v>
      </x:c>
      <x:c r="E303" t="str">
        <x:v>Customer Service Representative</x:v>
      </x:c>
      <x:c r="F303" t="str">
        <x:v>790</x:v>
      </x:c>
      <x:c r="G303" t="str">
        <x:v>COMMN</x:v>
      </x:c>
      <x:c r="H303" t="str">
        <x:v>1304Y</x:v>
      </x:c>
      <x:c r="I303" t="str">
        <x:v>$3,226</x:v>
      </x:c>
      <x:c r="J303" t="str"/>
      <x:c r="K303" t="str"/>
      <x:c r="L303" t="str">
        <x:v>$40.3250</x:v>
      </x:c>
      <x:c r="M303" t="str">
        <x:v>$42.3375</x:v>
      </x:c>
      <x:c r="N303" t="str">
        <x:v>$44.4500</x:v>
      </x:c>
      <x:c r="O303" t="str">
        <x:v>$46.6625</x:v>
      </x:c>
      <x:c r="P303" t="str">
        <x:v>$49.0250</x:v>
      </x:c>
      <x:c r="Q303" t="str"/>
      <x:c r="R303" t="str"/>
      <x:c r="S303" t="str"/>
      <x:c r="T303" t="str"/>
      <x:c r="U303" t="str"/>
      <x:c r="V303" t="str"/>
      <x:c r="W303" t="str"/>
      <x:c r="X303" t="str"/>
      <x:c r="Y303" t="str"/>
      <x:c r="Z303" t="str"/>
      <x:c r="AA303" t="str"/>
      <x:c r="AB303" t="str"/>
      <x:c r="AC303" t="str"/>
      <x:c r="AD303" t="str"/>
      <x:c r="AE303" t="str"/>
      <x:c r="AF303" t="str">
        <x:f>D303&amp;"|"&amp;UPPER(G303)&amp;"|"&amp;SUBSTITUTE(C303,"/","-")</x:f>
        <x:v>1304|COMMN|2024-01-06</x:v>
      </x:c>
    </x:row>
    <x:row r="304">
      <x:c r="A304" s="22" t="n">
        <x:v>28134</x:v>
      </x:c>
      <x:c r="B304" t="str">
        <x:v>FY24-25</x:v>
      </x:c>
      <x:c r="C304" t="str">
        <x:v>2024/07/01</x:v>
      </x:c>
      <x:c r="D304" t="str">
        <x:v>1304</x:v>
      </x:c>
      <x:c r="E304" t="str">
        <x:v>Customer Service Representative</x:v>
      </x:c>
      <x:c r="F304" t="str">
        <x:v>790</x:v>
      </x:c>
      <x:c r="G304" t="str">
        <x:v>COMMN</x:v>
      </x:c>
      <x:c r="H304" t="str">
        <x:v>1304Z</x:v>
      </x:c>
      <x:c r="I304" t="str">
        <x:v>$3,274</x:v>
      </x:c>
      <x:c r="J304" t="str"/>
      <x:c r="K304" t="str"/>
      <x:c r="L304" t="str">
        <x:v>$40.9250</x:v>
      </x:c>
      <x:c r="M304" t="str">
        <x:v>$42.9750</x:v>
      </x:c>
      <x:c r="N304" t="str">
        <x:v>$45.1125</x:v>
      </x:c>
      <x:c r="O304" t="str">
        <x:v>$47.3625</x:v>
      </x:c>
      <x:c r="P304" t="str">
        <x:v>$49.7625</x:v>
      </x:c>
      <x:c r="Q304" t="str"/>
      <x:c r="R304" t="str"/>
      <x:c r="S304" t="str"/>
      <x:c r="T304" t="str"/>
      <x:c r="U304" t="str"/>
      <x:c r="V304" t="str"/>
      <x:c r="W304" t="str"/>
      <x:c r="X304" t="str"/>
      <x:c r="Y304" t="str"/>
      <x:c r="Z304" t="str"/>
      <x:c r="AA304" t="str"/>
      <x:c r="AB304" t="str"/>
      <x:c r="AC304" t="str"/>
      <x:c r="AD304" t="str"/>
      <x:c r="AE304" t="str"/>
      <x:c r="AF304" t="str">
        <x:f>D304&amp;"|"&amp;UPPER(G304)&amp;"|"&amp;SUBSTITUTE(C304,"/","-")</x:f>
        <x:v>1304|COMMN|2024-07-01</x:v>
      </x:c>
    </x:row>
    <x:row r="305">
      <x:c r="A305" s="22" t="n">
        <x:v>29840</x:v>
      </x:c>
      <x:c r="B305" t="str">
        <x:v>FY24-25</x:v>
      </x:c>
      <x:c r="C305" t="str">
        <x:v>2025/01/04</x:v>
      </x:c>
      <x:c r="D305" t="str">
        <x:v>1304</x:v>
      </x:c>
      <x:c r="E305" t="str">
        <x:v>Customer Service Representative</x:v>
      </x:c>
      <x:c r="F305" t="str">
        <x:v>790</x:v>
      </x:c>
      <x:c r="G305" t="str">
        <x:v>COMMN</x:v>
      </x:c>
      <x:c r="H305" t="str">
        <x:v>1304A</x:v>
      </x:c>
      <x:c r="I305" t="str">
        <x:v>$3,323</x:v>
      </x:c>
      <x:c r="J305" t="str"/>
      <x:c r="K305" t="str"/>
      <x:c r="L305" t="str">
        <x:v>$41.5375</x:v>
      </x:c>
      <x:c r="M305" t="str">
        <x:v>$43.6250</x:v>
      </x:c>
      <x:c r="N305" t="str">
        <x:v>$45.7875</x:v>
      </x:c>
      <x:c r="O305" t="str">
        <x:v>$48.0750</x:v>
      </x:c>
      <x:c r="P305" t="str">
        <x:v>$50.5125</x:v>
      </x:c>
      <x:c r="Q305" t="str"/>
      <x:c r="R305" t="str"/>
      <x:c r="S305" t="str"/>
      <x:c r="T305" t="str"/>
      <x:c r="U305" t="str"/>
      <x:c r="V305" t="str"/>
      <x:c r="W305" t="str"/>
      <x:c r="X305" t="str"/>
      <x:c r="Y305" t="str"/>
      <x:c r="Z305" t="str"/>
      <x:c r="AA305" t="str"/>
      <x:c r="AB305" t="str"/>
      <x:c r="AC305" t="str"/>
      <x:c r="AD305" t="str"/>
      <x:c r="AE305" t="str"/>
      <x:c r="AF305" t="str">
        <x:f>D305&amp;"|"&amp;UPPER(G305)&amp;"|"&amp;SUBSTITUTE(C305,"/","-")</x:f>
        <x:v>1304|COMMN|2025-01-04</x:v>
      </x:c>
    </x:row>
    <x:row r="306">
      <x:c r="A306" s="22" t="n">
        <x:v>31553</x:v>
      </x:c>
      <x:c r="B306" t="str">
        <x:v>FY25-26</x:v>
      </x:c>
      <x:c r="C306" t="str">
        <x:v>2025/07/01</x:v>
      </x:c>
      <x:c r="D306" t="str">
        <x:v>1304</x:v>
      </x:c>
      <x:c r="E306" t="str">
        <x:v>Customer Service Rep</x:v>
      </x:c>
      <x:c r="F306" t="str">
        <x:v>790</x:v>
      </x:c>
      <x:c r="G306" t="str">
        <x:v>COMMN</x:v>
      </x:c>
      <x:c r="H306" t="str">
        <x:v>1304B</x:v>
      </x:c>
      <x:c r="I306" t="str">
        <x:v>$3,390</x:v>
      </x:c>
      <x:c r="J306" t="str"/>
      <x:c r="K306" t="str"/>
      <x:c r="L306" t="str">
        <x:v>$42.3750</x:v>
      </x:c>
      <x:c r="M306" t="str">
        <x:v>$44.5000</x:v>
      </x:c>
      <x:c r="N306" t="str">
        <x:v>$46.7125</x:v>
      </x:c>
      <x:c r="O306" t="str">
        <x:v>$49.0375</x:v>
      </x:c>
      <x:c r="P306" t="str">
        <x:v>$51.5250</x:v>
      </x:c>
      <x:c r="Q306" t="str"/>
      <x:c r="R306" t="str"/>
      <x:c r="S306" t="str"/>
      <x:c r="T306" t="str"/>
      <x:c r="U306" t="str"/>
      <x:c r="V306" t="str"/>
      <x:c r="W306" t="str"/>
      <x:c r="X306" t="str"/>
      <x:c r="Y306" t="str"/>
      <x:c r="Z306" t="str"/>
      <x:c r="AA306" t="str"/>
      <x:c r="AB306" t="str"/>
      <x:c r="AC306" t="str"/>
      <x:c r="AD306" t="str"/>
      <x:c r="AE306" t="str"/>
      <x:c r="AF306" t="str">
        <x:f>D306&amp;"|"&amp;UPPER(G306)&amp;"|"&amp;SUBSTITUTE(C306,"/","-")</x:f>
        <x:v>1304|COMMN|2025-07-01</x:v>
      </x:c>
    </x:row>
    <x:row r="307">
      <x:c r="A307" s="22" t="n">
        <x:v>33238</x:v>
      </x:c>
      <x:c r="B307" t="str">
        <x:v>FY25-26</x:v>
      </x:c>
      <x:c r="C307" t="str">
        <x:v>2026/01/03</x:v>
      </x:c>
      <x:c r="D307" t="str">
        <x:v>1304</x:v>
      </x:c>
      <x:c r="E307" t="str">
        <x:v>Customer Service Rep</x:v>
      </x:c>
      <x:c r="F307" t="str">
        <x:v>790</x:v>
      </x:c>
      <x:c r="G307" t="str">
        <x:v>COMMN</x:v>
      </x:c>
      <x:c r="H307" t="str">
        <x:v>1304C</x:v>
      </x:c>
      <x:c r="I307" t="str">
        <x:v>$3,441</x:v>
      </x:c>
      <x:c r="J307" t="str"/>
      <x:c r="K307" t="str"/>
      <x:c r="L307" t="str">
        <x:v>$43.0125</x:v>
      </x:c>
      <x:c r="M307" t="str">
        <x:v>$45.1625</x:v>
      </x:c>
      <x:c r="N307" t="str">
        <x:v>$47.4125</x:v>
      </x:c>
      <x:c r="O307" t="str">
        <x:v>$49.7750</x:v>
      </x:c>
      <x:c r="P307" t="str">
        <x:v>$52.3000</x:v>
      </x:c>
      <x:c r="Q307" t="str"/>
      <x:c r="R307" t="str"/>
      <x:c r="S307" t="str"/>
      <x:c r="T307" t="str"/>
      <x:c r="U307" t="str"/>
      <x:c r="V307" t="str"/>
      <x:c r="W307" t="str"/>
      <x:c r="X307" t="str"/>
      <x:c r="Y307" t="str"/>
      <x:c r="Z307" t="str"/>
      <x:c r="AA307" t="str"/>
      <x:c r="AB307" t="str"/>
      <x:c r="AC307" t="str"/>
      <x:c r="AD307" t="str"/>
      <x:c r="AE307" t="str"/>
      <x:c r="AF307" t="str">
        <x:f>D307&amp;"|"&amp;UPPER(G307)&amp;"|"&amp;SUBSTITUTE(C307,"/","-")</x:f>
        <x:v>1304|COMMN|2026-01-03</x:v>
      </x:c>
    </x:row>
    <x:row r="308">
      <x:c r="A308" s="22" t="n">
        <x:v>26397</x:v>
      </x:c>
      <x:c r="B308" t="str">
        <x:v>FY23-24</x:v>
      </x:c>
      <x:c r="C308" t="str">
        <x:v>2024/01/06</x:v>
      </x:c>
      <x:c r="D308" t="str">
        <x:v>1306</x:v>
      </x:c>
      <x:c r="E308" t="str">
        <x:v>Customer Service Representative Supervisor</x:v>
      </x:c>
      <x:c r="F308" t="str">
        <x:v>790</x:v>
      </x:c>
      <x:c r="G308" t="str">
        <x:v>COMMN</x:v>
      </x:c>
      <x:c r="H308" t="str">
        <x:v>1306Y</x:v>
      </x:c>
      <x:c r="I308" t="str">
        <x:v>$3,653</x:v>
      </x:c>
      <x:c r="J308" t="str"/>
      <x:c r="K308" t="str"/>
      <x:c r="L308" t="str">
        <x:v>$45.6625</x:v>
      </x:c>
      <x:c r="M308" t="str">
        <x:v>$47.9125</x:v>
      </x:c>
      <x:c r="N308" t="str">
        <x:v>$50.3375</x:v>
      </x:c>
      <x:c r="O308" t="str">
        <x:v>$52.8250</x:v>
      </x:c>
      <x:c r="P308" t="str">
        <x:v>$55.4875</x:v>
      </x:c>
      <x:c r="Q308" t="str"/>
      <x:c r="R308" t="str"/>
      <x:c r="S308" t="str"/>
      <x:c r="T308" t="str"/>
      <x:c r="U308" t="str"/>
      <x:c r="V308" t="str"/>
      <x:c r="W308" t="str"/>
      <x:c r="X308" t="str"/>
      <x:c r="Y308" t="str"/>
      <x:c r="Z308" t="str"/>
      <x:c r="AA308" t="str"/>
      <x:c r="AB308" t="str"/>
      <x:c r="AC308" t="str"/>
      <x:c r="AD308" t="str"/>
      <x:c r="AE308" t="str"/>
      <x:c r="AF308" t="str">
        <x:f>D308&amp;"|"&amp;UPPER(G308)&amp;"|"&amp;SUBSTITUTE(C308,"/","-")</x:f>
        <x:v>1306|COMMN|2024-01-06</x:v>
      </x:c>
    </x:row>
    <x:row r="309">
      <x:c r="A309" s="22" t="n">
        <x:v>28135</x:v>
      </x:c>
      <x:c r="B309" t="str">
        <x:v>FY24-25</x:v>
      </x:c>
      <x:c r="C309" t="str">
        <x:v>2024/07/01</x:v>
      </x:c>
      <x:c r="D309" t="str">
        <x:v>1306</x:v>
      </x:c>
      <x:c r="E309" t="str">
        <x:v>Customer Service Representative Supervisor</x:v>
      </x:c>
      <x:c r="F309" t="str">
        <x:v>790</x:v>
      </x:c>
      <x:c r="G309" t="str">
        <x:v>COMMN</x:v>
      </x:c>
      <x:c r="H309" t="str">
        <x:v>1306Z</x:v>
      </x:c>
      <x:c r="I309" t="str">
        <x:v>$3,708</x:v>
      </x:c>
      <x:c r="J309" t="str"/>
      <x:c r="K309" t="str"/>
      <x:c r="L309" t="str">
        <x:v>$46.3500</x:v>
      </x:c>
      <x:c r="M309" t="str">
        <x:v>$48.6250</x:v>
      </x:c>
      <x:c r="N309" t="str">
        <x:v>$51.0875</x:v>
      </x:c>
      <x:c r="O309" t="str">
        <x:v>$53.6125</x:v>
      </x:c>
      <x:c r="P309" t="str">
        <x:v>$56.3250</x:v>
      </x:c>
      <x:c r="Q309" t="str"/>
      <x:c r="R309" t="str"/>
      <x:c r="S309" t="str"/>
      <x:c r="T309" t="str"/>
      <x:c r="U309" t="str"/>
      <x:c r="V309" t="str"/>
      <x:c r="W309" t="str"/>
      <x:c r="X309" t="str"/>
      <x:c r="Y309" t="str"/>
      <x:c r="Z309" t="str"/>
      <x:c r="AA309" t="str"/>
      <x:c r="AB309" t="str"/>
      <x:c r="AC309" t="str"/>
      <x:c r="AD309" t="str"/>
      <x:c r="AE309" t="str"/>
      <x:c r="AF309" t="str">
        <x:f>D309&amp;"|"&amp;UPPER(G309)&amp;"|"&amp;SUBSTITUTE(C309,"/","-")</x:f>
        <x:v>1306|COMMN|2024-07-01</x:v>
      </x:c>
    </x:row>
    <x:row r="310">
      <x:c r="A310" s="22" t="n">
        <x:v>29841</x:v>
      </x:c>
      <x:c r="B310" t="str">
        <x:v>FY24-25</x:v>
      </x:c>
      <x:c r="C310" t="str">
        <x:v>2025/01/04</x:v>
      </x:c>
      <x:c r="D310" t="str">
        <x:v>1306</x:v>
      </x:c>
      <x:c r="E310" t="str">
        <x:v>Customer Service Representative Supervisor</x:v>
      </x:c>
      <x:c r="F310" t="str">
        <x:v>790</x:v>
      </x:c>
      <x:c r="G310" t="str">
        <x:v>COMMN</x:v>
      </x:c>
      <x:c r="H310" t="str">
        <x:v>1306A</x:v>
      </x:c>
      <x:c r="I310" t="str">
        <x:v>$3,764</x:v>
      </x:c>
      <x:c r="J310" t="str"/>
      <x:c r="K310" t="str"/>
      <x:c r="L310" t="str">
        <x:v>$47.0500</x:v>
      </x:c>
      <x:c r="M310" t="str">
        <x:v>$49.3500</x:v>
      </x:c>
      <x:c r="N310" t="str">
        <x:v>$51.8500</x:v>
      </x:c>
      <x:c r="O310" t="str">
        <x:v>$54.4125</x:v>
      </x:c>
      <x:c r="P310" t="str">
        <x:v>$57.1750</x:v>
      </x:c>
      <x:c r="Q310" t="str"/>
      <x:c r="R310" t="str"/>
      <x:c r="S310" t="str"/>
      <x:c r="T310" t="str"/>
      <x:c r="U310" t="str"/>
      <x:c r="V310" t="str"/>
      <x:c r="W310" t="str"/>
      <x:c r="X310" t="str"/>
      <x:c r="Y310" t="str"/>
      <x:c r="Z310" t="str"/>
      <x:c r="AA310" t="str"/>
      <x:c r="AB310" t="str"/>
      <x:c r="AC310" t="str"/>
      <x:c r="AD310" t="str"/>
      <x:c r="AE310" t="str"/>
      <x:c r="AF310" t="str">
        <x:f>D310&amp;"|"&amp;UPPER(G310)&amp;"|"&amp;SUBSTITUTE(C310,"/","-")</x:f>
        <x:v>1306|COMMN|2025-01-04</x:v>
      </x:c>
    </x:row>
    <x:row r="311">
      <x:c r="A311" s="22" t="n">
        <x:v>31554</x:v>
      </x:c>
      <x:c r="B311" t="str">
        <x:v>FY25-26</x:v>
      </x:c>
      <x:c r="C311" t="str">
        <x:v>2025/07/01</x:v>
      </x:c>
      <x:c r="D311" t="str">
        <x:v>1306</x:v>
      </x:c>
      <x:c r="E311" t="str">
        <x:v>Customer Service Rep Spv</x:v>
      </x:c>
      <x:c r="F311" t="str">
        <x:v>790</x:v>
      </x:c>
      <x:c r="G311" t="str">
        <x:v>COMMN</x:v>
      </x:c>
      <x:c r="H311" t="str">
        <x:v>1306B</x:v>
      </x:c>
      <x:c r="I311" t="str">
        <x:v>$3,840</x:v>
      </x:c>
      <x:c r="J311" t="str"/>
      <x:c r="K311" t="str"/>
      <x:c r="L311" t="str">
        <x:v>$48.0000</x:v>
      </x:c>
      <x:c r="M311" t="str">
        <x:v>$50.3375</x:v>
      </x:c>
      <x:c r="N311" t="str">
        <x:v>$52.8875</x:v>
      </x:c>
      <x:c r="O311" t="str">
        <x:v>$55.5000</x:v>
      </x:c>
      <x:c r="P311" t="str">
        <x:v>$58.3250</x:v>
      </x:c>
      <x:c r="Q311" t="str"/>
      <x:c r="R311" t="str"/>
      <x:c r="S311" t="str"/>
      <x:c r="T311" t="str"/>
      <x:c r="U311" t="str"/>
      <x:c r="V311" t="str"/>
      <x:c r="W311" t="str"/>
      <x:c r="X311" t="str"/>
      <x:c r="Y311" t="str"/>
      <x:c r="Z311" t="str"/>
      <x:c r="AA311" t="str"/>
      <x:c r="AB311" t="str"/>
      <x:c r="AC311" t="str"/>
      <x:c r="AD311" t="str"/>
      <x:c r="AE311" t="str"/>
      <x:c r="AF311" t="str">
        <x:f>D311&amp;"|"&amp;UPPER(G311)&amp;"|"&amp;SUBSTITUTE(C311,"/","-")</x:f>
        <x:v>1306|COMMN|2025-07-01</x:v>
      </x:c>
    </x:row>
    <x:row r="312">
      <x:c r="A312" s="22" t="n">
        <x:v>33239</x:v>
      </x:c>
      <x:c r="B312" t="str">
        <x:v>FY25-26</x:v>
      </x:c>
      <x:c r="C312" t="str">
        <x:v>2026/01/03</x:v>
      </x:c>
      <x:c r="D312" t="str">
        <x:v>1306</x:v>
      </x:c>
      <x:c r="E312" t="str">
        <x:v>Customer Service Rep Spv</x:v>
      </x:c>
      <x:c r="F312" t="str">
        <x:v>790</x:v>
      </x:c>
      <x:c r="G312" t="str">
        <x:v>COMMN</x:v>
      </x:c>
      <x:c r="H312" t="str">
        <x:v>1306C</x:v>
      </x:c>
      <x:c r="I312" t="str">
        <x:v>$3,898</x:v>
      </x:c>
      <x:c r="J312" t="str"/>
      <x:c r="K312" t="str"/>
      <x:c r="L312" t="str">
        <x:v>$48.7250</x:v>
      </x:c>
      <x:c r="M312" t="str">
        <x:v>$51.0875</x:v>
      </x:c>
      <x:c r="N312" t="str">
        <x:v>$53.6750</x:v>
      </x:c>
      <x:c r="O312" t="str">
        <x:v>$56.3375</x:v>
      </x:c>
      <x:c r="P312" t="str">
        <x:v>$59.2000</x:v>
      </x:c>
      <x:c r="Q312" t="str"/>
      <x:c r="R312" t="str"/>
      <x:c r="S312" t="str"/>
      <x:c r="T312" t="str"/>
      <x:c r="U312" t="str"/>
      <x:c r="V312" t="str"/>
      <x:c r="W312" t="str"/>
      <x:c r="X312" t="str"/>
      <x:c r="Y312" t="str"/>
      <x:c r="Z312" t="str"/>
      <x:c r="AA312" t="str"/>
      <x:c r="AB312" t="str"/>
      <x:c r="AC312" t="str"/>
      <x:c r="AD312" t="str"/>
      <x:c r="AE312" t="str"/>
      <x:c r="AF312" t="str">
        <x:f>D312&amp;"|"&amp;UPPER(G312)&amp;"|"&amp;SUBSTITUTE(C312,"/","-")</x:f>
        <x:v>1306|COMMN|2026-01-03</x:v>
      </x:c>
    </x:row>
    <x:row r="313">
      <x:c r="A313" s="22" t="n">
        <x:v>26406</x:v>
      </x:c>
      <x:c r="B313" t="str">
        <x:v>FY23-24</x:v>
      </x:c>
      <x:c r="C313" t="str">
        <x:v>2024/01/06</x:v>
      </x:c>
      <x:c r="D313" t="str">
        <x:v>1326</x:v>
      </x:c>
      <x:c r="E313" t="str">
        <x:v>Customer Service Agent Supervisor</x:v>
      </x:c>
      <x:c r="F313" t="str">
        <x:v>790</x:v>
      </x:c>
      <x:c r="G313" t="str">
        <x:v>COMMN</x:v>
      </x:c>
      <x:c r="H313" t="str">
        <x:v>1326Y</x:v>
      </x:c>
      <x:c r="I313" t="str">
        <x:v>$3,653</x:v>
      </x:c>
      <x:c r="J313" t="str"/>
      <x:c r="K313" t="str"/>
      <x:c r="L313" t="str">
        <x:v>$45.6625</x:v>
      </x:c>
      <x:c r="M313" t="str">
        <x:v>$47.9125</x:v>
      </x:c>
      <x:c r="N313" t="str">
        <x:v>$50.3375</x:v>
      </x:c>
      <x:c r="O313" t="str">
        <x:v>$52.8250</x:v>
      </x:c>
      <x:c r="P313" t="str">
        <x:v>$55.4875</x:v>
      </x:c>
      <x:c r="Q313" t="str"/>
      <x:c r="R313" t="str"/>
      <x:c r="S313" t="str"/>
      <x:c r="T313" t="str"/>
      <x:c r="U313" t="str"/>
      <x:c r="V313" t="str"/>
      <x:c r="W313" t="str"/>
      <x:c r="X313" t="str"/>
      <x:c r="Y313" t="str"/>
      <x:c r="Z313" t="str"/>
      <x:c r="AA313" t="str"/>
      <x:c r="AB313" t="str"/>
      <x:c r="AC313" t="str"/>
      <x:c r="AD313" t="str"/>
      <x:c r="AE313" t="str"/>
      <x:c r="AF313" t="str">
        <x:f>D313&amp;"|"&amp;UPPER(G313)&amp;"|"&amp;SUBSTITUTE(C313,"/","-")</x:f>
        <x:v>1326|COMMN|2024-01-06</x:v>
      </x:c>
    </x:row>
    <x:row r="314">
      <x:c r="A314" s="22" t="n">
        <x:v>28144</x:v>
      </x:c>
      <x:c r="B314" t="str">
        <x:v>FY24-25</x:v>
      </x:c>
      <x:c r="C314" t="str">
        <x:v>2024/07/01</x:v>
      </x:c>
      <x:c r="D314" t="str">
        <x:v>1326</x:v>
      </x:c>
      <x:c r="E314" t="str">
        <x:v>Customer Service Agent Supervisor</x:v>
      </x:c>
      <x:c r="F314" t="str">
        <x:v>790</x:v>
      </x:c>
      <x:c r="G314" t="str">
        <x:v>COMMN</x:v>
      </x:c>
      <x:c r="H314" t="str">
        <x:v>1326Z</x:v>
      </x:c>
      <x:c r="I314" t="str">
        <x:v>$3,708</x:v>
      </x:c>
      <x:c r="J314" t="str"/>
      <x:c r="K314" t="str"/>
      <x:c r="L314" t="str">
        <x:v>$46.3500</x:v>
      </x:c>
      <x:c r="M314" t="str">
        <x:v>$48.6250</x:v>
      </x:c>
      <x:c r="N314" t="str">
        <x:v>$51.0875</x:v>
      </x:c>
      <x:c r="O314" t="str">
        <x:v>$53.6125</x:v>
      </x:c>
      <x:c r="P314" t="str">
        <x:v>$56.3250</x:v>
      </x:c>
      <x:c r="Q314" t="str"/>
      <x:c r="R314" t="str"/>
      <x:c r="S314" t="str"/>
      <x:c r="T314" t="str"/>
      <x:c r="U314" t="str"/>
      <x:c r="V314" t="str"/>
      <x:c r="W314" t="str"/>
      <x:c r="X314" t="str"/>
      <x:c r="Y314" t="str"/>
      <x:c r="Z314" t="str"/>
      <x:c r="AA314" t="str"/>
      <x:c r="AB314" t="str"/>
      <x:c r="AC314" t="str"/>
      <x:c r="AD314" t="str"/>
      <x:c r="AE314" t="str"/>
      <x:c r="AF314" t="str">
        <x:f>D314&amp;"|"&amp;UPPER(G314)&amp;"|"&amp;SUBSTITUTE(C314,"/","-")</x:f>
        <x:v>1326|COMMN|2024-07-01</x:v>
      </x:c>
    </x:row>
    <x:row r="315">
      <x:c r="A315" s="22" t="n">
        <x:v>29850</x:v>
      </x:c>
      <x:c r="B315" t="str">
        <x:v>FY24-25</x:v>
      </x:c>
      <x:c r="C315" t="str">
        <x:v>2025/01/04</x:v>
      </x:c>
      <x:c r="D315" t="str">
        <x:v>1326</x:v>
      </x:c>
      <x:c r="E315" t="str">
        <x:v>Customer Service Agent Supervisor</x:v>
      </x:c>
      <x:c r="F315" t="str">
        <x:v>790</x:v>
      </x:c>
      <x:c r="G315" t="str">
        <x:v>COMMN</x:v>
      </x:c>
      <x:c r="H315" t="str">
        <x:v>1326A</x:v>
      </x:c>
      <x:c r="I315" t="str">
        <x:v>$3,764</x:v>
      </x:c>
      <x:c r="J315" t="str"/>
      <x:c r="K315" t="str"/>
      <x:c r="L315" t="str">
        <x:v>$47.0500</x:v>
      </x:c>
      <x:c r="M315" t="str">
        <x:v>$49.3500</x:v>
      </x:c>
      <x:c r="N315" t="str">
        <x:v>$51.8500</x:v>
      </x:c>
      <x:c r="O315" t="str">
        <x:v>$54.4125</x:v>
      </x:c>
      <x:c r="P315" t="str">
        <x:v>$57.1750</x:v>
      </x:c>
      <x:c r="Q315" t="str"/>
      <x:c r="R315" t="str"/>
      <x:c r="S315" t="str"/>
      <x:c r="T315" t="str"/>
      <x:c r="U315" t="str"/>
      <x:c r="V315" t="str"/>
      <x:c r="W315" t="str"/>
      <x:c r="X315" t="str"/>
      <x:c r="Y315" t="str"/>
      <x:c r="Z315" t="str"/>
      <x:c r="AA315" t="str"/>
      <x:c r="AB315" t="str"/>
      <x:c r="AC315" t="str"/>
      <x:c r="AD315" t="str"/>
      <x:c r="AE315" t="str"/>
      <x:c r="AF315" t="str">
        <x:f>D315&amp;"|"&amp;UPPER(G315)&amp;"|"&amp;SUBSTITUTE(C315,"/","-")</x:f>
        <x:v>1326|COMMN|2025-01-04</x:v>
      </x:c>
    </x:row>
    <x:row r="316">
      <x:c r="A316" s="22" t="n">
        <x:v>31563</x:v>
      </x:c>
      <x:c r="B316" t="str">
        <x:v>FY25-26</x:v>
      </x:c>
      <x:c r="C316" t="str">
        <x:v>2025/07/01</x:v>
      </x:c>
      <x:c r="D316" t="str">
        <x:v>1326</x:v>
      </x:c>
      <x:c r="E316" t="str">
        <x:v>Customer Service Agent Supv</x:v>
      </x:c>
      <x:c r="F316" t="str">
        <x:v>790</x:v>
      </x:c>
      <x:c r="G316" t="str">
        <x:v>COMMN</x:v>
      </x:c>
      <x:c r="H316" t="str">
        <x:v>1326B</x:v>
      </x:c>
      <x:c r="I316" t="str">
        <x:v>$3,840</x:v>
      </x:c>
      <x:c r="J316" t="str"/>
      <x:c r="K316" t="str"/>
      <x:c r="L316" t="str">
        <x:v>$48.0000</x:v>
      </x:c>
      <x:c r="M316" t="str">
        <x:v>$50.3375</x:v>
      </x:c>
      <x:c r="N316" t="str">
        <x:v>$52.8875</x:v>
      </x:c>
      <x:c r="O316" t="str">
        <x:v>$55.5000</x:v>
      </x:c>
      <x:c r="P316" t="str">
        <x:v>$58.3250</x:v>
      </x:c>
      <x:c r="Q316" t="str"/>
      <x:c r="R316" t="str"/>
      <x:c r="S316" t="str"/>
      <x:c r="T316" t="str"/>
      <x:c r="U316" t="str"/>
      <x:c r="V316" t="str"/>
      <x:c r="W316" t="str"/>
      <x:c r="X316" t="str"/>
      <x:c r="Y316" t="str"/>
      <x:c r="Z316" t="str"/>
      <x:c r="AA316" t="str"/>
      <x:c r="AB316" t="str"/>
      <x:c r="AC316" t="str"/>
      <x:c r="AD316" t="str"/>
      <x:c r="AE316" t="str"/>
      <x:c r="AF316" t="str">
        <x:f>D316&amp;"|"&amp;UPPER(G316)&amp;"|"&amp;SUBSTITUTE(C316,"/","-")</x:f>
        <x:v>1326|COMMN|2025-07-01</x:v>
      </x:c>
    </x:row>
    <x:row r="317">
      <x:c r="A317" s="22" t="n">
        <x:v>33248</x:v>
      </x:c>
      <x:c r="B317" t="str">
        <x:v>FY25-26</x:v>
      </x:c>
      <x:c r="C317" t="str">
        <x:v>2026/01/03</x:v>
      </x:c>
      <x:c r="D317" t="str">
        <x:v>1326</x:v>
      </x:c>
      <x:c r="E317" t="str">
        <x:v>Customer Service Agent Supv</x:v>
      </x:c>
      <x:c r="F317" t="str">
        <x:v>790</x:v>
      </x:c>
      <x:c r="G317" t="str">
        <x:v>COMMN</x:v>
      </x:c>
      <x:c r="H317" t="str">
        <x:v>1326C</x:v>
      </x:c>
      <x:c r="I317" t="str">
        <x:v>$3,898</x:v>
      </x:c>
      <x:c r="J317" t="str"/>
      <x:c r="K317" t="str"/>
      <x:c r="L317" t="str">
        <x:v>$48.7250</x:v>
      </x:c>
      <x:c r="M317" t="str">
        <x:v>$51.0875</x:v>
      </x:c>
      <x:c r="N317" t="str">
        <x:v>$53.6750</x:v>
      </x:c>
      <x:c r="O317" t="str">
        <x:v>$56.3375</x:v>
      </x:c>
      <x:c r="P317" t="str">
        <x:v>$59.2000</x:v>
      </x:c>
      <x:c r="Q317" t="str"/>
      <x:c r="R317" t="str"/>
      <x:c r="S317" t="str"/>
      <x:c r="T317" t="str"/>
      <x:c r="U317" t="str"/>
      <x:c r="V317" t="str"/>
      <x:c r="W317" t="str"/>
      <x:c r="X317" t="str"/>
      <x:c r="Y317" t="str"/>
      <x:c r="Z317" t="str"/>
      <x:c r="AA317" t="str"/>
      <x:c r="AB317" t="str"/>
      <x:c r="AC317" t="str"/>
      <x:c r="AD317" t="str"/>
      <x:c r="AE317" t="str"/>
      <x:c r="AF317" t="str">
        <x:f>D317&amp;"|"&amp;UPPER(G317)&amp;"|"&amp;SUBSTITUTE(C317,"/","-")</x:f>
        <x:v>1326|COMMN|2026-01-03</x:v>
      </x:c>
    </x:row>
    <x:row r="318">
      <x:c r="A318" s="22" t="n">
        <x:v>26407</x:v>
      </x:c>
      <x:c r="B318" t="str">
        <x:v>FY23-24</x:v>
      </x:c>
      <x:c r="C318" t="str">
        <x:v>2024/01/06</x:v>
      </x:c>
      <x:c r="D318" t="str">
        <x:v>1360</x:v>
      </x:c>
      <x:c r="E318" t="str">
        <x:v>Special Assistant I</x:v>
      </x:c>
      <x:c r="F318" t="str">
        <x:v>021</x:v>
      </x:c>
      <x:c r="G318" t="str">
        <x:v>COMMN</x:v>
      </x:c>
      <x:c r="H318" t="str">
        <x:v>1360Y</x:v>
      </x:c>
      <x:c r="I318" t="str">
        <x:v>$2,160</x:v>
      </x:c>
      <x:c r="J318" t="str"/>
      <x:c r="K318" t="str"/>
      <x:c r="L318" t="str">
        <x:v>$27.0000</x:v>
      </x:c>
      <x:c r="M318" t="str">
        <x:v>$28.3000</x:v>
      </x:c>
      <x:c r="N318" t="str">
        <x:v>$29.7250</x:v>
      </x:c>
      <x:c r="O318" t="str">
        <x:v>$31.2000</x:v>
      </x:c>
      <x:c r="P318" t="str">
        <x:v>$32.7750</x:v>
      </x:c>
      <x:c r="Q318" t="str"/>
      <x:c r="R318" t="str"/>
      <x:c r="S318" t="str"/>
      <x:c r="T318" t="str"/>
      <x:c r="U318" t="str"/>
      <x:c r="V318" t="str"/>
      <x:c r="W318" t="str"/>
      <x:c r="X318" t="str"/>
      <x:c r="Y318" t="str"/>
      <x:c r="Z318" t="str"/>
      <x:c r="AA318" t="str"/>
      <x:c r="AB318" t="str"/>
      <x:c r="AC318" t="str"/>
      <x:c r="AD318" t="str"/>
      <x:c r="AE318" t="str"/>
      <x:c r="AF318" t="str">
        <x:f>D318&amp;"|"&amp;UPPER(G318)&amp;"|"&amp;SUBSTITUTE(C318,"/","-")</x:f>
        <x:v>1360|COMMN|2024-01-06</x:v>
      </x:c>
    </x:row>
    <x:row r="319">
      <x:c r="A319" s="22" t="n">
        <x:v>26408</x:v>
      </x:c>
      <x:c r="B319" t="str">
        <x:v>FY23-24</x:v>
      </x:c>
      <x:c r="C319" t="str">
        <x:v>2024/01/06</x:v>
      </x:c>
      <x:c r="D319" t="str">
        <x:v>1360</x:v>
      </x:c>
      <x:c r="E319" t="str">
        <x:v>Special Assistant I</x:v>
      </x:c>
      <x:c r="F319" t="str">
        <x:v>021</x:v>
      </x:c>
      <x:c r="G319" t="str">
        <x:v>SFMTA</x:v>
      </x:c>
      <x:c r="H319" t="str">
        <x:v>1360Y</x:v>
      </x:c>
      <x:c r="I319" t="str">
        <x:v>$2,160</x:v>
      </x:c>
      <x:c r="J319" t="str"/>
      <x:c r="K319" t="str"/>
      <x:c r="L319" t="str">
        <x:v>$27.0000</x:v>
      </x:c>
      <x:c r="M319" t="str">
        <x:v>$28.3000</x:v>
      </x:c>
      <x:c r="N319" t="str">
        <x:v>$29.7250</x:v>
      </x:c>
      <x:c r="O319" t="str">
        <x:v>$31.2000</x:v>
      </x:c>
      <x:c r="P319" t="str">
        <x:v>$32.7750</x:v>
      </x:c>
      <x:c r="Q319" t="str"/>
      <x:c r="R319" t="str"/>
      <x:c r="S319" t="str"/>
      <x:c r="T319" t="str"/>
      <x:c r="U319" t="str"/>
      <x:c r="V319" t="str"/>
      <x:c r="W319" t="str"/>
      <x:c r="X319" t="str"/>
      <x:c r="Y319" t="str"/>
      <x:c r="Z319" t="str"/>
      <x:c r="AA319" t="str"/>
      <x:c r="AB319" t="str"/>
      <x:c r="AC319" t="str"/>
      <x:c r="AD319" t="str"/>
      <x:c r="AE319" t="str"/>
      <x:c r="AF319" t="str">
        <x:f>D319&amp;"|"&amp;UPPER(G319)&amp;"|"&amp;SUBSTITUTE(C319,"/","-")</x:f>
        <x:v>1360|SFMTA|2024-01-06</x:v>
      </x:c>
    </x:row>
    <x:row r="320">
      <x:c r="A320" s="22" t="n">
        <x:v>28145</x:v>
      </x:c>
      <x:c r="B320" t="str">
        <x:v>FY24-25</x:v>
      </x:c>
      <x:c r="C320" t="str">
        <x:v>2024/07/01</x:v>
      </x:c>
      <x:c r="D320" t="str">
        <x:v>1360</x:v>
      </x:c>
      <x:c r="E320" t="str">
        <x:v>Special Assistant I</x:v>
      </x:c>
      <x:c r="F320" t="str">
        <x:v>021</x:v>
      </x:c>
      <x:c r="G320" t="str">
        <x:v>COMMN</x:v>
      </x:c>
      <x:c r="H320" t="str">
        <x:v>1360Z</x:v>
      </x:c>
      <x:c r="I320" t="str">
        <x:v>$2,192</x:v>
      </x:c>
      <x:c r="J320" t="str"/>
      <x:c r="K320" t="str"/>
      <x:c r="L320" t="str">
        <x:v>$27.4000</x:v>
      </x:c>
      <x:c r="M320" t="str">
        <x:v>$28.7250</x:v>
      </x:c>
      <x:c r="N320" t="str">
        <x:v>$30.1750</x:v>
      </x:c>
      <x:c r="O320" t="str">
        <x:v>$31.6625</x:v>
      </x:c>
      <x:c r="P320" t="str">
        <x:v>$33.2625</x:v>
      </x:c>
      <x:c r="Q320" t="str"/>
      <x:c r="R320" t="str"/>
      <x:c r="S320" t="str"/>
      <x:c r="T320" t="str"/>
      <x:c r="U320" t="str"/>
      <x:c r="V320" t="str"/>
      <x:c r="W320" t="str"/>
      <x:c r="X320" t="str"/>
      <x:c r="Y320" t="str"/>
      <x:c r="Z320" t="str"/>
      <x:c r="AA320" t="str"/>
      <x:c r="AB320" t="str"/>
      <x:c r="AC320" t="str"/>
      <x:c r="AD320" t="str"/>
      <x:c r="AE320" t="str"/>
      <x:c r="AF320" t="str">
        <x:f>D320&amp;"|"&amp;UPPER(G320)&amp;"|"&amp;SUBSTITUTE(C320,"/","-")</x:f>
        <x:v>1360|COMMN|2024-07-01</x:v>
      </x:c>
    </x:row>
    <x:row r="321">
      <x:c r="A321" s="22" t="n">
        <x:v>28146</x:v>
      </x:c>
      <x:c r="B321" t="str">
        <x:v>FY24-25</x:v>
      </x:c>
      <x:c r="C321" t="str">
        <x:v>2024/07/01</x:v>
      </x:c>
      <x:c r="D321" t="str">
        <x:v>1360</x:v>
      </x:c>
      <x:c r="E321" t="str">
        <x:v>Special Assistant I</x:v>
      </x:c>
      <x:c r="F321" t="str">
        <x:v>021</x:v>
      </x:c>
      <x:c r="G321" t="str">
        <x:v>SFMTA</x:v>
      </x:c>
      <x:c r="H321" t="str">
        <x:v>1360Z</x:v>
      </x:c>
      <x:c r="I321" t="str">
        <x:v>$2,192</x:v>
      </x:c>
      <x:c r="J321" t="str"/>
      <x:c r="K321" t="str"/>
      <x:c r="L321" t="str">
        <x:v>$27.4000</x:v>
      </x:c>
      <x:c r="M321" t="str">
        <x:v>$28.7250</x:v>
      </x:c>
      <x:c r="N321" t="str">
        <x:v>$30.1750</x:v>
      </x:c>
      <x:c r="O321" t="str">
        <x:v>$31.6625</x:v>
      </x:c>
      <x:c r="P321" t="str">
        <x:v>$33.2625</x:v>
      </x:c>
      <x:c r="Q321" t="str"/>
      <x:c r="R321" t="str"/>
      <x:c r="S321" t="str"/>
      <x:c r="T321" t="str"/>
      <x:c r="U321" t="str"/>
      <x:c r="V321" t="str"/>
      <x:c r="W321" t="str"/>
      <x:c r="X321" t="str"/>
      <x:c r="Y321" t="str"/>
      <x:c r="Z321" t="str"/>
      <x:c r="AA321" t="str"/>
      <x:c r="AB321" t="str"/>
      <x:c r="AC321" t="str"/>
      <x:c r="AD321" t="str"/>
      <x:c r="AE321" t="str"/>
      <x:c r="AF321" t="str">
        <x:f>D321&amp;"|"&amp;UPPER(G321)&amp;"|"&amp;SUBSTITUTE(C321,"/","-")</x:f>
        <x:v>1360|SFMTA|2024-07-01</x:v>
      </x:c>
    </x:row>
    <x:row r="322">
      <x:c r="A322" s="22" t="n">
        <x:v>29851</x:v>
      </x:c>
      <x:c r="B322" t="str">
        <x:v>FY24-25</x:v>
      </x:c>
      <x:c r="C322" t="str">
        <x:v>2025/01/04</x:v>
      </x:c>
      <x:c r="D322" t="str">
        <x:v>1360</x:v>
      </x:c>
      <x:c r="E322" t="str">
        <x:v>Special Assistant I</x:v>
      </x:c>
      <x:c r="F322" t="str">
        <x:v>021</x:v>
      </x:c>
      <x:c r="G322" t="str">
        <x:v>COMMN</x:v>
      </x:c>
      <x:c r="H322" t="str">
        <x:v>1360A</x:v>
      </x:c>
      <x:c r="I322" t="str">
        <x:v>$2,225</x:v>
      </x:c>
      <x:c r="J322" t="str"/>
      <x:c r="K322" t="str"/>
      <x:c r="L322" t="str">
        <x:v>$27.8125</x:v>
      </x:c>
      <x:c r="M322" t="str">
        <x:v>$29.1500</x:v>
      </x:c>
      <x:c r="N322" t="str">
        <x:v>$30.6250</x:v>
      </x:c>
      <x:c r="O322" t="str">
        <x:v>$32.1375</x:v>
      </x:c>
      <x:c r="P322" t="str">
        <x:v>$33.7625</x:v>
      </x:c>
      <x:c r="Q322" t="str"/>
      <x:c r="R322" t="str"/>
      <x:c r="S322" t="str"/>
      <x:c r="T322" t="str"/>
      <x:c r="U322" t="str"/>
      <x:c r="V322" t="str"/>
      <x:c r="W322" t="str"/>
      <x:c r="X322" t="str"/>
      <x:c r="Y322" t="str"/>
      <x:c r="Z322" t="str"/>
      <x:c r="AA322" t="str"/>
      <x:c r="AB322" t="str"/>
      <x:c r="AC322" t="str"/>
      <x:c r="AD322" t="str"/>
      <x:c r="AE322" t="str"/>
      <x:c r="AF322" t="str">
        <x:f>D322&amp;"|"&amp;UPPER(G322)&amp;"|"&amp;SUBSTITUTE(C322,"/","-")</x:f>
        <x:v>1360|COMMN|2025-01-04</x:v>
      </x:c>
    </x:row>
    <x:row r="323">
      <x:c r="A323" s="22" t="n">
        <x:v>29852</x:v>
      </x:c>
      <x:c r="B323" t="str">
        <x:v>FY24-25</x:v>
      </x:c>
      <x:c r="C323" t="str">
        <x:v>2025/01/04</x:v>
      </x:c>
      <x:c r="D323" t="str">
        <x:v>1360</x:v>
      </x:c>
      <x:c r="E323" t="str">
        <x:v>Special Assistant I</x:v>
      </x:c>
      <x:c r="F323" t="str">
        <x:v>021</x:v>
      </x:c>
      <x:c r="G323" t="str">
        <x:v>SFMTA</x:v>
      </x:c>
      <x:c r="H323" t="str">
        <x:v>1360A</x:v>
      </x:c>
      <x:c r="I323" t="str">
        <x:v>$2,225</x:v>
      </x:c>
      <x:c r="J323" t="str"/>
      <x:c r="K323" t="str"/>
      <x:c r="L323" t="str">
        <x:v>$27.8125</x:v>
      </x:c>
      <x:c r="M323" t="str">
        <x:v>$29.1500</x:v>
      </x:c>
      <x:c r="N323" t="str">
        <x:v>$30.6250</x:v>
      </x:c>
      <x:c r="O323" t="str">
        <x:v>$32.1375</x:v>
      </x:c>
      <x:c r="P323" t="str">
        <x:v>$33.7625</x:v>
      </x:c>
      <x:c r="Q323" t="str"/>
      <x:c r="R323" t="str"/>
      <x:c r="S323" t="str"/>
      <x:c r="T323" t="str"/>
      <x:c r="U323" t="str"/>
      <x:c r="V323" t="str"/>
      <x:c r="W323" t="str"/>
      <x:c r="X323" t="str"/>
      <x:c r="Y323" t="str"/>
      <x:c r="Z323" t="str"/>
      <x:c r="AA323" t="str"/>
      <x:c r="AB323" t="str"/>
      <x:c r="AC323" t="str"/>
      <x:c r="AD323" t="str"/>
      <x:c r="AE323" t="str"/>
      <x:c r="AF323" t="str">
        <x:f>D323&amp;"|"&amp;UPPER(G323)&amp;"|"&amp;SUBSTITUTE(C323,"/","-")</x:f>
        <x:v>1360|SFMTA|2025-01-04</x:v>
      </x:c>
    </x:row>
    <x:row r="324">
      <x:c r="A324" s="22" t="n">
        <x:v>31564</x:v>
      </x:c>
      <x:c r="B324" t="str">
        <x:v>FY25-26</x:v>
      </x:c>
      <x:c r="C324" t="str">
        <x:v>2025/07/01</x:v>
      </x:c>
      <x:c r="D324" t="str">
        <x:v>1360</x:v>
      </x:c>
      <x:c r="E324" t="str">
        <x:v>Special Assistant 1</x:v>
      </x:c>
      <x:c r="F324" t="str">
        <x:v>021</x:v>
      </x:c>
      <x:c r="G324" t="str">
        <x:v>COMMN</x:v>
      </x:c>
      <x:c r="H324" t="str">
        <x:v>1360B</x:v>
      </x:c>
      <x:c r="I324" t="str">
        <x:v>$2,270</x:v>
      </x:c>
      <x:c r="J324" t="str"/>
      <x:c r="K324" t="str"/>
      <x:c r="L324" t="str">
        <x:v>$28.3750</x:v>
      </x:c>
      <x:c r="M324" t="str">
        <x:v>$29.7375</x:v>
      </x:c>
      <x:c r="N324" t="str">
        <x:v>$31.2375</x:v>
      </x:c>
      <x:c r="O324" t="str">
        <x:v>$32.7875</x:v>
      </x:c>
      <x:c r="P324" t="str">
        <x:v>$34.4375</x:v>
      </x:c>
      <x:c r="Q324" t="str"/>
      <x:c r="R324" t="str"/>
      <x:c r="S324" t="str"/>
      <x:c r="T324" t="str"/>
      <x:c r="U324" t="str"/>
      <x:c r="V324" t="str"/>
      <x:c r="W324" t="str"/>
      <x:c r="X324" t="str"/>
      <x:c r="Y324" t="str"/>
      <x:c r="Z324" t="str"/>
      <x:c r="AA324" t="str"/>
      <x:c r="AB324" t="str"/>
      <x:c r="AC324" t="str"/>
      <x:c r="AD324" t="str"/>
      <x:c r="AE324" t="str"/>
      <x:c r="AF324" t="str">
        <x:f>D324&amp;"|"&amp;UPPER(G324)&amp;"|"&amp;SUBSTITUTE(C324,"/","-")</x:f>
        <x:v>1360|COMMN|2025-07-01</x:v>
      </x:c>
    </x:row>
    <x:row r="325">
      <x:c r="A325" s="22" t="n">
        <x:v>31565</x:v>
      </x:c>
      <x:c r="B325" t="str">
        <x:v>FY25-26</x:v>
      </x:c>
      <x:c r="C325" t="str">
        <x:v>2025/07/01</x:v>
      </x:c>
      <x:c r="D325" t="str">
        <x:v>1360</x:v>
      </x:c>
      <x:c r="E325" t="str">
        <x:v>Special Assistant 1</x:v>
      </x:c>
      <x:c r="F325" t="str">
        <x:v>021</x:v>
      </x:c>
      <x:c r="G325" t="str">
        <x:v>SFMTA</x:v>
      </x:c>
      <x:c r="H325" t="str">
        <x:v>1360B</x:v>
      </x:c>
      <x:c r="I325" t="str">
        <x:v>$2,270</x:v>
      </x:c>
      <x:c r="J325" t="str"/>
      <x:c r="K325" t="str"/>
      <x:c r="L325" t="str">
        <x:v>$28.3750</x:v>
      </x:c>
      <x:c r="M325" t="str">
        <x:v>$29.7375</x:v>
      </x:c>
      <x:c r="N325" t="str">
        <x:v>$31.2375</x:v>
      </x:c>
      <x:c r="O325" t="str">
        <x:v>$32.7875</x:v>
      </x:c>
      <x:c r="P325" t="str">
        <x:v>$34.4375</x:v>
      </x:c>
      <x:c r="Q325" t="str"/>
      <x:c r="R325" t="str"/>
      <x:c r="S325" t="str"/>
      <x:c r="T325" t="str"/>
      <x:c r="U325" t="str"/>
      <x:c r="V325" t="str"/>
      <x:c r="W325" t="str"/>
      <x:c r="X325" t="str"/>
      <x:c r="Y325" t="str"/>
      <x:c r="Z325" t="str"/>
      <x:c r="AA325" t="str"/>
      <x:c r="AB325" t="str"/>
      <x:c r="AC325" t="str"/>
      <x:c r="AD325" t="str"/>
      <x:c r="AE325" t="str"/>
      <x:c r="AF325" t="str">
        <x:f>D325&amp;"|"&amp;UPPER(G325)&amp;"|"&amp;SUBSTITUTE(C325,"/","-")</x:f>
        <x:v>1360|SFMTA|2025-07-01</x:v>
      </x:c>
    </x:row>
    <x:row r="326">
      <x:c r="A326" s="22" t="n">
        <x:v>33249</x:v>
      </x:c>
      <x:c r="B326" t="str">
        <x:v>FY25-26</x:v>
      </x:c>
      <x:c r="C326" t="str">
        <x:v>2026/01/03</x:v>
      </x:c>
      <x:c r="D326" t="str">
        <x:v>1360</x:v>
      </x:c>
      <x:c r="E326" t="str">
        <x:v>Special Assistant 1</x:v>
      </x:c>
      <x:c r="F326" t="str">
        <x:v>021</x:v>
      </x:c>
      <x:c r="G326" t="str">
        <x:v>COMMN</x:v>
      </x:c>
      <x:c r="H326" t="str">
        <x:v>1360C</x:v>
      </x:c>
      <x:c r="I326" t="str">
        <x:v>$2,304</x:v>
      </x:c>
      <x:c r="J326" t="str"/>
      <x:c r="K326" t="str"/>
      <x:c r="L326" t="str">
        <x:v>$28.8000</x:v>
      </x:c>
      <x:c r="M326" t="str">
        <x:v>$30.1875</x:v>
      </x:c>
      <x:c r="N326" t="str">
        <x:v>$31.7000</x:v>
      </x:c>
      <x:c r="O326" t="str">
        <x:v>$33.2750</x:v>
      </x:c>
      <x:c r="P326" t="str">
        <x:v>$34.9500</x:v>
      </x:c>
      <x:c r="Q326" t="str"/>
      <x:c r="R326" t="str"/>
      <x:c r="S326" t="str"/>
      <x:c r="T326" t="str"/>
      <x:c r="U326" t="str"/>
      <x:c r="V326" t="str"/>
      <x:c r="W326" t="str"/>
      <x:c r="X326" t="str"/>
      <x:c r="Y326" t="str"/>
      <x:c r="Z326" t="str"/>
      <x:c r="AA326" t="str"/>
      <x:c r="AB326" t="str"/>
      <x:c r="AC326" t="str"/>
      <x:c r="AD326" t="str"/>
      <x:c r="AE326" t="str"/>
      <x:c r="AF326" t="str">
        <x:f>D326&amp;"|"&amp;UPPER(G326)&amp;"|"&amp;SUBSTITUTE(C326,"/","-")</x:f>
        <x:v>1360|COMMN|2026-01-03</x:v>
      </x:c>
    </x:row>
    <x:row r="327">
      <x:c r="A327" s="22" t="n">
        <x:v>33250</x:v>
      </x:c>
      <x:c r="B327" t="str">
        <x:v>FY25-26</x:v>
      </x:c>
      <x:c r="C327" t="str">
        <x:v>2026/01/03</x:v>
      </x:c>
      <x:c r="D327" t="str">
        <x:v>1360</x:v>
      </x:c>
      <x:c r="E327" t="str">
        <x:v>Special Assistant 1</x:v>
      </x:c>
      <x:c r="F327" t="str">
        <x:v>021</x:v>
      </x:c>
      <x:c r="G327" t="str">
        <x:v>SFMTA</x:v>
      </x:c>
      <x:c r="H327" t="str">
        <x:v>1360C</x:v>
      </x:c>
      <x:c r="I327" t="str">
        <x:v>$2,304</x:v>
      </x:c>
      <x:c r="J327" t="str"/>
      <x:c r="K327" t="str"/>
      <x:c r="L327" t="str">
        <x:v>$28.8000</x:v>
      </x:c>
      <x:c r="M327" t="str">
        <x:v>$30.1875</x:v>
      </x:c>
      <x:c r="N327" t="str">
        <x:v>$31.7000</x:v>
      </x:c>
      <x:c r="O327" t="str">
        <x:v>$33.2750</x:v>
      </x:c>
      <x:c r="P327" t="str">
        <x:v>$34.9500</x:v>
      </x:c>
      <x:c r="Q327" t="str"/>
      <x:c r="R327" t="str"/>
      <x:c r="S327" t="str"/>
      <x:c r="T327" t="str"/>
      <x:c r="U327" t="str"/>
      <x:c r="V327" t="str"/>
      <x:c r="W327" t="str"/>
      <x:c r="X327" t="str"/>
      <x:c r="Y327" t="str"/>
      <x:c r="Z327" t="str"/>
      <x:c r="AA327" t="str"/>
      <x:c r="AB327" t="str"/>
      <x:c r="AC327" t="str"/>
      <x:c r="AD327" t="str"/>
      <x:c r="AE327" t="str"/>
      <x:c r="AF327" t="str">
        <x:f>D327&amp;"|"&amp;UPPER(G327)&amp;"|"&amp;SUBSTITUTE(C327,"/","-")</x:f>
        <x:v>1360|SFMTA|2026-01-03</x:v>
      </x:c>
    </x:row>
    <x:row r="328">
      <x:c r="A328" s="22" t="n">
        <x:v>26409</x:v>
      </x:c>
      <x:c r="B328" t="str">
        <x:v>FY23-24</x:v>
      </x:c>
      <x:c r="C328" t="str">
        <x:v>2024/01/06</x:v>
      </x:c>
      <x:c r="D328" t="str">
        <x:v>1361</x:v>
      </x:c>
      <x:c r="E328" t="str">
        <x:v>Special Assistant II</x:v>
      </x:c>
      <x:c r="F328" t="str">
        <x:v>021</x:v>
      </x:c>
      <x:c r="G328" t="str">
        <x:v>COMMN</x:v>
      </x:c>
      <x:c r="H328" t="str">
        <x:v>1361Y</x:v>
      </x:c>
      <x:c r="I328" t="str">
        <x:v>$2,318</x:v>
      </x:c>
      <x:c r="J328" t="str"/>
      <x:c r="K328" t="str"/>
      <x:c r="L328" t="str">
        <x:v>$28.9750</x:v>
      </x:c>
      <x:c r="M328" t="str">
        <x:v>$30.4500</x:v>
      </x:c>
      <x:c r="N328" t="str">
        <x:v>$31.9625</x:v>
      </x:c>
      <x:c r="O328" t="str">
        <x:v>$33.5750</x:v>
      </x:c>
      <x:c r="P328" t="str">
        <x:v>$35.2500</x:v>
      </x:c>
      <x:c r="Q328" t="str"/>
      <x:c r="R328" t="str"/>
      <x:c r="S328" t="str"/>
      <x:c r="T328" t="str"/>
      <x:c r="U328" t="str"/>
      <x:c r="V328" t="str"/>
      <x:c r="W328" t="str"/>
      <x:c r="X328" t="str"/>
      <x:c r="Y328" t="str"/>
      <x:c r="Z328" t="str"/>
      <x:c r="AA328" t="str"/>
      <x:c r="AB328" t="str"/>
      <x:c r="AC328" t="str"/>
      <x:c r="AD328" t="str"/>
      <x:c r="AE328" t="str"/>
      <x:c r="AF328" t="str">
        <x:f>D328&amp;"|"&amp;UPPER(G328)&amp;"|"&amp;SUBSTITUTE(C328,"/","-")</x:f>
        <x:v>1361|COMMN|2024-01-06</x:v>
      </x:c>
    </x:row>
    <x:row r="329">
      <x:c r="A329" s="22" t="n">
        <x:v>26410</x:v>
      </x:c>
      <x:c r="B329" t="str">
        <x:v>FY23-24</x:v>
      </x:c>
      <x:c r="C329" t="str">
        <x:v>2024/01/06</x:v>
      </x:c>
      <x:c r="D329" t="str">
        <x:v>1361</x:v>
      </x:c>
      <x:c r="E329" t="str">
        <x:v>Special Assistant II</x:v>
      </x:c>
      <x:c r="F329" t="str">
        <x:v>021</x:v>
      </x:c>
      <x:c r="G329" t="str">
        <x:v>SFMTA</x:v>
      </x:c>
      <x:c r="H329" t="str">
        <x:v>1361Y</x:v>
      </x:c>
      <x:c r="I329" t="str">
        <x:v>$2,318</x:v>
      </x:c>
      <x:c r="J329" t="str"/>
      <x:c r="K329" t="str"/>
      <x:c r="L329" t="str">
        <x:v>$28.9750</x:v>
      </x:c>
      <x:c r="M329" t="str">
        <x:v>$30.4500</x:v>
      </x:c>
      <x:c r="N329" t="str">
        <x:v>$31.9625</x:v>
      </x:c>
      <x:c r="O329" t="str">
        <x:v>$33.5750</x:v>
      </x:c>
      <x:c r="P329" t="str">
        <x:v>$35.2500</x:v>
      </x:c>
      <x:c r="Q329" t="str"/>
      <x:c r="R329" t="str"/>
      <x:c r="S329" t="str"/>
      <x:c r="T329" t="str"/>
      <x:c r="U329" t="str"/>
      <x:c r="V329" t="str"/>
      <x:c r="W329" t="str"/>
      <x:c r="X329" t="str"/>
      <x:c r="Y329" t="str"/>
      <x:c r="Z329" t="str"/>
      <x:c r="AA329" t="str"/>
      <x:c r="AB329" t="str"/>
      <x:c r="AC329" t="str"/>
      <x:c r="AD329" t="str"/>
      <x:c r="AE329" t="str"/>
      <x:c r="AF329" t="str">
        <x:f>D329&amp;"|"&amp;UPPER(G329)&amp;"|"&amp;SUBSTITUTE(C329,"/","-")</x:f>
        <x:v>1361|SFMTA|2024-01-06</x:v>
      </x:c>
    </x:row>
    <x:row r="330">
      <x:c r="A330" s="22" t="n">
        <x:v>28147</x:v>
      </x:c>
      <x:c r="B330" t="str">
        <x:v>FY24-25</x:v>
      </x:c>
      <x:c r="C330" t="str">
        <x:v>2024/07/01</x:v>
      </x:c>
      <x:c r="D330" t="str">
        <x:v>1361</x:v>
      </x:c>
      <x:c r="E330" t="str">
        <x:v>Special Assistant II</x:v>
      </x:c>
      <x:c r="F330" t="str">
        <x:v>021</x:v>
      </x:c>
      <x:c r="G330" t="str">
        <x:v>COMMN</x:v>
      </x:c>
      <x:c r="H330" t="str">
        <x:v>1361Z</x:v>
      </x:c>
      <x:c r="I330" t="str">
        <x:v>$2,353</x:v>
      </x:c>
      <x:c r="J330" t="str"/>
      <x:c r="K330" t="str"/>
      <x:c r="L330" t="str">
        <x:v>$29.4125</x:v>
      </x:c>
      <x:c r="M330" t="str">
        <x:v>$30.9125</x:v>
      </x:c>
      <x:c r="N330" t="str">
        <x:v>$32.4375</x:v>
      </x:c>
      <x:c r="O330" t="str">
        <x:v>$34.0750</x:v>
      </x:c>
      <x:c r="P330" t="str">
        <x:v>$35.7750</x:v>
      </x:c>
      <x:c r="Q330" t="str"/>
      <x:c r="R330" t="str"/>
      <x:c r="S330" t="str"/>
      <x:c r="T330" t="str"/>
      <x:c r="U330" t="str"/>
      <x:c r="V330" t="str"/>
      <x:c r="W330" t="str"/>
      <x:c r="X330" t="str"/>
      <x:c r="Y330" t="str"/>
      <x:c r="Z330" t="str"/>
      <x:c r="AA330" t="str"/>
      <x:c r="AB330" t="str"/>
      <x:c r="AC330" t="str"/>
      <x:c r="AD330" t="str"/>
      <x:c r="AE330" t="str"/>
      <x:c r="AF330" t="str">
        <x:f>D330&amp;"|"&amp;UPPER(G330)&amp;"|"&amp;SUBSTITUTE(C330,"/","-")</x:f>
        <x:v>1361|COMMN|2024-07-01</x:v>
      </x:c>
    </x:row>
    <x:row r="331">
      <x:c r="A331" s="22" t="n">
        <x:v>28148</x:v>
      </x:c>
      <x:c r="B331" t="str">
        <x:v>FY24-25</x:v>
      </x:c>
      <x:c r="C331" t="str">
        <x:v>2024/07/01</x:v>
      </x:c>
      <x:c r="D331" t="str">
        <x:v>1361</x:v>
      </x:c>
      <x:c r="E331" t="str">
        <x:v>Special Assistant II</x:v>
      </x:c>
      <x:c r="F331" t="str">
        <x:v>021</x:v>
      </x:c>
      <x:c r="G331" t="str">
        <x:v>SFMTA</x:v>
      </x:c>
      <x:c r="H331" t="str">
        <x:v>1361Z</x:v>
      </x:c>
      <x:c r="I331" t="str">
        <x:v>$2,353</x:v>
      </x:c>
      <x:c r="J331" t="str"/>
      <x:c r="K331" t="str"/>
      <x:c r="L331" t="str">
        <x:v>$29.4125</x:v>
      </x:c>
      <x:c r="M331" t="str">
        <x:v>$30.9125</x:v>
      </x:c>
      <x:c r="N331" t="str">
        <x:v>$32.4375</x:v>
      </x:c>
      <x:c r="O331" t="str">
        <x:v>$34.0750</x:v>
      </x:c>
      <x:c r="P331" t="str">
        <x:v>$35.7750</x:v>
      </x:c>
      <x:c r="Q331" t="str"/>
      <x:c r="R331" t="str"/>
      <x:c r="S331" t="str"/>
      <x:c r="T331" t="str"/>
      <x:c r="U331" t="str"/>
      <x:c r="V331" t="str"/>
      <x:c r="W331" t="str"/>
      <x:c r="X331" t="str"/>
      <x:c r="Y331" t="str"/>
      <x:c r="Z331" t="str"/>
      <x:c r="AA331" t="str"/>
      <x:c r="AB331" t="str"/>
      <x:c r="AC331" t="str"/>
      <x:c r="AD331" t="str"/>
      <x:c r="AE331" t="str"/>
      <x:c r="AF331" t="str">
        <x:f>D331&amp;"|"&amp;UPPER(G331)&amp;"|"&amp;SUBSTITUTE(C331,"/","-")</x:f>
        <x:v>1361|SFMTA|2024-07-01</x:v>
      </x:c>
    </x:row>
    <x:row r="332">
      <x:c r="A332" s="22" t="n">
        <x:v>29853</x:v>
      </x:c>
      <x:c r="B332" t="str">
        <x:v>FY24-25</x:v>
      </x:c>
      <x:c r="C332" t="str">
        <x:v>2025/01/04</x:v>
      </x:c>
      <x:c r="D332" t="str">
        <x:v>1361</x:v>
      </x:c>
      <x:c r="E332" t="str">
        <x:v>Special Assistant II</x:v>
      </x:c>
      <x:c r="F332" t="str">
        <x:v>021</x:v>
      </x:c>
      <x:c r="G332" t="str">
        <x:v>COMMN</x:v>
      </x:c>
      <x:c r="H332" t="str">
        <x:v>1361A</x:v>
      </x:c>
      <x:c r="I332" t="str">
        <x:v>$2,388</x:v>
      </x:c>
      <x:c r="J332" t="str"/>
      <x:c r="K332" t="str"/>
      <x:c r="L332" t="str">
        <x:v>$29.8500</x:v>
      </x:c>
      <x:c r="M332" t="str">
        <x:v>$31.3750</x:v>
      </x:c>
      <x:c r="N332" t="str">
        <x:v>$32.9250</x:v>
      </x:c>
      <x:c r="O332" t="str">
        <x:v>$34.5875</x:v>
      </x:c>
      <x:c r="P332" t="str">
        <x:v>$36.3125</x:v>
      </x:c>
      <x:c r="Q332" t="str"/>
      <x:c r="R332" t="str"/>
      <x:c r="S332" t="str"/>
      <x:c r="T332" t="str"/>
      <x:c r="U332" t="str"/>
      <x:c r="V332" t="str"/>
      <x:c r="W332" t="str"/>
      <x:c r="X332" t="str"/>
      <x:c r="Y332" t="str"/>
      <x:c r="Z332" t="str"/>
      <x:c r="AA332" t="str"/>
      <x:c r="AB332" t="str"/>
      <x:c r="AC332" t="str"/>
      <x:c r="AD332" t="str"/>
      <x:c r="AE332" t="str"/>
      <x:c r="AF332" t="str">
        <x:f>D332&amp;"|"&amp;UPPER(G332)&amp;"|"&amp;SUBSTITUTE(C332,"/","-")</x:f>
        <x:v>1361|COMMN|2025-01-04</x:v>
      </x:c>
    </x:row>
    <x:row r="333">
      <x:c r="A333" s="22" t="n">
        <x:v>29854</x:v>
      </x:c>
      <x:c r="B333" t="str">
        <x:v>FY24-25</x:v>
      </x:c>
      <x:c r="C333" t="str">
        <x:v>2025/01/04</x:v>
      </x:c>
      <x:c r="D333" t="str">
        <x:v>1361</x:v>
      </x:c>
      <x:c r="E333" t="str">
        <x:v>Special Assistant II</x:v>
      </x:c>
      <x:c r="F333" t="str">
        <x:v>021</x:v>
      </x:c>
      <x:c r="G333" t="str">
        <x:v>SFMTA</x:v>
      </x:c>
      <x:c r="H333" t="str">
        <x:v>1361A</x:v>
      </x:c>
      <x:c r="I333" t="str">
        <x:v>$2,388</x:v>
      </x:c>
      <x:c r="J333" t="str"/>
      <x:c r="K333" t="str"/>
      <x:c r="L333" t="str">
        <x:v>$29.8500</x:v>
      </x:c>
      <x:c r="M333" t="str">
        <x:v>$31.3750</x:v>
      </x:c>
      <x:c r="N333" t="str">
        <x:v>$32.9250</x:v>
      </x:c>
      <x:c r="O333" t="str">
        <x:v>$34.5875</x:v>
      </x:c>
      <x:c r="P333" t="str">
        <x:v>$36.3125</x:v>
      </x:c>
      <x:c r="Q333" t="str"/>
      <x:c r="R333" t="str"/>
      <x:c r="S333" t="str"/>
      <x:c r="T333" t="str"/>
      <x:c r="U333" t="str"/>
      <x:c r="V333" t="str"/>
      <x:c r="W333" t="str"/>
      <x:c r="X333" t="str"/>
      <x:c r="Y333" t="str"/>
      <x:c r="Z333" t="str"/>
      <x:c r="AA333" t="str"/>
      <x:c r="AB333" t="str"/>
      <x:c r="AC333" t="str"/>
      <x:c r="AD333" t="str"/>
      <x:c r="AE333" t="str"/>
      <x:c r="AF333" t="str">
        <x:f>D333&amp;"|"&amp;UPPER(G333)&amp;"|"&amp;SUBSTITUTE(C333,"/","-")</x:f>
        <x:v>1361|SFMTA|2025-01-04</x:v>
      </x:c>
    </x:row>
    <x:row r="334">
      <x:c r="A334" s="22" t="n">
        <x:v>31566</x:v>
      </x:c>
      <x:c r="B334" t="str">
        <x:v>FY25-26</x:v>
      </x:c>
      <x:c r="C334" t="str">
        <x:v>2025/07/01</x:v>
      </x:c>
      <x:c r="D334" t="str">
        <x:v>1361</x:v>
      </x:c>
      <x:c r="E334" t="str">
        <x:v>Special Assistant 2</x:v>
      </x:c>
      <x:c r="F334" t="str">
        <x:v>021</x:v>
      </x:c>
      <x:c r="G334" t="str">
        <x:v>COMMN</x:v>
      </x:c>
      <x:c r="H334" t="str">
        <x:v>1361B</x:v>
      </x:c>
      <x:c r="I334" t="str">
        <x:v>$2,436</x:v>
      </x:c>
      <x:c r="J334" t="str"/>
      <x:c r="K334" t="str"/>
      <x:c r="L334" t="str">
        <x:v>$30.4500</x:v>
      </x:c>
      <x:c r="M334" t="str">
        <x:v>$32.0000</x:v>
      </x:c>
      <x:c r="N334" t="str">
        <x:v>$33.5875</x:v>
      </x:c>
      <x:c r="O334" t="str">
        <x:v>$35.2875</x:v>
      </x:c>
      <x:c r="P334" t="str">
        <x:v>$37.0375</x:v>
      </x:c>
      <x:c r="Q334" t="str"/>
      <x:c r="R334" t="str"/>
      <x:c r="S334" t="str"/>
      <x:c r="T334" t="str"/>
      <x:c r="U334" t="str"/>
      <x:c r="V334" t="str"/>
      <x:c r="W334" t="str"/>
      <x:c r="X334" t="str"/>
      <x:c r="Y334" t="str"/>
      <x:c r="Z334" t="str"/>
      <x:c r="AA334" t="str"/>
      <x:c r="AB334" t="str"/>
      <x:c r="AC334" t="str"/>
      <x:c r="AD334" t="str"/>
      <x:c r="AE334" t="str"/>
      <x:c r="AF334" t="str">
        <x:f>D334&amp;"|"&amp;UPPER(G334)&amp;"|"&amp;SUBSTITUTE(C334,"/","-")</x:f>
        <x:v>1361|COMMN|2025-07-01</x:v>
      </x:c>
    </x:row>
    <x:row r="335">
      <x:c r="A335" s="22" t="n">
        <x:v>31567</x:v>
      </x:c>
      <x:c r="B335" t="str">
        <x:v>FY25-26</x:v>
      </x:c>
      <x:c r="C335" t="str">
        <x:v>2025/07/01</x:v>
      </x:c>
      <x:c r="D335" t="str">
        <x:v>1361</x:v>
      </x:c>
      <x:c r="E335" t="str">
        <x:v>Special Assistant 2</x:v>
      </x:c>
      <x:c r="F335" t="str">
        <x:v>021</x:v>
      </x:c>
      <x:c r="G335" t="str">
        <x:v>SFMTA</x:v>
      </x:c>
      <x:c r="H335" t="str">
        <x:v>1361B</x:v>
      </x:c>
      <x:c r="I335" t="str">
        <x:v>$2,436</x:v>
      </x:c>
      <x:c r="J335" t="str"/>
      <x:c r="K335" t="str"/>
      <x:c r="L335" t="str">
        <x:v>$30.4500</x:v>
      </x:c>
      <x:c r="M335" t="str">
        <x:v>$32.0000</x:v>
      </x:c>
      <x:c r="N335" t="str">
        <x:v>$33.5875</x:v>
      </x:c>
      <x:c r="O335" t="str">
        <x:v>$35.2875</x:v>
      </x:c>
      <x:c r="P335" t="str">
        <x:v>$37.0375</x:v>
      </x:c>
      <x:c r="Q335" t="str"/>
      <x:c r="R335" t="str"/>
      <x:c r="S335" t="str"/>
      <x:c r="T335" t="str"/>
      <x:c r="U335" t="str"/>
      <x:c r="V335" t="str"/>
      <x:c r="W335" t="str"/>
      <x:c r="X335" t="str"/>
      <x:c r="Y335" t="str"/>
      <x:c r="Z335" t="str"/>
      <x:c r="AA335" t="str"/>
      <x:c r="AB335" t="str"/>
      <x:c r="AC335" t="str"/>
      <x:c r="AD335" t="str"/>
      <x:c r="AE335" t="str"/>
      <x:c r="AF335" t="str">
        <x:f>D335&amp;"|"&amp;UPPER(G335)&amp;"|"&amp;SUBSTITUTE(C335,"/","-")</x:f>
        <x:v>1361|SFMTA|2025-07-01</x:v>
      </x:c>
    </x:row>
    <x:row r="336">
      <x:c r="A336" s="22" t="n">
        <x:v>33251</x:v>
      </x:c>
      <x:c r="B336" t="str">
        <x:v>FY25-26</x:v>
      </x:c>
      <x:c r="C336" t="str">
        <x:v>2026/01/03</x:v>
      </x:c>
      <x:c r="D336" t="str">
        <x:v>1361</x:v>
      </x:c>
      <x:c r="E336" t="str">
        <x:v>Special Assistant 2</x:v>
      </x:c>
      <x:c r="F336" t="str">
        <x:v>021</x:v>
      </x:c>
      <x:c r="G336" t="str">
        <x:v>COMMN</x:v>
      </x:c>
      <x:c r="H336" t="str">
        <x:v>1361C</x:v>
      </x:c>
      <x:c r="I336" t="str">
        <x:v>$2,473</x:v>
      </x:c>
      <x:c r="J336" t="str"/>
      <x:c r="K336" t="str"/>
      <x:c r="L336" t="str">
        <x:v>$30.9125</x:v>
      </x:c>
      <x:c r="M336" t="str">
        <x:v>$32.4750</x:v>
      </x:c>
      <x:c r="N336" t="str">
        <x:v>$34.0875</x:v>
      </x:c>
      <x:c r="O336" t="str">
        <x:v>$35.8125</x:v>
      </x:c>
      <x:c r="P336" t="str">
        <x:v>$37.5875</x:v>
      </x:c>
      <x:c r="Q336" t="str"/>
      <x:c r="R336" t="str"/>
      <x:c r="S336" t="str"/>
      <x:c r="T336" t="str"/>
      <x:c r="U336" t="str"/>
      <x:c r="V336" t="str"/>
      <x:c r="W336" t="str"/>
      <x:c r="X336" t="str"/>
      <x:c r="Y336" t="str"/>
      <x:c r="Z336" t="str"/>
      <x:c r="AA336" t="str"/>
      <x:c r="AB336" t="str"/>
      <x:c r="AC336" t="str"/>
      <x:c r="AD336" t="str"/>
      <x:c r="AE336" t="str"/>
      <x:c r="AF336" t="str">
        <x:f>D336&amp;"|"&amp;UPPER(G336)&amp;"|"&amp;SUBSTITUTE(C336,"/","-")</x:f>
        <x:v>1361|COMMN|2026-01-03</x:v>
      </x:c>
    </x:row>
    <x:row r="337">
      <x:c r="A337" s="22" t="n">
        <x:v>33252</x:v>
      </x:c>
      <x:c r="B337" t="str">
        <x:v>FY25-26</x:v>
      </x:c>
      <x:c r="C337" t="str">
        <x:v>2026/01/03</x:v>
      </x:c>
      <x:c r="D337" t="str">
        <x:v>1361</x:v>
      </x:c>
      <x:c r="E337" t="str">
        <x:v>Special Assistant 2</x:v>
      </x:c>
      <x:c r="F337" t="str">
        <x:v>021</x:v>
      </x:c>
      <x:c r="G337" t="str">
        <x:v>SFMTA</x:v>
      </x:c>
      <x:c r="H337" t="str">
        <x:v>1361C</x:v>
      </x:c>
      <x:c r="I337" t="str">
        <x:v>$2,473</x:v>
      </x:c>
      <x:c r="J337" t="str"/>
      <x:c r="K337" t="str"/>
      <x:c r="L337" t="str">
        <x:v>$30.9125</x:v>
      </x:c>
      <x:c r="M337" t="str">
        <x:v>$32.4750</x:v>
      </x:c>
      <x:c r="N337" t="str">
        <x:v>$34.0875</x:v>
      </x:c>
      <x:c r="O337" t="str">
        <x:v>$35.8125</x:v>
      </x:c>
      <x:c r="P337" t="str">
        <x:v>$37.5875</x:v>
      </x:c>
      <x:c r="Q337" t="str"/>
      <x:c r="R337" t="str"/>
      <x:c r="S337" t="str"/>
      <x:c r="T337" t="str"/>
      <x:c r="U337" t="str"/>
      <x:c r="V337" t="str"/>
      <x:c r="W337" t="str"/>
      <x:c r="X337" t="str"/>
      <x:c r="Y337" t="str"/>
      <x:c r="Z337" t="str"/>
      <x:c r="AA337" t="str"/>
      <x:c r="AB337" t="str"/>
      <x:c r="AC337" t="str"/>
      <x:c r="AD337" t="str"/>
      <x:c r="AE337" t="str"/>
      <x:c r="AF337" t="str">
        <x:f>D337&amp;"|"&amp;UPPER(G337)&amp;"|"&amp;SUBSTITUTE(C337,"/","-")</x:f>
        <x:v>1361|SFMTA|2026-01-03</x:v>
      </x:c>
    </x:row>
    <x:row r="338">
      <x:c r="A338" s="22" t="n">
        <x:v>26411</x:v>
      </x:c>
      <x:c r="B338" t="str">
        <x:v>FY23-24</x:v>
      </x:c>
      <x:c r="C338" t="str">
        <x:v>2024/01/06</x:v>
      </x:c>
      <x:c r="D338" t="str">
        <x:v>1362</x:v>
      </x:c>
      <x:c r="E338" t="str">
        <x:v>Special Assistant III</x:v>
      </x:c>
      <x:c r="F338" t="str">
        <x:v>021</x:v>
      </x:c>
      <x:c r="G338" t="str">
        <x:v>COMMN</x:v>
      </x:c>
      <x:c r="H338" t="str">
        <x:v>1362Y</x:v>
      </x:c>
      <x:c r="I338" t="str">
        <x:v>$2,496</x:v>
      </x:c>
      <x:c r="J338" t="str"/>
      <x:c r="K338" t="str"/>
      <x:c r="L338" t="str">
        <x:v>$31.2000</x:v>
      </x:c>
      <x:c r="M338" t="str">
        <x:v>$32.7750</x:v>
      </x:c>
      <x:c r="N338" t="str">
        <x:v>$34.4000</x:v>
      </x:c>
      <x:c r="O338" t="str">
        <x:v>$36.0875</x:v>
      </x:c>
      <x:c r="P338" t="str">
        <x:v>$37.9250</x:v>
      </x:c>
      <x:c r="Q338" t="str"/>
      <x:c r="R338" t="str"/>
      <x:c r="S338" t="str"/>
      <x:c r="T338" t="str"/>
      <x:c r="U338" t="str"/>
      <x:c r="V338" t="str"/>
      <x:c r="W338" t="str"/>
      <x:c r="X338" t="str"/>
      <x:c r="Y338" t="str"/>
      <x:c r="Z338" t="str"/>
      <x:c r="AA338" t="str"/>
      <x:c r="AB338" t="str"/>
      <x:c r="AC338" t="str"/>
      <x:c r="AD338" t="str"/>
      <x:c r="AE338" t="str"/>
      <x:c r="AF338" t="str">
        <x:f>D338&amp;"|"&amp;UPPER(G338)&amp;"|"&amp;SUBSTITUTE(C338,"/","-")</x:f>
        <x:v>1362|COMMN|2024-01-06</x:v>
      </x:c>
    </x:row>
    <x:row r="339">
      <x:c r="A339" s="22" t="n">
        <x:v>26412</x:v>
      </x:c>
      <x:c r="B339" t="str">
        <x:v>FY23-24</x:v>
      </x:c>
      <x:c r="C339" t="str">
        <x:v>2024/01/06</x:v>
      </x:c>
      <x:c r="D339" t="str">
        <x:v>1362</x:v>
      </x:c>
      <x:c r="E339" t="str">
        <x:v>Special Assistant III</x:v>
      </x:c>
      <x:c r="F339" t="str">
        <x:v>021</x:v>
      </x:c>
      <x:c r="G339" t="str">
        <x:v>SFMTA</x:v>
      </x:c>
      <x:c r="H339" t="str">
        <x:v>1362Y</x:v>
      </x:c>
      <x:c r="I339" t="str">
        <x:v>$2,496</x:v>
      </x:c>
      <x:c r="J339" t="str"/>
      <x:c r="K339" t="str"/>
      <x:c r="L339" t="str">
        <x:v>$31.2000</x:v>
      </x:c>
      <x:c r="M339" t="str">
        <x:v>$32.7750</x:v>
      </x:c>
      <x:c r="N339" t="str">
        <x:v>$34.4000</x:v>
      </x:c>
      <x:c r="O339" t="str">
        <x:v>$36.0875</x:v>
      </x:c>
      <x:c r="P339" t="str">
        <x:v>$37.9250</x:v>
      </x:c>
      <x:c r="Q339" t="str"/>
      <x:c r="R339" t="str"/>
      <x:c r="S339" t="str"/>
      <x:c r="T339" t="str"/>
      <x:c r="U339" t="str"/>
      <x:c r="V339" t="str"/>
      <x:c r="W339" t="str"/>
      <x:c r="X339" t="str"/>
      <x:c r="Y339" t="str"/>
      <x:c r="Z339" t="str"/>
      <x:c r="AA339" t="str"/>
      <x:c r="AB339" t="str"/>
      <x:c r="AC339" t="str"/>
      <x:c r="AD339" t="str"/>
      <x:c r="AE339" t="str"/>
      <x:c r="AF339" t="str">
        <x:f>D339&amp;"|"&amp;UPPER(G339)&amp;"|"&amp;SUBSTITUTE(C339,"/","-")</x:f>
        <x:v>1362|SFMTA|2024-01-06</x:v>
      </x:c>
    </x:row>
    <x:row r="340">
      <x:c r="A340" s="22" t="n">
        <x:v>28149</x:v>
      </x:c>
      <x:c r="B340" t="str">
        <x:v>FY24-25</x:v>
      </x:c>
      <x:c r="C340" t="str">
        <x:v>2024/07/01</x:v>
      </x:c>
      <x:c r="D340" t="str">
        <x:v>1362</x:v>
      </x:c>
      <x:c r="E340" t="str">
        <x:v>Special Assistant III</x:v>
      </x:c>
      <x:c r="F340" t="str">
        <x:v>021</x:v>
      </x:c>
      <x:c r="G340" t="str">
        <x:v>COMMN</x:v>
      </x:c>
      <x:c r="H340" t="str">
        <x:v>1362Z</x:v>
      </x:c>
      <x:c r="I340" t="str">
        <x:v>$2,533</x:v>
      </x:c>
      <x:c r="J340" t="str"/>
      <x:c r="K340" t="str"/>
      <x:c r="L340" t="str">
        <x:v>$31.6625</x:v>
      </x:c>
      <x:c r="M340" t="str">
        <x:v>$33.2625</x:v>
      </x:c>
      <x:c r="N340" t="str">
        <x:v>$34.9125</x:v>
      </x:c>
      <x:c r="O340" t="str">
        <x:v>$36.6250</x:v>
      </x:c>
      <x:c r="P340" t="str">
        <x:v>$38.5000</x:v>
      </x:c>
      <x:c r="Q340" t="str"/>
      <x:c r="R340" t="str"/>
      <x:c r="S340" t="str"/>
      <x:c r="T340" t="str"/>
      <x:c r="U340" t="str"/>
      <x:c r="V340" t="str"/>
      <x:c r="W340" t="str"/>
      <x:c r="X340" t="str"/>
      <x:c r="Y340" t="str"/>
      <x:c r="Z340" t="str"/>
      <x:c r="AA340" t="str"/>
      <x:c r="AB340" t="str"/>
      <x:c r="AC340" t="str"/>
      <x:c r="AD340" t="str"/>
      <x:c r="AE340" t="str"/>
      <x:c r="AF340" t="str">
        <x:f>D340&amp;"|"&amp;UPPER(G340)&amp;"|"&amp;SUBSTITUTE(C340,"/","-")</x:f>
        <x:v>1362|COMMN|2024-07-01</x:v>
      </x:c>
    </x:row>
    <x:row r="341">
      <x:c r="A341" s="22" t="n">
        <x:v>28150</x:v>
      </x:c>
      <x:c r="B341" t="str">
        <x:v>FY24-25</x:v>
      </x:c>
      <x:c r="C341" t="str">
        <x:v>2024/07/01</x:v>
      </x:c>
      <x:c r="D341" t="str">
        <x:v>1362</x:v>
      </x:c>
      <x:c r="E341" t="str">
        <x:v>Special Assistant III</x:v>
      </x:c>
      <x:c r="F341" t="str">
        <x:v>021</x:v>
      </x:c>
      <x:c r="G341" t="str">
        <x:v>SFMTA</x:v>
      </x:c>
      <x:c r="H341" t="str">
        <x:v>1362Z</x:v>
      </x:c>
      <x:c r="I341" t="str">
        <x:v>$2,533</x:v>
      </x:c>
      <x:c r="J341" t="str"/>
      <x:c r="K341" t="str"/>
      <x:c r="L341" t="str">
        <x:v>$31.6625</x:v>
      </x:c>
      <x:c r="M341" t="str">
        <x:v>$33.2625</x:v>
      </x:c>
      <x:c r="N341" t="str">
        <x:v>$34.9125</x:v>
      </x:c>
      <x:c r="O341" t="str">
        <x:v>$36.6250</x:v>
      </x:c>
      <x:c r="P341" t="str">
        <x:v>$38.5000</x:v>
      </x:c>
      <x:c r="Q341" t="str"/>
      <x:c r="R341" t="str"/>
      <x:c r="S341" t="str"/>
      <x:c r="T341" t="str"/>
      <x:c r="U341" t="str"/>
      <x:c r="V341" t="str"/>
      <x:c r="W341" t="str"/>
      <x:c r="X341" t="str"/>
      <x:c r="Y341" t="str"/>
      <x:c r="Z341" t="str"/>
      <x:c r="AA341" t="str"/>
      <x:c r="AB341" t="str"/>
      <x:c r="AC341" t="str"/>
      <x:c r="AD341" t="str"/>
      <x:c r="AE341" t="str"/>
      <x:c r="AF341" t="str">
        <x:f>D341&amp;"|"&amp;UPPER(G341)&amp;"|"&amp;SUBSTITUTE(C341,"/","-")</x:f>
        <x:v>1362|SFMTA|2024-07-01</x:v>
      </x:c>
    </x:row>
    <x:row r="342">
      <x:c r="A342" s="22" t="n">
        <x:v>29855</x:v>
      </x:c>
      <x:c r="B342" t="str">
        <x:v>FY24-25</x:v>
      </x:c>
      <x:c r="C342" t="str">
        <x:v>2025/01/04</x:v>
      </x:c>
      <x:c r="D342" t="str">
        <x:v>1362</x:v>
      </x:c>
      <x:c r="E342" t="str">
        <x:v>Special Assistant III</x:v>
      </x:c>
      <x:c r="F342" t="str">
        <x:v>021</x:v>
      </x:c>
      <x:c r="G342" t="str">
        <x:v>COMMN</x:v>
      </x:c>
      <x:c r="H342" t="str">
        <x:v>1362A</x:v>
      </x:c>
      <x:c r="I342" t="str">
        <x:v>$2,571</x:v>
      </x:c>
      <x:c r="J342" t="str"/>
      <x:c r="K342" t="str"/>
      <x:c r="L342" t="str">
        <x:v>$32.1375</x:v>
      </x:c>
      <x:c r="M342" t="str">
        <x:v>$33.7625</x:v>
      </x:c>
      <x:c r="N342" t="str">
        <x:v>$35.4375</x:v>
      </x:c>
      <x:c r="O342" t="str">
        <x:v>$37.1750</x:v>
      </x:c>
      <x:c r="P342" t="str">
        <x:v>$39.0750</x:v>
      </x:c>
      <x:c r="Q342" t="str"/>
      <x:c r="R342" t="str"/>
      <x:c r="S342" t="str"/>
      <x:c r="T342" t="str"/>
      <x:c r="U342" t="str"/>
      <x:c r="V342" t="str"/>
      <x:c r="W342" t="str"/>
      <x:c r="X342" t="str"/>
      <x:c r="Y342" t="str"/>
      <x:c r="Z342" t="str"/>
      <x:c r="AA342" t="str"/>
      <x:c r="AB342" t="str"/>
      <x:c r="AC342" t="str"/>
      <x:c r="AD342" t="str"/>
      <x:c r="AE342" t="str"/>
      <x:c r="AF342" t="str">
        <x:f>D342&amp;"|"&amp;UPPER(G342)&amp;"|"&amp;SUBSTITUTE(C342,"/","-")</x:f>
        <x:v>1362|COMMN|2025-01-04</x:v>
      </x:c>
    </x:row>
    <x:row r="343">
      <x:c r="A343" s="22" t="n">
        <x:v>29856</x:v>
      </x:c>
      <x:c r="B343" t="str">
        <x:v>FY24-25</x:v>
      </x:c>
      <x:c r="C343" t="str">
        <x:v>2025/01/04</x:v>
      </x:c>
      <x:c r="D343" t="str">
        <x:v>1362</x:v>
      </x:c>
      <x:c r="E343" t="str">
        <x:v>Special Assistant III</x:v>
      </x:c>
      <x:c r="F343" t="str">
        <x:v>021</x:v>
      </x:c>
      <x:c r="G343" t="str">
        <x:v>SFMTA</x:v>
      </x:c>
      <x:c r="H343" t="str">
        <x:v>1362A</x:v>
      </x:c>
      <x:c r="I343" t="str">
        <x:v>$2,571</x:v>
      </x:c>
      <x:c r="J343" t="str"/>
      <x:c r="K343" t="str"/>
      <x:c r="L343" t="str">
        <x:v>$32.1375</x:v>
      </x:c>
      <x:c r="M343" t="str">
        <x:v>$33.7625</x:v>
      </x:c>
      <x:c r="N343" t="str">
        <x:v>$35.4375</x:v>
      </x:c>
      <x:c r="O343" t="str">
        <x:v>$37.1750</x:v>
      </x:c>
      <x:c r="P343" t="str">
        <x:v>$39.0750</x:v>
      </x:c>
      <x:c r="Q343" t="str"/>
      <x:c r="R343" t="str"/>
      <x:c r="S343" t="str"/>
      <x:c r="T343" t="str"/>
      <x:c r="U343" t="str"/>
      <x:c r="V343" t="str"/>
      <x:c r="W343" t="str"/>
      <x:c r="X343" t="str"/>
      <x:c r="Y343" t="str"/>
      <x:c r="Z343" t="str"/>
      <x:c r="AA343" t="str"/>
      <x:c r="AB343" t="str"/>
      <x:c r="AC343" t="str"/>
      <x:c r="AD343" t="str"/>
      <x:c r="AE343" t="str"/>
      <x:c r="AF343" t="str">
        <x:f>D343&amp;"|"&amp;UPPER(G343)&amp;"|"&amp;SUBSTITUTE(C343,"/","-")</x:f>
        <x:v>1362|SFMTA|2025-01-04</x:v>
      </x:c>
    </x:row>
    <x:row r="344">
      <x:c r="A344" s="22" t="n">
        <x:v>31568</x:v>
      </x:c>
      <x:c r="B344" t="str">
        <x:v>FY25-26</x:v>
      </x:c>
      <x:c r="C344" t="str">
        <x:v>2025/07/01</x:v>
      </x:c>
      <x:c r="D344" t="str">
        <x:v>1362</x:v>
      </x:c>
      <x:c r="E344" t="str">
        <x:v>Special Assistant 3</x:v>
      </x:c>
      <x:c r="F344" t="str">
        <x:v>021</x:v>
      </x:c>
      <x:c r="G344" t="str">
        <x:v>COMMN</x:v>
      </x:c>
      <x:c r="H344" t="str">
        <x:v>1362B</x:v>
      </x:c>
      <x:c r="I344" t="str">
        <x:v>$2,623</x:v>
      </x:c>
      <x:c r="J344" t="str"/>
      <x:c r="K344" t="str"/>
      <x:c r="L344" t="str">
        <x:v>$32.7875</x:v>
      </x:c>
      <x:c r="M344" t="str">
        <x:v>$34.4375</x:v>
      </x:c>
      <x:c r="N344" t="str">
        <x:v>$36.1500</x:v>
      </x:c>
      <x:c r="O344" t="str">
        <x:v>$37.9250</x:v>
      </x:c>
      <x:c r="P344" t="str">
        <x:v>$39.8625</x:v>
      </x:c>
      <x:c r="Q344" t="str"/>
      <x:c r="R344" t="str"/>
      <x:c r="S344" t="str"/>
      <x:c r="T344" t="str"/>
      <x:c r="U344" t="str"/>
      <x:c r="V344" t="str"/>
      <x:c r="W344" t="str"/>
      <x:c r="X344" t="str"/>
      <x:c r="Y344" t="str"/>
      <x:c r="Z344" t="str"/>
      <x:c r="AA344" t="str"/>
      <x:c r="AB344" t="str"/>
      <x:c r="AC344" t="str"/>
      <x:c r="AD344" t="str"/>
      <x:c r="AE344" t="str"/>
      <x:c r="AF344" t="str">
        <x:f>D344&amp;"|"&amp;UPPER(G344)&amp;"|"&amp;SUBSTITUTE(C344,"/","-")</x:f>
        <x:v>1362|COMMN|2025-07-01</x:v>
      </x:c>
    </x:row>
    <x:row r="345">
      <x:c r="A345" s="22" t="n">
        <x:v>31569</x:v>
      </x:c>
      <x:c r="B345" t="str">
        <x:v>FY25-26</x:v>
      </x:c>
      <x:c r="C345" t="str">
        <x:v>2025/07/01</x:v>
      </x:c>
      <x:c r="D345" t="str">
        <x:v>1362</x:v>
      </x:c>
      <x:c r="E345" t="str">
        <x:v>Special Assistant 3</x:v>
      </x:c>
      <x:c r="F345" t="str">
        <x:v>021</x:v>
      </x:c>
      <x:c r="G345" t="str">
        <x:v>SFMTA</x:v>
      </x:c>
      <x:c r="H345" t="str">
        <x:v>1362B</x:v>
      </x:c>
      <x:c r="I345" t="str">
        <x:v>$2,623</x:v>
      </x:c>
      <x:c r="J345" t="str"/>
      <x:c r="K345" t="str"/>
      <x:c r="L345" t="str">
        <x:v>$32.7875</x:v>
      </x:c>
      <x:c r="M345" t="str">
        <x:v>$34.4375</x:v>
      </x:c>
      <x:c r="N345" t="str">
        <x:v>$36.1500</x:v>
      </x:c>
      <x:c r="O345" t="str">
        <x:v>$37.9250</x:v>
      </x:c>
      <x:c r="P345" t="str">
        <x:v>$39.8625</x:v>
      </x:c>
      <x:c r="Q345" t="str"/>
      <x:c r="R345" t="str"/>
      <x:c r="S345" t="str"/>
      <x:c r="T345" t="str"/>
      <x:c r="U345" t="str"/>
      <x:c r="V345" t="str"/>
      <x:c r="W345" t="str"/>
      <x:c r="X345" t="str"/>
      <x:c r="Y345" t="str"/>
      <x:c r="Z345" t="str"/>
      <x:c r="AA345" t="str"/>
      <x:c r="AB345" t="str"/>
      <x:c r="AC345" t="str"/>
      <x:c r="AD345" t="str"/>
      <x:c r="AE345" t="str"/>
      <x:c r="AF345" t="str">
        <x:f>D345&amp;"|"&amp;UPPER(G345)&amp;"|"&amp;SUBSTITUTE(C345,"/","-")</x:f>
        <x:v>1362|SFMTA|2025-07-01</x:v>
      </x:c>
    </x:row>
    <x:row r="346">
      <x:c r="A346" s="22" t="n">
        <x:v>33253</x:v>
      </x:c>
      <x:c r="B346" t="str">
        <x:v>FY25-26</x:v>
      </x:c>
      <x:c r="C346" t="str">
        <x:v>2026/01/03</x:v>
      </x:c>
      <x:c r="D346" t="str">
        <x:v>1362</x:v>
      </x:c>
      <x:c r="E346" t="str">
        <x:v>Special Assistant 3</x:v>
      </x:c>
      <x:c r="F346" t="str">
        <x:v>021</x:v>
      </x:c>
      <x:c r="G346" t="str">
        <x:v>COMMN</x:v>
      </x:c>
      <x:c r="H346" t="str">
        <x:v>1362C</x:v>
      </x:c>
      <x:c r="I346" t="str">
        <x:v>$2,662</x:v>
      </x:c>
      <x:c r="J346" t="str"/>
      <x:c r="K346" t="str"/>
      <x:c r="L346" t="str">
        <x:v>$33.2750</x:v>
      </x:c>
      <x:c r="M346" t="str">
        <x:v>$34.9500</x:v>
      </x:c>
      <x:c r="N346" t="str">
        <x:v>$36.6875</x:v>
      </x:c>
      <x:c r="O346" t="str">
        <x:v>$38.5000</x:v>
      </x:c>
      <x:c r="P346" t="str">
        <x:v>$40.4625</x:v>
      </x:c>
      <x:c r="Q346" t="str"/>
      <x:c r="R346" t="str"/>
      <x:c r="S346" t="str"/>
      <x:c r="T346" t="str"/>
      <x:c r="U346" t="str"/>
      <x:c r="V346" t="str"/>
      <x:c r="W346" t="str"/>
      <x:c r="X346" t="str"/>
      <x:c r="Y346" t="str"/>
      <x:c r="Z346" t="str"/>
      <x:c r="AA346" t="str"/>
      <x:c r="AB346" t="str"/>
      <x:c r="AC346" t="str"/>
      <x:c r="AD346" t="str"/>
      <x:c r="AE346" t="str"/>
      <x:c r="AF346" t="str">
        <x:f>D346&amp;"|"&amp;UPPER(G346)&amp;"|"&amp;SUBSTITUTE(C346,"/","-")</x:f>
        <x:v>1362|COMMN|2026-01-03</x:v>
      </x:c>
    </x:row>
    <x:row r="347">
      <x:c r="A347" s="22" t="n">
        <x:v>33254</x:v>
      </x:c>
      <x:c r="B347" t="str">
        <x:v>FY25-26</x:v>
      </x:c>
      <x:c r="C347" t="str">
        <x:v>2026/01/03</x:v>
      </x:c>
      <x:c r="D347" t="str">
        <x:v>1362</x:v>
      </x:c>
      <x:c r="E347" t="str">
        <x:v>Special Assistant 3</x:v>
      </x:c>
      <x:c r="F347" t="str">
        <x:v>021</x:v>
      </x:c>
      <x:c r="G347" t="str">
        <x:v>SFMTA</x:v>
      </x:c>
      <x:c r="H347" t="str">
        <x:v>1362C</x:v>
      </x:c>
      <x:c r="I347" t="str">
        <x:v>$2,662</x:v>
      </x:c>
      <x:c r="J347" t="str"/>
      <x:c r="K347" t="str"/>
      <x:c r="L347" t="str">
        <x:v>$33.2750</x:v>
      </x:c>
      <x:c r="M347" t="str">
        <x:v>$34.9500</x:v>
      </x:c>
      <x:c r="N347" t="str">
        <x:v>$36.6875</x:v>
      </x:c>
      <x:c r="O347" t="str">
        <x:v>$38.5000</x:v>
      </x:c>
      <x:c r="P347" t="str">
        <x:v>$40.4625</x:v>
      </x:c>
      <x:c r="Q347" t="str"/>
      <x:c r="R347" t="str"/>
      <x:c r="S347" t="str"/>
      <x:c r="T347" t="str"/>
      <x:c r="U347" t="str"/>
      <x:c r="V347" t="str"/>
      <x:c r="W347" t="str"/>
      <x:c r="X347" t="str"/>
      <x:c r="Y347" t="str"/>
      <x:c r="Z347" t="str"/>
      <x:c r="AA347" t="str"/>
      <x:c r="AB347" t="str"/>
      <x:c r="AC347" t="str"/>
      <x:c r="AD347" t="str"/>
      <x:c r="AE347" t="str"/>
      <x:c r="AF347" t="str">
        <x:f>D347&amp;"|"&amp;UPPER(G347)&amp;"|"&amp;SUBSTITUTE(C347,"/","-")</x:f>
        <x:v>1362|SFMTA|2026-01-03</x:v>
      </x:c>
    </x:row>
    <x:row r="348">
      <x:c r="A348" s="22" t="n">
        <x:v>26413</x:v>
      </x:c>
      <x:c r="B348" t="str">
        <x:v>FY23-24</x:v>
      </x:c>
      <x:c r="C348" t="str">
        <x:v>2024/01/06</x:v>
      </x:c>
      <x:c r="D348" t="str">
        <x:v>1363</x:v>
      </x:c>
      <x:c r="E348" t="str">
        <x:v>Special Assistant IV</x:v>
      </x:c>
      <x:c r="F348" t="str">
        <x:v>021</x:v>
      </x:c>
      <x:c r="G348" t="str">
        <x:v>COMMN</x:v>
      </x:c>
      <x:c r="H348" t="str">
        <x:v>1363Y</x:v>
      </x:c>
      <x:c r="I348" t="str">
        <x:v>$2,686</x:v>
      </x:c>
      <x:c r="J348" t="str"/>
      <x:c r="K348" t="str"/>
      <x:c r="L348" t="str">
        <x:v>$33.5750</x:v>
      </x:c>
      <x:c r="M348" t="str">
        <x:v>$35.2500</x:v>
      </x:c>
      <x:c r="N348" t="str">
        <x:v>$37.0000</x:v>
      </x:c>
      <x:c r="O348" t="str">
        <x:v>$38.8500</x:v>
      </x:c>
      <x:c r="P348" t="str">
        <x:v>$40.8000</x:v>
      </x:c>
      <x:c r="Q348" t="str"/>
      <x:c r="R348" t="str"/>
      <x:c r="S348" t="str"/>
      <x:c r="T348" t="str"/>
      <x:c r="U348" t="str"/>
      <x:c r="V348" t="str"/>
      <x:c r="W348" t="str"/>
      <x:c r="X348" t="str"/>
      <x:c r="Y348" t="str"/>
      <x:c r="Z348" t="str"/>
      <x:c r="AA348" t="str"/>
      <x:c r="AB348" t="str"/>
      <x:c r="AC348" t="str"/>
      <x:c r="AD348" t="str"/>
      <x:c r="AE348" t="str"/>
      <x:c r="AF348" t="str">
        <x:f>D348&amp;"|"&amp;UPPER(G348)&amp;"|"&amp;SUBSTITUTE(C348,"/","-")</x:f>
        <x:v>1363|COMMN|2024-01-06</x:v>
      </x:c>
    </x:row>
    <x:row r="349">
      <x:c r="A349" s="22" t="n">
        <x:v>26414</x:v>
      </x:c>
      <x:c r="B349" t="str">
        <x:v>FY23-24</x:v>
      </x:c>
      <x:c r="C349" t="str">
        <x:v>2024/01/06</x:v>
      </x:c>
      <x:c r="D349" t="str">
        <x:v>1363</x:v>
      </x:c>
      <x:c r="E349" t="str">
        <x:v>Special Assistant IV</x:v>
      </x:c>
      <x:c r="F349" t="str">
        <x:v>021</x:v>
      </x:c>
      <x:c r="G349" t="str">
        <x:v>SFMTA</x:v>
      </x:c>
      <x:c r="H349" t="str">
        <x:v>1363Y</x:v>
      </x:c>
      <x:c r="I349" t="str">
        <x:v>$2,686</x:v>
      </x:c>
      <x:c r="J349" t="str"/>
      <x:c r="K349" t="str"/>
      <x:c r="L349" t="str">
        <x:v>$33.5750</x:v>
      </x:c>
      <x:c r="M349" t="str">
        <x:v>$35.2500</x:v>
      </x:c>
      <x:c r="N349" t="str">
        <x:v>$37.0000</x:v>
      </x:c>
      <x:c r="O349" t="str">
        <x:v>$38.8500</x:v>
      </x:c>
      <x:c r="P349" t="str">
        <x:v>$40.8000</x:v>
      </x:c>
      <x:c r="Q349" t="str"/>
      <x:c r="R349" t="str"/>
      <x:c r="S349" t="str"/>
      <x:c r="T349" t="str"/>
      <x:c r="U349" t="str"/>
      <x:c r="V349" t="str"/>
      <x:c r="W349" t="str"/>
      <x:c r="X349" t="str"/>
      <x:c r="Y349" t="str"/>
      <x:c r="Z349" t="str"/>
      <x:c r="AA349" t="str"/>
      <x:c r="AB349" t="str"/>
      <x:c r="AC349" t="str"/>
      <x:c r="AD349" t="str"/>
      <x:c r="AE349" t="str"/>
      <x:c r="AF349" t="str">
        <x:f>D349&amp;"|"&amp;UPPER(G349)&amp;"|"&amp;SUBSTITUTE(C349,"/","-")</x:f>
        <x:v>1363|SFMTA|2024-01-06</x:v>
      </x:c>
    </x:row>
    <x:row r="350">
      <x:c r="A350" s="22" t="n">
        <x:v>28151</x:v>
      </x:c>
      <x:c r="B350" t="str">
        <x:v>FY24-25</x:v>
      </x:c>
      <x:c r="C350" t="str">
        <x:v>2024/07/01</x:v>
      </x:c>
      <x:c r="D350" t="str">
        <x:v>1363</x:v>
      </x:c>
      <x:c r="E350" t="str">
        <x:v>Special Assistant IV</x:v>
      </x:c>
      <x:c r="F350" t="str">
        <x:v>021</x:v>
      </x:c>
      <x:c r="G350" t="str">
        <x:v>COMMN</x:v>
      </x:c>
      <x:c r="H350" t="str">
        <x:v>1363Z</x:v>
      </x:c>
      <x:c r="I350" t="str">
        <x:v>$2,726</x:v>
      </x:c>
      <x:c r="J350" t="str"/>
      <x:c r="K350" t="str"/>
      <x:c r="L350" t="str">
        <x:v>$34.0750</x:v>
      </x:c>
      <x:c r="M350" t="str">
        <x:v>$35.7750</x:v>
      </x:c>
      <x:c r="N350" t="str">
        <x:v>$37.5500</x:v>
      </x:c>
      <x:c r="O350" t="str">
        <x:v>$39.4375</x:v>
      </x:c>
      <x:c r="P350" t="str">
        <x:v>$41.4125</x:v>
      </x:c>
      <x:c r="Q350" t="str"/>
      <x:c r="R350" t="str"/>
      <x:c r="S350" t="str"/>
      <x:c r="T350" t="str"/>
      <x:c r="U350" t="str"/>
      <x:c r="V350" t="str"/>
      <x:c r="W350" t="str"/>
      <x:c r="X350" t="str"/>
      <x:c r="Y350" t="str"/>
      <x:c r="Z350" t="str"/>
      <x:c r="AA350" t="str"/>
      <x:c r="AB350" t="str"/>
      <x:c r="AC350" t="str"/>
      <x:c r="AD350" t="str"/>
      <x:c r="AE350" t="str"/>
      <x:c r="AF350" t="str">
        <x:f>D350&amp;"|"&amp;UPPER(G350)&amp;"|"&amp;SUBSTITUTE(C350,"/","-")</x:f>
        <x:v>1363|COMMN|2024-07-01</x:v>
      </x:c>
    </x:row>
    <x:row r="351">
      <x:c r="A351" s="22" t="n">
        <x:v>28152</x:v>
      </x:c>
      <x:c r="B351" t="str">
        <x:v>FY24-25</x:v>
      </x:c>
      <x:c r="C351" t="str">
        <x:v>2024/07/01</x:v>
      </x:c>
      <x:c r="D351" t="str">
        <x:v>1363</x:v>
      </x:c>
      <x:c r="E351" t="str">
        <x:v>Special Assistant IV</x:v>
      </x:c>
      <x:c r="F351" t="str">
        <x:v>021</x:v>
      </x:c>
      <x:c r="G351" t="str">
        <x:v>SFMTA</x:v>
      </x:c>
      <x:c r="H351" t="str">
        <x:v>1363Z</x:v>
      </x:c>
      <x:c r="I351" t="str">
        <x:v>$2,726</x:v>
      </x:c>
      <x:c r="J351" t="str"/>
      <x:c r="K351" t="str"/>
      <x:c r="L351" t="str">
        <x:v>$34.0750</x:v>
      </x:c>
      <x:c r="M351" t="str">
        <x:v>$35.7750</x:v>
      </x:c>
      <x:c r="N351" t="str">
        <x:v>$37.5500</x:v>
      </x:c>
      <x:c r="O351" t="str">
        <x:v>$39.4375</x:v>
      </x:c>
      <x:c r="P351" t="str">
        <x:v>$41.4125</x:v>
      </x:c>
      <x:c r="Q351" t="str"/>
      <x:c r="R351" t="str"/>
      <x:c r="S351" t="str"/>
      <x:c r="T351" t="str"/>
      <x:c r="U351" t="str"/>
      <x:c r="V351" t="str"/>
      <x:c r="W351" t="str"/>
      <x:c r="X351" t="str"/>
      <x:c r="Y351" t="str"/>
      <x:c r="Z351" t="str"/>
      <x:c r="AA351" t="str"/>
      <x:c r="AB351" t="str"/>
      <x:c r="AC351" t="str"/>
      <x:c r="AD351" t="str"/>
      <x:c r="AE351" t="str"/>
      <x:c r="AF351" t="str">
        <x:f>D351&amp;"|"&amp;UPPER(G351)&amp;"|"&amp;SUBSTITUTE(C351,"/","-")</x:f>
        <x:v>1363|SFMTA|2024-07-01</x:v>
      </x:c>
    </x:row>
    <x:row r="352">
      <x:c r="A352" s="22" t="n">
        <x:v>29857</x:v>
      </x:c>
      <x:c r="B352" t="str">
        <x:v>FY24-25</x:v>
      </x:c>
      <x:c r="C352" t="str">
        <x:v>2025/01/04</x:v>
      </x:c>
      <x:c r="D352" t="str">
        <x:v>1363</x:v>
      </x:c>
      <x:c r="E352" t="str">
        <x:v>Special Assistant IV</x:v>
      </x:c>
      <x:c r="F352" t="str">
        <x:v>021</x:v>
      </x:c>
      <x:c r="G352" t="str">
        <x:v>COMMN</x:v>
      </x:c>
      <x:c r="H352" t="str">
        <x:v>1363A</x:v>
      </x:c>
      <x:c r="I352" t="str">
        <x:v>$2,767</x:v>
      </x:c>
      <x:c r="J352" t="str"/>
      <x:c r="K352" t="str"/>
      <x:c r="L352" t="str">
        <x:v>$34.5875</x:v>
      </x:c>
      <x:c r="M352" t="str">
        <x:v>$36.3125</x:v>
      </x:c>
      <x:c r="N352" t="str">
        <x:v>$38.1125</x:v>
      </x:c>
      <x:c r="O352" t="str">
        <x:v>$40.0250</x:v>
      </x:c>
      <x:c r="P352" t="str">
        <x:v>$42.0375</x:v>
      </x:c>
      <x:c r="Q352" t="str"/>
      <x:c r="R352" t="str"/>
      <x:c r="S352" t="str"/>
      <x:c r="T352" t="str"/>
      <x:c r="U352" t="str"/>
      <x:c r="V352" t="str"/>
      <x:c r="W352" t="str"/>
      <x:c r="X352" t="str"/>
      <x:c r="Y352" t="str"/>
      <x:c r="Z352" t="str"/>
      <x:c r="AA352" t="str"/>
      <x:c r="AB352" t="str"/>
      <x:c r="AC352" t="str"/>
      <x:c r="AD352" t="str"/>
      <x:c r="AE352" t="str"/>
      <x:c r="AF352" t="str">
        <x:f>D352&amp;"|"&amp;UPPER(G352)&amp;"|"&amp;SUBSTITUTE(C352,"/","-")</x:f>
        <x:v>1363|COMMN|2025-01-04</x:v>
      </x:c>
    </x:row>
    <x:row r="353">
      <x:c r="A353" s="22" t="n">
        <x:v>29858</x:v>
      </x:c>
      <x:c r="B353" t="str">
        <x:v>FY24-25</x:v>
      </x:c>
      <x:c r="C353" t="str">
        <x:v>2025/01/04</x:v>
      </x:c>
      <x:c r="D353" t="str">
        <x:v>1363</x:v>
      </x:c>
      <x:c r="E353" t="str">
        <x:v>Special Assistant IV</x:v>
      </x:c>
      <x:c r="F353" t="str">
        <x:v>021</x:v>
      </x:c>
      <x:c r="G353" t="str">
        <x:v>SFMTA</x:v>
      </x:c>
      <x:c r="H353" t="str">
        <x:v>1363A</x:v>
      </x:c>
      <x:c r="I353" t="str">
        <x:v>$2,767</x:v>
      </x:c>
      <x:c r="J353" t="str"/>
      <x:c r="K353" t="str"/>
      <x:c r="L353" t="str">
        <x:v>$34.5875</x:v>
      </x:c>
      <x:c r="M353" t="str">
        <x:v>$36.3125</x:v>
      </x:c>
      <x:c r="N353" t="str">
        <x:v>$38.1125</x:v>
      </x:c>
      <x:c r="O353" t="str">
        <x:v>$40.0250</x:v>
      </x:c>
      <x:c r="P353" t="str">
        <x:v>$42.0375</x:v>
      </x:c>
      <x:c r="Q353" t="str"/>
      <x:c r="R353" t="str"/>
      <x:c r="S353" t="str"/>
      <x:c r="T353" t="str"/>
      <x:c r="U353" t="str"/>
      <x:c r="V353" t="str"/>
      <x:c r="W353" t="str"/>
      <x:c r="X353" t="str"/>
      <x:c r="Y353" t="str"/>
      <x:c r="Z353" t="str"/>
      <x:c r="AA353" t="str"/>
      <x:c r="AB353" t="str"/>
      <x:c r="AC353" t="str"/>
      <x:c r="AD353" t="str"/>
      <x:c r="AE353" t="str"/>
      <x:c r="AF353" t="str">
        <x:f>D353&amp;"|"&amp;UPPER(G353)&amp;"|"&amp;SUBSTITUTE(C353,"/","-")</x:f>
        <x:v>1363|SFMTA|2025-01-04</x:v>
      </x:c>
    </x:row>
    <x:row r="354">
      <x:c r="A354" s="22" t="n">
        <x:v>31570</x:v>
      </x:c>
      <x:c r="B354" t="str">
        <x:v>FY25-26</x:v>
      </x:c>
      <x:c r="C354" t="str">
        <x:v>2025/07/01</x:v>
      </x:c>
      <x:c r="D354" t="str">
        <x:v>1363</x:v>
      </x:c>
      <x:c r="E354" t="str">
        <x:v>Special Assistant 4</x:v>
      </x:c>
      <x:c r="F354" t="str">
        <x:v>021</x:v>
      </x:c>
      <x:c r="G354" t="str">
        <x:v>COMMN</x:v>
      </x:c>
      <x:c r="H354" t="str">
        <x:v>1363B</x:v>
      </x:c>
      <x:c r="I354" t="str">
        <x:v>$2,823</x:v>
      </x:c>
      <x:c r="J354" t="str"/>
      <x:c r="K354" t="str"/>
      <x:c r="L354" t="str">
        <x:v>$35.2875</x:v>
      </x:c>
      <x:c r="M354" t="str">
        <x:v>$37.0375</x:v>
      </x:c>
      <x:c r="N354" t="str">
        <x:v>$38.8750</x:v>
      </x:c>
      <x:c r="O354" t="str">
        <x:v>$40.8250</x:v>
      </x:c>
      <x:c r="P354" t="str">
        <x:v>$42.8875</x:v>
      </x:c>
      <x:c r="Q354" t="str"/>
      <x:c r="R354" t="str"/>
      <x:c r="S354" t="str"/>
      <x:c r="T354" t="str"/>
      <x:c r="U354" t="str"/>
      <x:c r="V354" t="str"/>
      <x:c r="W354" t="str"/>
      <x:c r="X354" t="str"/>
      <x:c r="Y354" t="str"/>
      <x:c r="Z354" t="str"/>
      <x:c r="AA354" t="str"/>
      <x:c r="AB354" t="str"/>
      <x:c r="AC354" t="str"/>
      <x:c r="AD354" t="str"/>
      <x:c r="AE354" t="str"/>
      <x:c r="AF354" t="str">
        <x:f>D354&amp;"|"&amp;UPPER(G354)&amp;"|"&amp;SUBSTITUTE(C354,"/","-")</x:f>
        <x:v>1363|COMMN|2025-07-01</x:v>
      </x:c>
    </x:row>
    <x:row r="355">
      <x:c r="A355" s="22" t="n">
        <x:v>31571</x:v>
      </x:c>
      <x:c r="B355" t="str">
        <x:v>FY25-26</x:v>
      </x:c>
      <x:c r="C355" t="str">
        <x:v>2025/07/01</x:v>
      </x:c>
      <x:c r="D355" t="str">
        <x:v>1363</x:v>
      </x:c>
      <x:c r="E355" t="str">
        <x:v>Special Assistant 4</x:v>
      </x:c>
      <x:c r="F355" t="str">
        <x:v>021</x:v>
      </x:c>
      <x:c r="G355" t="str">
        <x:v>SFMTA</x:v>
      </x:c>
      <x:c r="H355" t="str">
        <x:v>1363B</x:v>
      </x:c>
      <x:c r="I355" t="str">
        <x:v>$2,823</x:v>
      </x:c>
      <x:c r="J355" t="str"/>
      <x:c r="K355" t="str"/>
      <x:c r="L355" t="str">
        <x:v>$35.2875</x:v>
      </x:c>
      <x:c r="M355" t="str">
        <x:v>$37.0375</x:v>
      </x:c>
      <x:c r="N355" t="str">
        <x:v>$38.8750</x:v>
      </x:c>
      <x:c r="O355" t="str">
        <x:v>$40.8250</x:v>
      </x:c>
      <x:c r="P355" t="str">
        <x:v>$42.8875</x:v>
      </x:c>
      <x:c r="Q355" t="str"/>
      <x:c r="R355" t="str"/>
      <x:c r="S355" t="str"/>
      <x:c r="T355" t="str"/>
      <x:c r="U355" t="str"/>
      <x:c r="V355" t="str"/>
      <x:c r="W355" t="str"/>
      <x:c r="X355" t="str"/>
      <x:c r="Y355" t="str"/>
      <x:c r="Z355" t="str"/>
      <x:c r="AA355" t="str"/>
      <x:c r="AB355" t="str"/>
      <x:c r="AC355" t="str"/>
      <x:c r="AD355" t="str"/>
      <x:c r="AE355" t="str"/>
      <x:c r="AF355" t="str">
        <x:f>D355&amp;"|"&amp;UPPER(G355)&amp;"|"&amp;SUBSTITUTE(C355,"/","-")</x:f>
        <x:v>1363|SFMTA|2025-07-01</x:v>
      </x:c>
    </x:row>
    <x:row r="356">
      <x:c r="A356" s="22" t="n">
        <x:v>33255</x:v>
      </x:c>
      <x:c r="B356" t="str">
        <x:v>FY25-26</x:v>
      </x:c>
      <x:c r="C356" t="str">
        <x:v>2026/01/03</x:v>
      </x:c>
      <x:c r="D356" t="str">
        <x:v>1363</x:v>
      </x:c>
      <x:c r="E356" t="str">
        <x:v>Special Assistant 4</x:v>
      </x:c>
      <x:c r="F356" t="str">
        <x:v>021</x:v>
      </x:c>
      <x:c r="G356" t="str">
        <x:v>COMMN</x:v>
      </x:c>
      <x:c r="H356" t="str">
        <x:v>1363C</x:v>
      </x:c>
      <x:c r="I356" t="str">
        <x:v>$2,865</x:v>
      </x:c>
      <x:c r="J356" t="str"/>
      <x:c r="K356" t="str"/>
      <x:c r="L356" t="str">
        <x:v>$35.8125</x:v>
      </x:c>
      <x:c r="M356" t="str">
        <x:v>$37.5875</x:v>
      </x:c>
      <x:c r="N356" t="str">
        <x:v>$39.4625</x:v>
      </x:c>
      <x:c r="O356" t="str">
        <x:v>$41.4375</x:v>
      </x:c>
      <x:c r="P356" t="str">
        <x:v>$43.5250</x:v>
      </x:c>
      <x:c r="Q356" t="str"/>
      <x:c r="R356" t="str"/>
      <x:c r="S356" t="str"/>
      <x:c r="T356" t="str"/>
      <x:c r="U356" t="str"/>
      <x:c r="V356" t="str"/>
      <x:c r="W356" t="str"/>
      <x:c r="X356" t="str"/>
      <x:c r="Y356" t="str"/>
      <x:c r="Z356" t="str"/>
      <x:c r="AA356" t="str"/>
      <x:c r="AB356" t="str"/>
      <x:c r="AC356" t="str"/>
      <x:c r="AD356" t="str"/>
      <x:c r="AE356" t="str"/>
      <x:c r="AF356" t="str">
        <x:f>D356&amp;"|"&amp;UPPER(G356)&amp;"|"&amp;SUBSTITUTE(C356,"/","-")</x:f>
        <x:v>1363|COMMN|2026-01-03</x:v>
      </x:c>
    </x:row>
    <x:row r="357">
      <x:c r="A357" s="22" t="n">
        <x:v>33256</x:v>
      </x:c>
      <x:c r="B357" t="str">
        <x:v>FY25-26</x:v>
      </x:c>
      <x:c r="C357" t="str">
        <x:v>2026/01/03</x:v>
      </x:c>
      <x:c r="D357" t="str">
        <x:v>1363</x:v>
      </x:c>
      <x:c r="E357" t="str">
        <x:v>Special Assistant 4</x:v>
      </x:c>
      <x:c r="F357" t="str">
        <x:v>021</x:v>
      </x:c>
      <x:c r="G357" t="str">
        <x:v>SFMTA</x:v>
      </x:c>
      <x:c r="H357" t="str">
        <x:v>1363C</x:v>
      </x:c>
      <x:c r="I357" t="str">
        <x:v>$2,865</x:v>
      </x:c>
      <x:c r="J357" t="str"/>
      <x:c r="K357" t="str"/>
      <x:c r="L357" t="str">
        <x:v>$35.8125</x:v>
      </x:c>
      <x:c r="M357" t="str">
        <x:v>$37.5875</x:v>
      </x:c>
      <x:c r="N357" t="str">
        <x:v>$39.4625</x:v>
      </x:c>
      <x:c r="O357" t="str">
        <x:v>$41.4375</x:v>
      </x:c>
      <x:c r="P357" t="str">
        <x:v>$43.5250</x:v>
      </x:c>
      <x:c r="Q357" t="str"/>
      <x:c r="R357" t="str"/>
      <x:c r="S357" t="str"/>
      <x:c r="T357" t="str"/>
      <x:c r="U357" t="str"/>
      <x:c r="V357" t="str"/>
      <x:c r="W357" t="str"/>
      <x:c r="X357" t="str"/>
      <x:c r="Y357" t="str"/>
      <x:c r="Z357" t="str"/>
      <x:c r="AA357" t="str"/>
      <x:c r="AB357" t="str"/>
      <x:c r="AC357" t="str"/>
      <x:c r="AD357" t="str"/>
      <x:c r="AE357" t="str"/>
      <x:c r="AF357" t="str">
        <x:f>D357&amp;"|"&amp;UPPER(G357)&amp;"|"&amp;SUBSTITUTE(C357,"/","-")</x:f>
        <x:v>1363|SFMTA|2026-01-03</x:v>
      </x:c>
    </x:row>
    <x:row r="358">
      <x:c r="A358" s="22" t="n">
        <x:v>26415</x:v>
      </x:c>
      <x:c r="B358" t="str">
        <x:v>FY23-24</x:v>
      </x:c>
      <x:c r="C358" t="str">
        <x:v>2024/01/06</x:v>
      </x:c>
      <x:c r="D358" t="str">
        <x:v>1364</x:v>
      </x:c>
      <x:c r="E358" t="str">
        <x:v>Special Assistant V</x:v>
      </x:c>
      <x:c r="F358" t="str">
        <x:v>021</x:v>
      </x:c>
      <x:c r="G358" t="str">
        <x:v>COMMN</x:v>
      </x:c>
      <x:c r="H358" t="str">
        <x:v>1364Y</x:v>
      </x:c>
      <x:c r="I358" t="str">
        <x:v>$2,887</x:v>
      </x:c>
      <x:c r="J358" t="str"/>
      <x:c r="K358" t="str"/>
      <x:c r="L358" t="str">
        <x:v>$36.0875</x:v>
      </x:c>
      <x:c r="M358" t="str">
        <x:v>$37.9250</x:v>
      </x:c>
      <x:c r="N358" t="str">
        <x:v>$39.8250</x:v>
      </x:c>
      <x:c r="O358" t="str">
        <x:v>$41.8125</x:v>
      </x:c>
      <x:c r="P358" t="str">
        <x:v>$43.9125</x:v>
      </x:c>
      <x:c r="Q358" t="str"/>
      <x:c r="R358" t="str"/>
      <x:c r="S358" t="str"/>
      <x:c r="T358" t="str"/>
      <x:c r="U358" t="str"/>
      <x:c r="V358" t="str"/>
      <x:c r="W358" t="str"/>
      <x:c r="X358" t="str"/>
      <x:c r="Y358" t="str"/>
      <x:c r="Z358" t="str"/>
      <x:c r="AA358" t="str"/>
      <x:c r="AB358" t="str"/>
      <x:c r="AC358" t="str"/>
      <x:c r="AD358" t="str"/>
      <x:c r="AE358" t="str"/>
      <x:c r="AF358" t="str">
        <x:f>D358&amp;"|"&amp;UPPER(G358)&amp;"|"&amp;SUBSTITUTE(C358,"/","-")</x:f>
        <x:v>1364|COMMN|2024-01-06</x:v>
      </x:c>
    </x:row>
    <x:row r="359">
      <x:c r="A359" s="22" t="n">
        <x:v>26416</x:v>
      </x:c>
      <x:c r="B359" t="str">
        <x:v>FY23-24</x:v>
      </x:c>
      <x:c r="C359" t="str">
        <x:v>2024/01/06</x:v>
      </x:c>
      <x:c r="D359" t="str">
        <x:v>1364</x:v>
      </x:c>
      <x:c r="E359" t="str">
        <x:v>Special Assistant V</x:v>
      </x:c>
      <x:c r="F359" t="str">
        <x:v>021</x:v>
      </x:c>
      <x:c r="G359" t="str">
        <x:v>SFMTA</x:v>
      </x:c>
      <x:c r="H359" t="str">
        <x:v>1364Y</x:v>
      </x:c>
      <x:c r="I359" t="str">
        <x:v>$2,887</x:v>
      </x:c>
      <x:c r="J359" t="str"/>
      <x:c r="K359" t="str"/>
      <x:c r="L359" t="str">
        <x:v>$36.0875</x:v>
      </x:c>
      <x:c r="M359" t="str">
        <x:v>$37.9250</x:v>
      </x:c>
      <x:c r="N359" t="str">
        <x:v>$39.8250</x:v>
      </x:c>
      <x:c r="O359" t="str">
        <x:v>$41.8125</x:v>
      </x:c>
      <x:c r="P359" t="str">
        <x:v>$43.9125</x:v>
      </x:c>
      <x:c r="Q359" t="str"/>
      <x:c r="R359" t="str"/>
      <x:c r="S359" t="str"/>
      <x:c r="T359" t="str"/>
      <x:c r="U359" t="str"/>
      <x:c r="V359" t="str"/>
      <x:c r="W359" t="str"/>
      <x:c r="X359" t="str"/>
      <x:c r="Y359" t="str"/>
      <x:c r="Z359" t="str"/>
      <x:c r="AA359" t="str"/>
      <x:c r="AB359" t="str"/>
      <x:c r="AC359" t="str"/>
      <x:c r="AD359" t="str"/>
      <x:c r="AE359" t="str"/>
      <x:c r="AF359" t="str">
        <x:f>D359&amp;"|"&amp;UPPER(G359)&amp;"|"&amp;SUBSTITUTE(C359,"/","-")</x:f>
        <x:v>1364|SFMTA|2024-01-06</x:v>
      </x:c>
    </x:row>
    <x:row r="360">
      <x:c r="A360" s="22" t="n">
        <x:v>28153</x:v>
      </x:c>
      <x:c r="B360" t="str">
        <x:v>FY24-25</x:v>
      </x:c>
      <x:c r="C360" t="str">
        <x:v>2024/07/01</x:v>
      </x:c>
      <x:c r="D360" t="str">
        <x:v>1364</x:v>
      </x:c>
      <x:c r="E360" t="str">
        <x:v>Special Assistant V</x:v>
      </x:c>
      <x:c r="F360" t="str">
        <x:v>021</x:v>
      </x:c>
      <x:c r="G360" t="str">
        <x:v>COMMN</x:v>
      </x:c>
      <x:c r="H360" t="str">
        <x:v>1364Z</x:v>
      </x:c>
      <x:c r="I360" t="str">
        <x:v>$2,930</x:v>
      </x:c>
      <x:c r="J360" t="str"/>
      <x:c r="K360" t="str"/>
      <x:c r="L360" t="str">
        <x:v>$36.6250</x:v>
      </x:c>
      <x:c r="M360" t="str">
        <x:v>$38.5000</x:v>
      </x:c>
      <x:c r="N360" t="str">
        <x:v>$40.4250</x:v>
      </x:c>
      <x:c r="O360" t="str">
        <x:v>$42.4375</x:v>
      </x:c>
      <x:c r="P360" t="str">
        <x:v>$44.5750</x:v>
      </x:c>
      <x:c r="Q360" t="str"/>
      <x:c r="R360" t="str"/>
      <x:c r="S360" t="str"/>
      <x:c r="T360" t="str"/>
      <x:c r="U360" t="str"/>
      <x:c r="V360" t="str"/>
      <x:c r="W360" t="str"/>
      <x:c r="X360" t="str"/>
      <x:c r="Y360" t="str"/>
      <x:c r="Z360" t="str"/>
      <x:c r="AA360" t="str"/>
      <x:c r="AB360" t="str"/>
      <x:c r="AC360" t="str"/>
      <x:c r="AD360" t="str"/>
      <x:c r="AE360" t="str"/>
      <x:c r="AF360" t="str">
        <x:f>D360&amp;"|"&amp;UPPER(G360)&amp;"|"&amp;SUBSTITUTE(C360,"/","-")</x:f>
        <x:v>1364|COMMN|2024-07-01</x:v>
      </x:c>
    </x:row>
    <x:row r="361">
      <x:c r="A361" s="22" t="n">
        <x:v>28154</x:v>
      </x:c>
      <x:c r="B361" t="str">
        <x:v>FY24-25</x:v>
      </x:c>
      <x:c r="C361" t="str">
        <x:v>2024/07/01</x:v>
      </x:c>
      <x:c r="D361" t="str">
        <x:v>1364</x:v>
      </x:c>
      <x:c r="E361" t="str">
        <x:v>Special Assistant V</x:v>
      </x:c>
      <x:c r="F361" t="str">
        <x:v>021</x:v>
      </x:c>
      <x:c r="G361" t="str">
        <x:v>SFMTA</x:v>
      </x:c>
      <x:c r="H361" t="str">
        <x:v>1364Z</x:v>
      </x:c>
      <x:c r="I361" t="str">
        <x:v>$2,930</x:v>
      </x:c>
      <x:c r="J361" t="str"/>
      <x:c r="K361" t="str"/>
      <x:c r="L361" t="str">
        <x:v>$36.6250</x:v>
      </x:c>
      <x:c r="M361" t="str">
        <x:v>$38.5000</x:v>
      </x:c>
      <x:c r="N361" t="str">
        <x:v>$40.4250</x:v>
      </x:c>
      <x:c r="O361" t="str">
        <x:v>$42.4375</x:v>
      </x:c>
      <x:c r="P361" t="str">
        <x:v>$44.5750</x:v>
      </x:c>
      <x:c r="Q361" t="str"/>
      <x:c r="R361" t="str"/>
      <x:c r="S361" t="str"/>
      <x:c r="T361" t="str"/>
      <x:c r="U361" t="str"/>
      <x:c r="V361" t="str"/>
      <x:c r="W361" t="str"/>
      <x:c r="X361" t="str"/>
      <x:c r="Y361" t="str"/>
      <x:c r="Z361" t="str"/>
      <x:c r="AA361" t="str"/>
      <x:c r="AB361" t="str"/>
      <x:c r="AC361" t="str"/>
      <x:c r="AD361" t="str"/>
      <x:c r="AE361" t="str"/>
      <x:c r="AF361" t="str">
        <x:f>D361&amp;"|"&amp;UPPER(G361)&amp;"|"&amp;SUBSTITUTE(C361,"/","-")</x:f>
        <x:v>1364|SFMTA|2024-07-01</x:v>
      </x:c>
    </x:row>
    <x:row r="362">
      <x:c r="A362" s="22" t="n">
        <x:v>29859</x:v>
      </x:c>
      <x:c r="B362" t="str">
        <x:v>FY24-25</x:v>
      </x:c>
      <x:c r="C362" t="str">
        <x:v>2025/01/04</x:v>
      </x:c>
      <x:c r="D362" t="str">
        <x:v>1364</x:v>
      </x:c>
      <x:c r="E362" t="str">
        <x:v>Special Assistant V</x:v>
      </x:c>
      <x:c r="F362" t="str">
        <x:v>021</x:v>
      </x:c>
      <x:c r="G362" t="str">
        <x:v>COMMN</x:v>
      </x:c>
      <x:c r="H362" t="str">
        <x:v>1364A</x:v>
      </x:c>
      <x:c r="I362" t="str">
        <x:v>$2,974</x:v>
      </x:c>
      <x:c r="J362" t="str"/>
      <x:c r="K362" t="str"/>
      <x:c r="L362" t="str">
        <x:v>$37.1750</x:v>
      </x:c>
      <x:c r="M362" t="str">
        <x:v>$39.0750</x:v>
      </x:c>
      <x:c r="N362" t="str">
        <x:v>$41.0375</x:v>
      </x:c>
      <x:c r="O362" t="str">
        <x:v>$43.0750</x:v>
      </x:c>
      <x:c r="P362" t="str">
        <x:v>$45.2375</x:v>
      </x:c>
      <x:c r="Q362" t="str"/>
      <x:c r="R362" t="str"/>
      <x:c r="S362" t="str"/>
      <x:c r="T362" t="str"/>
      <x:c r="U362" t="str"/>
      <x:c r="V362" t="str"/>
      <x:c r="W362" t="str"/>
      <x:c r="X362" t="str"/>
      <x:c r="Y362" t="str"/>
      <x:c r="Z362" t="str"/>
      <x:c r="AA362" t="str"/>
      <x:c r="AB362" t="str"/>
      <x:c r="AC362" t="str"/>
      <x:c r="AD362" t="str"/>
      <x:c r="AE362" t="str"/>
      <x:c r="AF362" t="str">
        <x:f>D362&amp;"|"&amp;UPPER(G362)&amp;"|"&amp;SUBSTITUTE(C362,"/","-")</x:f>
        <x:v>1364|COMMN|2025-01-04</x:v>
      </x:c>
    </x:row>
    <x:row r="363">
      <x:c r="A363" s="22" t="n">
        <x:v>29860</x:v>
      </x:c>
      <x:c r="B363" t="str">
        <x:v>FY24-25</x:v>
      </x:c>
      <x:c r="C363" t="str">
        <x:v>2025/01/04</x:v>
      </x:c>
      <x:c r="D363" t="str">
        <x:v>1364</x:v>
      </x:c>
      <x:c r="E363" t="str">
        <x:v>Special Assistant V</x:v>
      </x:c>
      <x:c r="F363" t="str">
        <x:v>021</x:v>
      </x:c>
      <x:c r="G363" t="str">
        <x:v>SFMTA</x:v>
      </x:c>
      <x:c r="H363" t="str">
        <x:v>1364A</x:v>
      </x:c>
      <x:c r="I363" t="str">
        <x:v>$2,974</x:v>
      </x:c>
      <x:c r="J363" t="str"/>
      <x:c r="K363" t="str"/>
      <x:c r="L363" t="str">
        <x:v>$37.1750</x:v>
      </x:c>
      <x:c r="M363" t="str">
        <x:v>$39.0750</x:v>
      </x:c>
      <x:c r="N363" t="str">
        <x:v>$41.0375</x:v>
      </x:c>
      <x:c r="O363" t="str">
        <x:v>$43.0750</x:v>
      </x:c>
      <x:c r="P363" t="str">
        <x:v>$45.2375</x:v>
      </x:c>
      <x:c r="Q363" t="str"/>
      <x:c r="R363" t="str"/>
      <x:c r="S363" t="str"/>
      <x:c r="T363" t="str"/>
      <x:c r="U363" t="str"/>
      <x:c r="V363" t="str"/>
      <x:c r="W363" t="str"/>
      <x:c r="X363" t="str"/>
      <x:c r="Y363" t="str"/>
      <x:c r="Z363" t="str"/>
      <x:c r="AA363" t="str"/>
      <x:c r="AB363" t="str"/>
      <x:c r="AC363" t="str"/>
      <x:c r="AD363" t="str"/>
      <x:c r="AE363" t="str"/>
      <x:c r="AF363" t="str">
        <x:f>D363&amp;"|"&amp;UPPER(G363)&amp;"|"&amp;SUBSTITUTE(C363,"/","-")</x:f>
        <x:v>1364|SFMTA|2025-01-04</x:v>
      </x:c>
    </x:row>
    <x:row r="364">
      <x:c r="A364" s="22" t="n">
        <x:v>31572</x:v>
      </x:c>
      <x:c r="B364" t="str">
        <x:v>FY25-26</x:v>
      </x:c>
      <x:c r="C364" t="str">
        <x:v>2025/07/01</x:v>
      </x:c>
      <x:c r="D364" t="str">
        <x:v>1364</x:v>
      </x:c>
      <x:c r="E364" t="str">
        <x:v>Special Assistant 5</x:v>
      </x:c>
      <x:c r="F364" t="str">
        <x:v>021</x:v>
      </x:c>
      <x:c r="G364" t="str">
        <x:v>COMMN</x:v>
      </x:c>
      <x:c r="H364" t="str">
        <x:v>1364B</x:v>
      </x:c>
      <x:c r="I364" t="str">
        <x:v>$3,034</x:v>
      </x:c>
      <x:c r="J364" t="str"/>
      <x:c r="K364" t="str"/>
      <x:c r="L364" t="str">
        <x:v>$37.9250</x:v>
      </x:c>
      <x:c r="M364" t="str">
        <x:v>$39.8625</x:v>
      </x:c>
      <x:c r="N364" t="str">
        <x:v>$41.8625</x:v>
      </x:c>
      <x:c r="O364" t="str">
        <x:v>$43.9375</x:v>
      </x:c>
      <x:c r="P364" t="str">
        <x:v>$46.1500</x:v>
      </x:c>
      <x:c r="Q364" t="str"/>
      <x:c r="R364" t="str"/>
      <x:c r="S364" t="str"/>
      <x:c r="T364" t="str"/>
      <x:c r="U364" t="str"/>
      <x:c r="V364" t="str"/>
      <x:c r="W364" t="str"/>
      <x:c r="X364" t="str"/>
      <x:c r="Y364" t="str"/>
      <x:c r="Z364" t="str"/>
      <x:c r="AA364" t="str"/>
      <x:c r="AB364" t="str"/>
      <x:c r="AC364" t="str"/>
      <x:c r="AD364" t="str"/>
      <x:c r="AE364" t="str"/>
      <x:c r="AF364" t="str">
        <x:f>D364&amp;"|"&amp;UPPER(G364)&amp;"|"&amp;SUBSTITUTE(C364,"/","-")</x:f>
        <x:v>1364|COMMN|2025-07-01</x:v>
      </x:c>
    </x:row>
    <x:row r="365">
      <x:c r="A365" s="22" t="n">
        <x:v>31573</x:v>
      </x:c>
      <x:c r="B365" t="str">
        <x:v>FY25-26</x:v>
      </x:c>
      <x:c r="C365" t="str">
        <x:v>2025/07/01</x:v>
      </x:c>
      <x:c r="D365" t="str">
        <x:v>1364</x:v>
      </x:c>
      <x:c r="E365" t="str">
        <x:v>Special Assistant 5</x:v>
      </x:c>
      <x:c r="F365" t="str">
        <x:v>021</x:v>
      </x:c>
      <x:c r="G365" t="str">
        <x:v>SFMTA</x:v>
      </x:c>
      <x:c r="H365" t="str">
        <x:v>1364B</x:v>
      </x:c>
      <x:c r="I365" t="str">
        <x:v>$3,034</x:v>
      </x:c>
      <x:c r="J365" t="str"/>
      <x:c r="K365" t="str"/>
      <x:c r="L365" t="str">
        <x:v>$37.9250</x:v>
      </x:c>
      <x:c r="M365" t="str">
        <x:v>$39.8625</x:v>
      </x:c>
      <x:c r="N365" t="str">
        <x:v>$41.8625</x:v>
      </x:c>
      <x:c r="O365" t="str">
        <x:v>$43.9375</x:v>
      </x:c>
      <x:c r="P365" t="str">
        <x:v>$46.1500</x:v>
      </x:c>
      <x:c r="Q365" t="str"/>
      <x:c r="R365" t="str"/>
      <x:c r="S365" t="str"/>
      <x:c r="T365" t="str"/>
      <x:c r="U365" t="str"/>
      <x:c r="V365" t="str"/>
      <x:c r="W365" t="str"/>
      <x:c r="X365" t="str"/>
      <x:c r="Y365" t="str"/>
      <x:c r="Z365" t="str"/>
      <x:c r="AA365" t="str"/>
      <x:c r="AB365" t="str"/>
      <x:c r="AC365" t="str"/>
      <x:c r="AD365" t="str"/>
      <x:c r="AE365" t="str"/>
      <x:c r="AF365" t="str">
        <x:f>D365&amp;"|"&amp;UPPER(G365)&amp;"|"&amp;SUBSTITUTE(C365,"/","-")</x:f>
        <x:v>1364|SFMTA|2025-07-01</x:v>
      </x:c>
    </x:row>
    <x:row r="366">
      <x:c r="A366" s="22" t="n">
        <x:v>33257</x:v>
      </x:c>
      <x:c r="B366" t="str">
        <x:v>FY25-26</x:v>
      </x:c>
      <x:c r="C366" t="str">
        <x:v>2026/01/03</x:v>
      </x:c>
      <x:c r="D366" t="str">
        <x:v>1364</x:v>
      </x:c>
      <x:c r="E366" t="str">
        <x:v>Special Assistant 5</x:v>
      </x:c>
      <x:c r="F366" t="str">
        <x:v>021</x:v>
      </x:c>
      <x:c r="G366" t="str">
        <x:v>COMMN</x:v>
      </x:c>
      <x:c r="H366" t="str">
        <x:v>1364C</x:v>
      </x:c>
      <x:c r="I366" t="str">
        <x:v>$3,080</x:v>
      </x:c>
      <x:c r="J366" t="str"/>
      <x:c r="K366" t="str"/>
      <x:c r="L366" t="str">
        <x:v>$38.5000</x:v>
      </x:c>
      <x:c r="M366" t="str">
        <x:v>$40.4625</x:v>
      </x:c>
      <x:c r="N366" t="str">
        <x:v>$42.4875</x:v>
      </x:c>
      <x:c r="O366" t="str">
        <x:v>$44.6000</x:v>
      </x:c>
      <x:c r="P366" t="str">
        <x:v>$46.8375</x:v>
      </x:c>
      <x:c r="Q366" t="str"/>
      <x:c r="R366" t="str"/>
      <x:c r="S366" t="str"/>
      <x:c r="T366" t="str"/>
      <x:c r="U366" t="str"/>
      <x:c r="V366" t="str"/>
      <x:c r="W366" t="str"/>
      <x:c r="X366" t="str"/>
      <x:c r="Y366" t="str"/>
      <x:c r="Z366" t="str"/>
      <x:c r="AA366" t="str"/>
      <x:c r="AB366" t="str"/>
      <x:c r="AC366" t="str"/>
      <x:c r="AD366" t="str"/>
      <x:c r="AE366" t="str"/>
      <x:c r="AF366" t="str">
        <x:f>D366&amp;"|"&amp;UPPER(G366)&amp;"|"&amp;SUBSTITUTE(C366,"/","-")</x:f>
        <x:v>1364|COMMN|2026-01-03</x:v>
      </x:c>
    </x:row>
    <x:row r="367">
      <x:c r="A367" s="22" t="n">
        <x:v>33258</x:v>
      </x:c>
      <x:c r="B367" t="str">
        <x:v>FY25-26</x:v>
      </x:c>
      <x:c r="C367" t="str">
        <x:v>2026/01/03</x:v>
      </x:c>
      <x:c r="D367" t="str">
        <x:v>1364</x:v>
      </x:c>
      <x:c r="E367" t="str">
        <x:v>Special Assistant 5</x:v>
      </x:c>
      <x:c r="F367" t="str">
        <x:v>021</x:v>
      </x:c>
      <x:c r="G367" t="str">
        <x:v>SFMTA</x:v>
      </x:c>
      <x:c r="H367" t="str">
        <x:v>1364C</x:v>
      </x:c>
      <x:c r="I367" t="str">
        <x:v>$3,080</x:v>
      </x:c>
      <x:c r="J367" t="str"/>
      <x:c r="K367" t="str"/>
      <x:c r="L367" t="str">
        <x:v>$38.5000</x:v>
      </x:c>
      <x:c r="M367" t="str">
        <x:v>$40.4625</x:v>
      </x:c>
      <x:c r="N367" t="str">
        <x:v>$42.4875</x:v>
      </x:c>
      <x:c r="O367" t="str">
        <x:v>$44.6000</x:v>
      </x:c>
      <x:c r="P367" t="str">
        <x:v>$46.8375</x:v>
      </x:c>
      <x:c r="Q367" t="str"/>
      <x:c r="R367" t="str"/>
      <x:c r="S367" t="str"/>
      <x:c r="T367" t="str"/>
      <x:c r="U367" t="str"/>
      <x:c r="V367" t="str"/>
      <x:c r="W367" t="str"/>
      <x:c r="X367" t="str"/>
      <x:c r="Y367" t="str"/>
      <x:c r="Z367" t="str"/>
      <x:c r="AA367" t="str"/>
      <x:c r="AB367" t="str"/>
      <x:c r="AC367" t="str"/>
      <x:c r="AD367" t="str"/>
      <x:c r="AE367" t="str"/>
      <x:c r="AF367" t="str">
        <x:f>D367&amp;"|"&amp;UPPER(G367)&amp;"|"&amp;SUBSTITUTE(C367,"/","-")</x:f>
        <x:v>1364|SFMTA|2026-01-03</x:v>
      </x:c>
    </x:row>
    <x:row r="368">
      <x:c r="A368" s="22" t="n">
        <x:v>26417</x:v>
      </x:c>
      <x:c r="B368" t="str">
        <x:v>FY23-24</x:v>
      </x:c>
      <x:c r="C368" t="str">
        <x:v>2024/01/06</x:v>
      </x:c>
      <x:c r="D368" t="str">
        <x:v>1365</x:v>
      </x:c>
      <x:c r="E368" t="str">
        <x:v>Special Assistant VI</x:v>
      </x:c>
      <x:c r="F368" t="str">
        <x:v>021</x:v>
      </x:c>
      <x:c r="G368" t="str">
        <x:v>COMMN</x:v>
      </x:c>
      <x:c r="H368" t="str">
        <x:v>1365Y</x:v>
      </x:c>
      <x:c r="I368" t="str">
        <x:v>$3,092</x:v>
      </x:c>
      <x:c r="J368" t="str"/>
      <x:c r="K368" t="str"/>
      <x:c r="L368" t="str">
        <x:v>$38.6500</x:v>
      </x:c>
      <x:c r="M368" t="str">
        <x:v>$40.5875</x:v>
      </x:c>
      <x:c r="N368" t="str">
        <x:v>$42.6125</x:v>
      </x:c>
      <x:c r="O368" t="str">
        <x:v>$44.7500</x:v>
      </x:c>
      <x:c r="P368" t="str">
        <x:v>$46.9875</x:v>
      </x:c>
      <x:c r="Q368" t="str"/>
      <x:c r="R368" t="str"/>
      <x:c r="S368" t="str"/>
      <x:c r="T368" t="str"/>
      <x:c r="U368" t="str"/>
      <x:c r="V368" t="str"/>
      <x:c r="W368" t="str"/>
      <x:c r="X368" t="str"/>
      <x:c r="Y368" t="str"/>
      <x:c r="Z368" t="str"/>
      <x:c r="AA368" t="str"/>
      <x:c r="AB368" t="str"/>
      <x:c r="AC368" t="str"/>
      <x:c r="AD368" t="str"/>
      <x:c r="AE368" t="str"/>
      <x:c r="AF368" t="str">
        <x:f>D368&amp;"|"&amp;UPPER(G368)&amp;"|"&amp;SUBSTITUTE(C368,"/","-")</x:f>
        <x:v>1365|COMMN|2024-01-06</x:v>
      </x:c>
    </x:row>
    <x:row r="369">
      <x:c r="A369" s="22" t="n">
        <x:v>26418</x:v>
      </x:c>
      <x:c r="B369" t="str">
        <x:v>FY23-24</x:v>
      </x:c>
      <x:c r="C369" t="str">
        <x:v>2024/01/06</x:v>
      </x:c>
      <x:c r="D369" t="str">
        <x:v>1365</x:v>
      </x:c>
      <x:c r="E369" t="str">
        <x:v>Special Assistant VI</x:v>
      </x:c>
      <x:c r="F369" t="str">
        <x:v>021</x:v>
      </x:c>
      <x:c r="G369" t="str">
        <x:v>SFMTA</x:v>
      </x:c>
      <x:c r="H369" t="str">
        <x:v>1365Y</x:v>
      </x:c>
      <x:c r="I369" t="str">
        <x:v>$3,092</x:v>
      </x:c>
      <x:c r="J369" t="str"/>
      <x:c r="K369" t="str"/>
      <x:c r="L369" t="str">
        <x:v>$38.6500</x:v>
      </x:c>
      <x:c r="M369" t="str">
        <x:v>$40.5875</x:v>
      </x:c>
      <x:c r="N369" t="str">
        <x:v>$42.6125</x:v>
      </x:c>
      <x:c r="O369" t="str">
        <x:v>$44.7500</x:v>
      </x:c>
      <x:c r="P369" t="str">
        <x:v>$46.9875</x:v>
      </x:c>
      <x:c r="Q369" t="str"/>
      <x:c r="R369" t="str"/>
      <x:c r="S369" t="str"/>
      <x:c r="T369" t="str"/>
      <x:c r="U369" t="str"/>
      <x:c r="V369" t="str"/>
      <x:c r="W369" t="str"/>
      <x:c r="X369" t="str"/>
      <x:c r="Y369" t="str"/>
      <x:c r="Z369" t="str"/>
      <x:c r="AA369" t="str"/>
      <x:c r="AB369" t="str"/>
      <x:c r="AC369" t="str"/>
      <x:c r="AD369" t="str"/>
      <x:c r="AE369" t="str"/>
      <x:c r="AF369" t="str">
        <x:f>D369&amp;"|"&amp;UPPER(G369)&amp;"|"&amp;SUBSTITUTE(C369,"/","-")</x:f>
        <x:v>1365|SFMTA|2024-01-06</x:v>
      </x:c>
    </x:row>
    <x:row r="370">
      <x:c r="A370" s="22" t="n">
        <x:v>28155</x:v>
      </x:c>
      <x:c r="B370" t="str">
        <x:v>FY24-25</x:v>
      </x:c>
      <x:c r="C370" t="str">
        <x:v>2024/07/01</x:v>
      </x:c>
      <x:c r="D370" t="str">
        <x:v>1365</x:v>
      </x:c>
      <x:c r="E370" t="str">
        <x:v>Special Assistant VI</x:v>
      </x:c>
      <x:c r="F370" t="str">
        <x:v>021</x:v>
      </x:c>
      <x:c r="G370" t="str">
        <x:v>COMMN</x:v>
      </x:c>
      <x:c r="H370" t="str">
        <x:v>1365Z</x:v>
      </x:c>
      <x:c r="I370" t="str">
        <x:v>$3,138</x:v>
      </x:c>
      <x:c r="J370" t="str"/>
      <x:c r="K370" t="str"/>
      <x:c r="L370" t="str">
        <x:v>$39.2250</x:v>
      </x:c>
      <x:c r="M370" t="str">
        <x:v>$41.2000</x:v>
      </x:c>
      <x:c r="N370" t="str">
        <x:v>$43.2500</x:v>
      </x:c>
      <x:c r="O370" t="str">
        <x:v>$45.4250</x:v>
      </x:c>
      <x:c r="P370" t="str">
        <x:v>$47.6875</x:v>
      </x:c>
      <x:c r="Q370" t="str"/>
      <x:c r="R370" t="str"/>
      <x:c r="S370" t="str"/>
      <x:c r="T370" t="str"/>
      <x:c r="U370" t="str"/>
      <x:c r="V370" t="str"/>
      <x:c r="W370" t="str"/>
      <x:c r="X370" t="str"/>
      <x:c r="Y370" t="str"/>
      <x:c r="Z370" t="str"/>
      <x:c r="AA370" t="str"/>
      <x:c r="AB370" t="str"/>
      <x:c r="AC370" t="str"/>
      <x:c r="AD370" t="str"/>
      <x:c r="AE370" t="str"/>
      <x:c r="AF370" t="str">
        <x:f>D370&amp;"|"&amp;UPPER(G370)&amp;"|"&amp;SUBSTITUTE(C370,"/","-")</x:f>
        <x:v>1365|COMMN|2024-07-01</x:v>
      </x:c>
    </x:row>
    <x:row r="371">
      <x:c r="A371" s="22" t="n">
        <x:v>28156</x:v>
      </x:c>
      <x:c r="B371" t="str">
        <x:v>FY24-25</x:v>
      </x:c>
      <x:c r="C371" t="str">
        <x:v>2024/07/01</x:v>
      </x:c>
      <x:c r="D371" t="str">
        <x:v>1365</x:v>
      </x:c>
      <x:c r="E371" t="str">
        <x:v>Special Assistant VI</x:v>
      </x:c>
      <x:c r="F371" t="str">
        <x:v>021</x:v>
      </x:c>
      <x:c r="G371" t="str">
        <x:v>SFMTA</x:v>
      </x:c>
      <x:c r="H371" t="str">
        <x:v>1365Z</x:v>
      </x:c>
      <x:c r="I371" t="str">
        <x:v>$3,138</x:v>
      </x:c>
      <x:c r="J371" t="str"/>
      <x:c r="K371" t="str"/>
      <x:c r="L371" t="str">
        <x:v>$39.2250</x:v>
      </x:c>
      <x:c r="M371" t="str">
        <x:v>$41.2000</x:v>
      </x:c>
      <x:c r="N371" t="str">
        <x:v>$43.2500</x:v>
      </x:c>
      <x:c r="O371" t="str">
        <x:v>$45.4250</x:v>
      </x:c>
      <x:c r="P371" t="str">
        <x:v>$47.6875</x:v>
      </x:c>
      <x:c r="Q371" t="str"/>
      <x:c r="R371" t="str"/>
      <x:c r="S371" t="str"/>
      <x:c r="T371" t="str"/>
      <x:c r="U371" t="str"/>
      <x:c r="V371" t="str"/>
      <x:c r="W371" t="str"/>
      <x:c r="X371" t="str"/>
      <x:c r="Y371" t="str"/>
      <x:c r="Z371" t="str"/>
      <x:c r="AA371" t="str"/>
      <x:c r="AB371" t="str"/>
      <x:c r="AC371" t="str"/>
      <x:c r="AD371" t="str"/>
      <x:c r="AE371" t="str"/>
      <x:c r="AF371" t="str">
        <x:f>D371&amp;"|"&amp;UPPER(G371)&amp;"|"&amp;SUBSTITUTE(C371,"/","-")</x:f>
        <x:v>1365|SFMTA|2024-07-01</x:v>
      </x:c>
    </x:row>
    <x:row r="372">
      <x:c r="A372" s="22" t="n">
        <x:v>29861</x:v>
      </x:c>
      <x:c r="B372" t="str">
        <x:v>FY24-25</x:v>
      </x:c>
      <x:c r="C372" t="str">
        <x:v>2025/01/04</x:v>
      </x:c>
      <x:c r="D372" t="str">
        <x:v>1365</x:v>
      </x:c>
      <x:c r="E372" t="str">
        <x:v>Special Assistant VI</x:v>
      </x:c>
      <x:c r="F372" t="str">
        <x:v>021</x:v>
      </x:c>
      <x:c r="G372" t="str">
        <x:v>COMMN</x:v>
      </x:c>
      <x:c r="H372" t="str">
        <x:v>1365A</x:v>
      </x:c>
      <x:c r="I372" t="str">
        <x:v>$3,185</x:v>
      </x:c>
      <x:c r="J372" t="str"/>
      <x:c r="K372" t="str"/>
      <x:c r="L372" t="str">
        <x:v>$39.8125</x:v>
      </x:c>
      <x:c r="M372" t="str">
        <x:v>$41.8125</x:v>
      </x:c>
      <x:c r="N372" t="str">
        <x:v>$43.9000</x:v>
      </x:c>
      <x:c r="O372" t="str">
        <x:v>$46.1125</x:v>
      </x:c>
      <x:c r="P372" t="str">
        <x:v>$48.4000</x:v>
      </x:c>
      <x:c r="Q372" t="str"/>
      <x:c r="R372" t="str"/>
      <x:c r="S372" t="str"/>
      <x:c r="T372" t="str"/>
      <x:c r="U372" t="str"/>
      <x:c r="V372" t="str"/>
      <x:c r="W372" t="str"/>
      <x:c r="X372" t="str"/>
      <x:c r="Y372" t="str"/>
      <x:c r="Z372" t="str"/>
      <x:c r="AA372" t="str"/>
      <x:c r="AB372" t="str"/>
      <x:c r="AC372" t="str"/>
      <x:c r="AD372" t="str"/>
      <x:c r="AE372" t="str"/>
      <x:c r="AF372" t="str">
        <x:f>D372&amp;"|"&amp;UPPER(G372)&amp;"|"&amp;SUBSTITUTE(C372,"/","-")</x:f>
        <x:v>1365|COMMN|2025-01-04</x:v>
      </x:c>
    </x:row>
    <x:row r="373">
      <x:c r="A373" s="22" t="n">
        <x:v>29862</x:v>
      </x:c>
      <x:c r="B373" t="str">
        <x:v>FY24-25</x:v>
      </x:c>
      <x:c r="C373" t="str">
        <x:v>2025/01/04</x:v>
      </x:c>
      <x:c r="D373" t="str">
        <x:v>1365</x:v>
      </x:c>
      <x:c r="E373" t="str">
        <x:v>Special Assistant VI</x:v>
      </x:c>
      <x:c r="F373" t="str">
        <x:v>021</x:v>
      </x:c>
      <x:c r="G373" t="str">
        <x:v>SFMTA</x:v>
      </x:c>
      <x:c r="H373" t="str">
        <x:v>1365A</x:v>
      </x:c>
      <x:c r="I373" t="str">
        <x:v>$3,185</x:v>
      </x:c>
      <x:c r="J373" t="str"/>
      <x:c r="K373" t="str"/>
      <x:c r="L373" t="str">
        <x:v>$39.8125</x:v>
      </x:c>
      <x:c r="M373" t="str">
        <x:v>$41.8125</x:v>
      </x:c>
      <x:c r="N373" t="str">
        <x:v>$43.9000</x:v>
      </x:c>
      <x:c r="O373" t="str">
        <x:v>$46.1125</x:v>
      </x:c>
      <x:c r="P373" t="str">
        <x:v>$48.4000</x:v>
      </x:c>
      <x:c r="Q373" t="str"/>
      <x:c r="R373" t="str"/>
      <x:c r="S373" t="str"/>
      <x:c r="T373" t="str"/>
      <x:c r="U373" t="str"/>
      <x:c r="V373" t="str"/>
      <x:c r="W373" t="str"/>
      <x:c r="X373" t="str"/>
      <x:c r="Y373" t="str"/>
      <x:c r="Z373" t="str"/>
      <x:c r="AA373" t="str"/>
      <x:c r="AB373" t="str"/>
      <x:c r="AC373" t="str"/>
      <x:c r="AD373" t="str"/>
      <x:c r="AE373" t="str"/>
      <x:c r="AF373" t="str">
        <x:f>D373&amp;"|"&amp;UPPER(G373)&amp;"|"&amp;SUBSTITUTE(C373,"/","-")</x:f>
        <x:v>1365|SFMTA|2025-01-04</x:v>
      </x:c>
    </x:row>
    <x:row r="374">
      <x:c r="A374" s="22" t="n">
        <x:v>31574</x:v>
      </x:c>
      <x:c r="B374" t="str">
        <x:v>FY25-26</x:v>
      </x:c>
      <x:c r="C374" t="str">
        <x:v>2025/07/01</x:v>
      </x:c>
      <x:c r="D374" t="str">
        <x:v>1365</x:v>
      </x:c>
      <x:c r="E374" t="str">
        <x:v>Special Assistant 6</x:v>
      </x:c>
      <x:c r="F374" t="str">
        <x:v>021</x:v>
      </x:c>
      <x:c r="G374" t="str">
        <x:v>COMMN</x:v>
      </x:c>
      <x:c r="H374" t="str">
        <x:v>1365B</x:v>
      </x:c>
      <x:c r="I374" t="str">
        <x:v>$3,249</x:v>
      </x:c>
      <x:c r="J374" t="str"/>
      <x:c r="K374" t="str"/>
      <x:c r="L374" t="str">
        <x:v>$40.6125</x:v>
      </x:c>
      <x:c r="M374" t="str">
        <x:v>$42.6500</x:v>
      </x:c>
      <x:c r="N374" t="str">
        <x:v>$44.7875</x:v>
      </x:c>
      <x:c r="O374" t="str">
        <x:v>$47.0375</x:v>
      </x:c>
      <x:c r="P374" t="str">
        <x:v>$49.3750</x:v>
      </x:c>
      <x:c r="Q374" t="str"/>
      <x:c r="R374" t="str"/>
      <x:c r="S374" t="str"/>
      <x:c r="T374" t="str"/>
      <x:c r="U374" t="str"/>
      <x:c r="V374" t="str"/>
      <x:c r="W374" t="str"/>
      <x:c r="X374" t="str"/>
      <x:c r="Y374" t="str"/>
      <x:c r="Z374" t="str"/>
      <x:c r="AA374" t="str"/>
      <x:c r="AB374" t="str"/>
      <x:c r="AC374" t="str"/>
      <x:c r="AD374" t="str"/>
      <x:c r="AE374" t="str"/>
      <x:c r="AF374" t="str">
        <x:f>D374&amp;"|"&amp;UPPER(G374)&amp;"|"&amp;SUBSTITUTE(C374,"/","-")</x:f>
        <x:v>1365|COMMN|2025-07-01</x:v>
      </x:c>
    </x:row>
    <x:row r="375">
      <x:c r="A375" s="22" t="n">
        <x:v>31575</x:v>
      </x:c>
      <x:c r="B375" t="str">
        <x:v>FY25-26</x:v>
      </x:c>
      <x:c r="C375" t="str">
        <x:v>2025/07/01</x:v>
      </x:c>
      <x:c r="D375" t="str">
        <x:v>1365</x:v>
      </x:c>
      <x:c r="E375" t="str">
        <x:v>Special Assistant 6</x:v>
      </x:c>
      <x:c r="F375" t="str">
        <x:v>021</x:v>
      </x:c>
      <x:c r="G375" t="str">
        <x:v>SFMTA</x:v>
      </x:c>
      <x:c r="H375" t="str">
        <x:v>1365B</x:v>
      </x:c>
      <x:c r="I375" t="str">
        <x:v>$3,249</x:v>
      </x:c>
      <x:c r="J375" t="str"/>
      <x:c r="K375" t="str"/>
      <x:c r="L375" t="str">
        <x:v>$40.6125</x:v>
      </x:c>
      <x:c r="M375" t="str">
        <x:v>$42.6500</x:v>
      </x:c>
      <x:c r="N375" t="str">
        <x:v>$44.7875</x:v>
      </x:c>
      <x:c r="O375" t="str">
        <x:v>$47.0375</x:v>
      </x:c>
      <x:c r="P375" t="str">
        <x:v>$49.3750</x:v>
      </x:c>
      <x:c r="Q375" t="str"/>
      <x:c r="R375" t="str"/>
      <x:c r="S375" t="str"/>
      <x:c r="T375" t="str"/>
      <x:c r="U375" t="str"/>
      <x:c r="V375" t="str"/>
      <x:c r="W375" t="str"/>
      <x:c r="X375" t="str"/>
      <x:c r="Y375" t="str"/>
      <x:c r="Z375" t="str"/>
      <x:c r="AA375" t="str"/>
      <x:c r="AB375" t="str"/>
      <x:c r="AC375" t="str"/>
      <x:c r="AD375" t="str"/>
      <x:c r="AE375" t="str"/>
      <x:c r="AF375" t="str">
        <x:f>D375&amp;"|"&amp;UPPER(G375)&amp;"|"&amp;SUBSTITUTE(C375,"/","-")</x:f>
        <x:v>1365|SFMTA|2025-07-01</x:v>
      </x:c>
    </x:row>
    <x:row r="376">
      <x:c r="A376" s="22" t="n">
        <x:v>33259</x:v>
      </x:c>
      <x:c r="B376" t="str">
        <x:v>FY25-26</x:v>
      </x:c>
      <x:c r="C376" t="str">
        <x:v>2026/01/03</x:v>
      </x:c>
      <x:c r="D376" t="str">
        <x:v>1365</x:v>
      </x:c>
      <x:c r="E376" t="str">
        <x:v>Special Assistant 6</x:v>
      </x:c>
      <x:c r="F376" t="str">
        <x:v>021</x:v>
      </x:c>
      <x:c r="G376" t="str">
        <x:v>COMMN</x:v>
      </x:c>
      <x:c r="H376" t="str">
        <x:v>1365C</x:v>
      </x:c>
      <x:c r="I376" t="str">
        <x:v>$3,298</x:v>
      </x:c>
      <x:c r="J376" t="str"/>
      <x:c r="K376" t="str"/>
      <x:c r="L376" t="str">
        <x:v>$41.2250</x:v>
      </x:c>
      <x:c r="M376" t="str">
        <x:v>$43.2875</x:v>
      </x:c>
      <x:c r="N376" t="str">
        <x:v>$45.4625</x:v>
      </x:c>
      <x:c r="O376" t="str">
        <x:v>$47.7375</x:v>
      </x:c>
      <x:c r="P376" t="str">
        <x:v>$50.1125</x:v>
      </x:c>
      <x:c r="Q376" t="str"/>
      <x:c r="R376" t="str"/>
      <x:c r="S376" t="str"/>
      <x:c r="T376" t="str"/>
      <x:c r="U376" t="str"/>
      <x:c r="V376" t="str"/>
      <x:c r="W376" t="str"/>
      <x:c r="X376" t="str"/>
      <x:c r="Y376" t="str"/>
      <x:c r="Z376" t="str"/>
      <x:c r="AA376" t="str"/>
      <x:c r="AB376" t="str"/>
      <x:c r="AC376" t="str"/>
      <x:c r="AD376" t="str"/>
      <x:c r="AE376" t="str"/>
      <x:c r="AF376" t="str">
        <x:f>D376&amp;"|"&amp;UPPER(G376)&amp;"|"&amp;SUBSTITUTE(C376,"/","-")</x:f>
        <x:v>1365|COMMN|2026-01-03</x:v>
      </x:c>
    </x:row>
    <x:row r="377">
      <x:c r="A377" s="22" t="n">
        <x:v>33260</x:v>
      </x:c>
      <x:c r="B377" t="str">
        <x:v>FY25-26</x:v>
      </x:c>
      <x:c r="C377" t="str">
        <x:v>2026/01/03</x:v>
      </x:c>
      <x:c r="D377" t="str">
        <x:v>1365</x:v>
      </x:c>
      <x:c r="E377" t="str">
        <x:v>Special Assistant 6</x:v>
      </x:c>
      <x:c r="F377" t="str">
        <x:v>021</x:v>
      </x:c>
      <x:c r="G377" t="str">
        <x:v>SFMTA</x:v>
      </x:c>
      <x:c r="H377" t="str">
        <x:v>1365C</x:v>
      </x:c>
      <x:c r="I377" t="str">
        <x:v>$3,298</x:v>
      </x:c>
      <x:c r="J377" t="str"/>
      <x:c r="K377" t="str"/>
      <x:c r="L377" t="str">
        <x:v>$41.2250</x:v>
      </x:c>
      <x:c r="M377" t="str">
        <x:v>$43.2875</x:v>
      </x:c>
      <x:c r="N377" t="str">
        <x:v>$45.4625</x:v>
      </x:c>
      <x:c r="O377" t="str">
        <x:v>$47.7375</x:v>
      </x:c>
      <x:c r="P377" t="str">
        <x:v>$50.1125</x:v>
      </x:c>
      <x:c r="Q377" t="str"/>
      <x:c r="R377" t="str"/>
      <x:c r="S377" t="str"/>
      <x:c r="T377" t="str"/>
      <x:c r="U377" t="str"/>
      <x:c r="V377" t="str"/>
      <x:c r="W377" t="str"/>
      <x:c r="X377" t="str"/>
      <x:c r="Y377" t="str"/>
      <x:c r="Z377" t="str"/>
      <x:c r="AA377" t="str"/>
      <x:c r="AB377" t="str"/>
      <x:c r="AC377" t="str"/>
      <x:c r="AD377" t="str"/>
      <x:c r="AE377" t="str"/>
      <x:c r="AF377" t="str">
        <x:f>D377&amp;"|"&amp;UPPER(G377)&amp;"|"&amp;SUBSTITUTE(C377,"/","-")</x:f>
        <x:v>1365|SFMTA|2026-01-03</x:v>
      </x:c>
    </x:row>
    <x:row r="378">
      <x:c r="A378" s="22" t="n">
        <x:v>26419</x:v>
      </x:c>
      <x:c r="B378" t="str">
        <x:v>FY23-24</x:v>
      </x:c>
      <x:c r="C378" t="str">
        <x:v>2024/01/06</x:v>
      </x:c>
      <x:c r="D378" t="str">
        <x:v>1366</x:v>
      </x:c>
      <x:c r="E378" t="str">
        <x:v>Special Assistant VII</x:v>
      </x:c>
      <x:c r="F378" t="str">
        <x:v>021</x:v>
      </x:c>
      <x:c r="G378" t="str">
        <x:v>COMMN</x:v>
      </x:c>
      <x:c r="H378" t="str">
        <x:v>1366Y</x:v>
      </x:c>
      <x:c r="I378" t="str">
        <x:v>$3,327</x:v>
      </x:c>
      <x:c r="J378" t="str"/>
      <x:c r="K378" t="str"/>
      <x:c r="L378" t="str">
        <x:v>$41.5875</x:v>
      </x:c>
      <x:c r="M378" t="str">
        <x:v>$43.6750</x:v>
      </x:c>
      <x:c r="N378" t="str">
        <x:v>$45.8875</x:v>
      </x:c>
      <x:c r="O378" t="str">
        <x:v>$48.1500</x:v>
      </x:c>
      <x:c r="P378" t="str">
        <x:v>$50.5875</x:v>
      </x:c>
      <x:c r="Q378" t="str"/>
      <x:c r="R378" t="str"/>
      <x:c r="S378" t="str"/>
      <x:c r="T378" t="str"/>
      <x:c r="U378" t="str"/>
      <x:c r="V378" t="str"/>
      <x:c r="W378" t="str"/>
      <x:c r="X378" t="str"/>
      <x:c r="Y378" t="str"/>
      <x:c r="Z378" t="str"/>
      <x:c r="AA378" t="str"/>
      <x:c r="AB378" t="str"/>
      <x:c r="AC378" t="str"/>
      <x:c r="AD378" t="str"/>
      <x:c r="AE378" t="str"/>
      <x:c r="AF378" t="str">
        <x:f>D378&amp;"|"&amp;UPPER(G378)&amp;"|"&amp;SUBSTITUTE(C378,"/","-")</x:f>
        <x:v>1366|COMMN|2024-01-06</x:v>
      </x:c>
    </x:row>
    <x:row r="379">
      <x:c r="A379" s="22" t="n">
        <x:v>26420</x:v>
      </x:c>
      <x:c r="B379" t="str">
        <x:v>FY23-24</x:v>
      </x:c>
      <x:c r="C379" t="str">
        <x:v>2024/01/06</x:v>
      </x:c>
      <x:c r="D379" t="str">
        <x:v>1366</x:v>
      </x:c>
      <x:c r="E379" t="str">
        <x:v>Special Assistant VII</x:v>
      </x:c>
      <x:c r="F379" t="str">
        <x:v>021</x:v>
      </x:c>
      <x:c r="G379" t="str">
        <x:v>SFMTA</x:v>
      </x:c>
      <x:c r="H379" t="str">
        <x:v>1366Y</x:v>
      </x:c>
      <x:c r="I379" t="str">
        <x:v>$3,327</x:v>
      </x:c>
      <x:c r="J379" t="str"/>
      <x:c r="K379" t="str"/>
      <x:c r="L379" t="str">
        <x:v>$41.5875</x:v>
      </x:c>
      <x:c r="M379" t="str">
        <x:v>$43.6750</x:v>
      </x:c>
      <x:c r="N379" t="str">
        <x:v>$45.8875</x:v>
      </x:c>
      <x:c r="O379" t="str">
        <x:v>$48.1500</x:v>
      </x:c>
      <x:c r="P379" t="str">
        <x:v>$50.5875</x:v>
      </x:c>
      <x:c r="Q379" t="str"/>
      <x:c r="R379" t="str"/>
      <x:c r="S379" t="str"/>
      <x:c r="T379" t="str"/>
      <x:c r="U379" t="str"/>
      <x:c r="V379" t="str"/>
      <x:c r="W379" t="str"/>
      <x:c r="X379" t="str"/>
      <x:c r="Y379" t="str"/>
      <x:c r="Z379" t="str"/>
      <x:c r="AA379" t="str"/>
      <x:c r="AB379" t="str"/>
      <x:c r="AC379" t="str"/>
      <x:c r="AD379" t="str"/>
      <x:c r="AE379" t="str"/>
      <x:c r="AF379" t="str">
        <x:f>D379&amp;"|"&amp;UPPER(G379)&amp;"|"&amp;SUBSTITUTE(C379,"/","-")</x:f>
        <x:v>1366|SFMTA|2024-01-06</x:v>
      </x:c>
    </x:row>
    <x:row r="380">
      <x:c r="A380" s="22" t="n">
        <x:v>28157</x:v>
      </x:c>
      <x:c r="B380" t="str">
        <x:v>FY24-25</x:v>
      </x:c>
      <x:c r="C380" t="str">
        <x:v>2024/07/01</x:v>
      </x:c>
      <x:c r="D380" t="str">
        <x:v>1366</x:v>
      </x:c>
      <x:c r="E380" t="str">
        <x:v>Special Assistant VII</x:v>
      </x:c>
      <x:c r="F380" t="str">
        <x:v>021</x:v>
      </x:c>
      <x:c r="G380" t="str">
        <x:v>COMMN</x:v>
      </x:c>
      <x:c r="H380" t="str">
        <x:v>1366Z</x:v>
      </x:c>
      <x:c r="I380" t="str">
        <x:v>$3,377</x:v>
      </x:c>
      <x:c r="J380" t="str"/>
      <x:c r="K380" t="str"/>
      <x:c r="L380" t="str">
        <x:v>$42.2125</x:v>
      </x:c>
      <x:c r="M380" t="str">
        <x:v>$44.3250</x:v>
      </x:c>
      <x:c r="N380" t="str">
        <x:v>$46.5750</x:v>
      </x:c>
      <x:c r="O380" t="str">
        <x:v>$48.8750</x:v>
      </x:c>
      <x:c r="P380" t="str">
        <x:v>$51.3500</x:v>
      </x:c>
      <x:c r="Q380" t="str"/>
      <x:c r="R380" t="str"/>
      <x:c r="S380" t="str"/>
      <x:c r="T380" t="str"/>
      <x:c r="U380" t="str"/>
      <x:c r="V380" t="str"/>
      <x:c r="W380" t="str"/>
      <x:c r="X380" t="str"/>
      <x:c r="Y380" t="str"/>
      <x:c r="Z380" t="str"/>
      <x:c r="AA380" t="str"/>
      <x:c r="AB380" t="str"/>
      <x:c r="AC380" t="str"/>
      <x:c r="AD380" t="str"/>
      <x:c r="AE380" t="str"/>
      <x:c r="AF380" t="str">
        <x:f>D380&amp;"|"&amp;UPPER(G380)&amp;"|"&amp;SUBSTITUTE(C380,"/","-")</x:f>
        <x:v>1366|COMMN|2024-07-01</x:v>
      </x:c>
    </x:row>
    <x:row r="381">
      <x:c r="A381" s="22" t="n">
        <x:v>28158</x:v>
      </x:c>
      <x:c r="B381" t="str">
        <x:v>FY24-25</x:v>
      </x:c>
      <x:c r="C381" t="str">
        <x:v>2024/07/01</x:v>
      </x:c>
      <x:c r="D381" t="str">
        <x:v>1366</x:v>
      </x:c>
      <x:c r="E381" t="str">
        <x:v>Special Assistant VII</x:v>
      </x:c>
      <x:c r="F381" t="str">
        <x:v>021</x:v>
      </x:c>
      <x:c r="G381" t="str">
        <x:v>SFMTA</x:v>
      </x:c>
      <x:c r="H381" t="str">
        <x:v>1366Z</x:v>
      </x:c>
      <x:c r="I381" t="str">
        <x:v>$3,377</x:v>
      </x:c>
      <x:c r="J381" t="str"/>
      <x:c r="K381" t="str"/>
      <x:c r="L381" t="str">
        <x:v>$42.2125</x:v>
      </x:c>
      <x:c r="M381" t="str">
        <x:v>$44.3250</x:v>
      </x:c>
      <x:c r="N381" t="str">
        <x:v>$46.5750</x:v>
      </x:c>
      <x:c r="O381" t="str">
        <x:v>$48.8750</x:v>
      </x:c>
      <x:c r="P381" t="str">
        <x:v>$51.3500</x:v>
      </x:c>
      <x:c r="Q381" t="str"/>
      <x:c r="R381" t="str"/>
      <x:c r="S381" t="str"/>
      <x:c r="T381" t="str"/>
      <x:c r="U381" t="str"/>
      <x:c r="V381" t="str"/>
      <x:c r="W381" t="str"/>
      <x:c r="X381" t="str"/>
      <x:c r="Y381" t="str"/>
      <x:c r="Z381" t="str"/>
      <x:c r="AA381" t="str"/>
      <x:c r="AB381" t="str"/>
      <x:c r="AC381" t="str"/>
      <x:c r="AD381" t="str"/>
      <x:c r="AE381" t="str"/>
      <x:c r="AF381" t="str">
        <x:f>D381&amp;"|"&amp;UPPER(G381)&amp;"|"&amp;SUBSTITUTE(C381,"/","-")</x:f>
        <x:v>1366|SFMTA|2024-07-01</x:v>
      </x:c>
    </x:row>
    <x:row r="382">
      <x:c r="A382" s="22" t="n">
        <x:v>29863</x:v>
      </x:c>
      <x:c r="B382" t="str">
        <x:v>FY24-25</x:v>
      </x:c>
      <x:c r="C382" t="str">
        <x:v>2025/01/04</x:v>
      </x:c>
      <x:c r="D382" t="str">
        <x:v>1366</x:v>
      </x:c>
      <x:c r="E382" t="str">
        <x:v>Special Assistant VII</x:v>
      </x:c>
      <x:c r="F382" t="str">
        <x:v>021</x:v>
      </x:c>
      <x:c r="G382" t="str">
        <x:v>COMMN</x:v>
      </x:c>
      <x:c r="H382" t="str">
        <x:v>1366A</x:v>
      </x:c>
      <x:c r="I382" t="str">
        <x:v>$3,428</x:v>
      </x:c>
      <x:c r="J382" t="str"/>
      <x:c r="K382" t="str"/>
      <x:c r="L382" t="str">
        <x:v>$42.8500</x:v>
      </x:c>
      <x:c r="M382" t="str">
        <x:v>$44.9875</x:v>
      </x:c>
      <x:c r="N382" t="str">
        <x:v>$47.2750</x:v>
      </x:c>
      <x:c r="O382" t="str">
        <x:v>$49.6125</x:v>
      </x:c>
      <x:c r="P382" t="str">
        <x:v>$52.1250</x:v>
      </x:c>
      <x:c r="Q382" t="str"/>
      <x:c r="R382" t="str"/>
      <x:c r="S382" t="str"/>
      <x:c r="T382" t="str"/>
      <x:c r="U382" t="str"/>
      <x:c r="V382" t="str"/>
      <x:c r="W382" t="str"/>
      <x:c r="X382" t="str"/>
      <x:c r="Y382" t="str"/>
      <x:c r="Z382" t="str"/>
      <x:c r="AA382" t="str"/>
      <x:c r="AB382" t="str"/>
      <x:c r="AC382" t="str"/>
      <x:c r="AD382" t="str"/>
      <x:c r="AE382" t="str"/>
      <x:c r="AF382" t="str">
        <x:f>D382&amp;"|"&amp;UPPER(G382)&amp;"|"&amp;SUBSTITUTE(C382,"/","-")</x:f>
        <x:v>1366|COMMN|2025-01-04</x:v>
      </x:c>
    </x:row>
    <x:row r="383">
      <x:c r="A383" s="22" t="n">
        <x:v>29864</x:v>
      </x:c>
      <x:c r="B383" t="str">
        <x:v>FY24-25</x:v>
      </x:c>
      <x:c r="C383" t="str">
        <x:v>2025/01/04</x:v>
      </x:c>
      <x:c r="D383" t="str">
        <x:v>1366</x:v>
      </x:c>
      <x:c r="E383" t="str">
        <x:v>Special Assistant VII</x:v>
      </x:c>
      <x:c r="F383" t="str">
        <x:v>021</x:v>
      </x:c>
      <x:c r="G383" t="str">
        <x:v>SFMTA</x:v>
      </x:c>
      <x:c r="H383" t="str">
        <x:v>1366A</x:v>
      </x:c>
      <x:c r="I383" t="str">
        <x:v>$3,428</x:v>
      </x:c>
      <x:c r="J383" t="str"/>
      <x:c r="K383" t="str"/>
      <x:c r="L383" t="str">
        <x:v>$42.8500</x:v>
      </x:c>
      <x:c r="M383" t="str">
        <x:v>$44.9875</x:v>
      </x:c>
      <x:c r="N383" t="str">
        <x:v>$47.2750</x:v>
      </x:c>
      <x:c r="O383" t="str">
        <x:v>$49.6125</x:v>
      </x:c>
      <x:c r="P383" t="str">
        <x:v>$52.1250</x:v>
      </x:c>
      <x:c r="Q383" t="str"/>
      <x:c r="R383" t="str"/>
      <x:c r="S383" t="str"/>
      <x:c r="T383" t="str"/>
      <x:c r="U383" t="str"/>
      <x:c r="V383" t="str"/>
      <x:c r="W383" t="str"/>
      <x:c r="X383" t="str"/>
      <x:c r="Y383" t="str"/>
      <x:c r="Z383" t="str"/>
      <x:c r="AA383" t="str"/>
      <x:c r="AB383" t="str"/>
      <x:c r="AC383" t="str"/>
      <x:c r="AD383" t="str"/>
      <x:c r="AE383" t="str"/>
      <x:c r="AF383" t="str">
        <x:f>D383&amp;"|"&amp;UPPER(G383)&amp;"|"&amp;SUBSTITUTE(C383,"/","-")</x:f>
        <x:v>1366|SFMTA|2025-01-04</x:v>
      </x:c>
    </x:row>
    <x:row r="384">
      <x:c r="A384" s="22" t="n">
        <x:v>31576</x:v>
      </x:c>
      <x:c r="B384" t="str">
        <x:v>FY25-26</x:v>
      </x:c>
      <x:c r="C384" t="str">
        <x:v>2025/07/01</x:v>
      </x:c>
      <x:c r="D384" t="str">
        <x:v>1366</x:v>
      </x:c>
      <x:c r="E384" t="str">
        <x:v>Special Assistant 7</x:v>
      </x:c>
      <x:c r="F384" t="str">
        <x:v>021</x:v>
      </x:c>
      <x:c r="G384" t="str">
        <x:v>COMMN</x:v>
      </x:c>
      <x:c r="H384" t="str">
        <x:v>1366B</x:v>
      </x:c>
      <x:c r="I384" t="str">
        <x:v>$3,497</x:v>
      </x:c>
      <x:c r="J384" t="str"/>
      <x:c r="K384" t="str"/>
      <x:c r="L384" t="str">
        <x:v>$43.7125</x:v>
      </x:c>
      <x:c r="M384" t="str">
        <x:v>$45.8875</x:v>
      </x:c>
      <x:c r="N384" t="str">
        <x:v>$48.2250</x:v>
      </x:c>
      <x:c r="O384" t="str">
        <x:v>$50.6125</x:v>
      </x:c>
      <x:c r="P384" t="str">
        <x:v>$53.1750</x:v>
      </x:c>
      <x:c r="Q384" t="str"/>
      <x:c r="R384" t="str"/>
      <x:c r="S384" t="str"/>
      <x:c r="T384" t="str"/>
      <x:c r="U384" t="str"/>
      <x:c r="V384" t="str"/>
      <x:c r="W384" t="str"/>
      <x:c r="X384" t="str"/>
      <x:c r="Y384" t="str"/>
      <x:c r="Z384" t="str"/>
      <x:c r="AA384" t="str"/>
      <x:c r="AB384" t="str"/>
      <x:c r="AC384" t="str"/>
      <x:c r="AD384" t="str"/>
      <x:c r="AE384" t="str"/>
      <x:c r="AF384" t="str">
        <x:f>D384&amp;"|"&amp;UPPER(G384)&amp;"|"&amp;SUBSTITUTE(C384,"/","-")</x:f>
        <x:v>1366|COMMN|2025-07-01</x:v>
      </x:c>
    </x:row>
    <x:row r="385">
      <x:c r="A385" s="22" t="n">
        <x:v>31577</x:v>
      </x:c>
      <x:c r="B385" t="str">
        <x:v>FY25-26</x:v>
      </x:c>
      <x:c r="C385" t="str">
        <x:v>2025/07/01</x:v>
      </x:c>
      <x:c r="D385" t="str">
        <x:v>1366</x:v>
      </x:c>
      <x:c r="E385" t="str">
        <x:v>Special Assistant 7</x:v>
      </x:c>
      <x:c r="F385" t="str">
        <x:v>021</x:v>
      </x:c>
      <x:c r="G385" t="str">
        <x:v>SFMTA</x:v>
      </x:c>
      <x:c r="H385" t="str">
        <x:v>1366B</x:v>
      </x:c>
      <x:c r="I385" t="str">
        <x:v>$3,497</x:v>
      </x:c>
      <x:c r="J385" t="str"/>
      <x:c r="K385" t="str"/>
      <x:c r="L385" t="str">
        <x:v>$43.7125</x:v>
      </x:c>
      <x:c r="M385" t="str">
        <x:v>$45.8875</x:v>
      </x:c>
      <x:c r="N385" t="str">
        <x:v>$48.2250</x:v>
      </x:c>
      <x:c r="O385" t="str">
        <x:v>$50.6125</x:v>
      </x:c>
      <x:c r="P385" t="str">
        <x:v>$53.1750</x:v>
      </x:c>
      <x:c r="Q385" t="str"/>
      <x:c r="R385" t="str"/>
      <x:c r="S385" t="str"/>
      <x:c r="T385" t="str"/>
      <x:c r="U385" t="str"/>
      <x:c r="V385" t="str"/>
      <x:c r="W385" t="str"/>
      <x:c r="X385" t="str"/>
      <x:c r="Y385" t="str"/>
      <x:c r="Z385" t="str"/>
      <x:c r="AA385" t="str"/>
      <x:c r="AB385" t="str"/>
      <x:c r="AC385" t="str"/>
      <x:c r="AD385" t="str"/>
      <x:c r="AE385" t="str"/>
      <x:c r="AF385" t="str">
        <x:f>D385&amp;"|"&amp;UPPER(G385)&amp;"|"&amp;SUBSTITUTE(C385,"/","-")</x:f>
        <x:v>1366|SFMTA|2025-07-01</x:v>
      </x:c>
    </x:row>
    <x:row r="386">
      <x:c r="A386" s="22" t="n">
        <x:v>33261</x:v>
      </x:c>
      <x:c r="B386" t="str">
        <x:v>FY25-26</x:v>
      </x:c>
      <x:c r="C386" t="str">
        <x:v>2026/01/03</x:v>
      </x:c>
      <x:c r="D386" t="str">
        <x:v>1366</x:v>
      </x:c>
      <x:c r="E386" t="str">
        <x:v>Special Assistant 7</x:v>
      </x:c>
      <x:c r="F386" t="str">
        <x:v>021</x:v>
      </x:c>
      <x:c r="G386" t="str">
        <x:v>COMMN</x:v>
      </x:c>
      <x:c r="H386" t="str">
        <x:v>1366C</x:v>
      </x:c>
      <x:c r="I386" t="str">
        <x:v>$3,549</x:v>
      </x:c>
      <x:c r="J386" t="str"/>
      <x:c r="K386" t="str"/>
      <x:c r="L386" t="str">
        <x:v>$44.3625</x:v>
      </x:c>
      <x:c r="M386" t="str">
        <x:v>$46.5750</x:v>
      </x:c>
      <x:c r="N386" t="str">
        <x:v>$48.9500</x:v>
      </x:c>
      <x:c r="O386" t="str">
        <x:v>$51.3750</x:v>
      </x:c>
      <x:c r="P386" t="str">
        <x:v>$53.9750</x:v>
      </x:c>
      <x:c r="Q386" t="str"/>
      <x:c r="R386" t="str"/>
      <x:c r="S386" t="str"/>
      <x:c r="T386" t="str"/>
      <x:c r="U386" t="str"/>
      <x:c r="V386" t="str"/>
      <x:c r="W386" t="str"/>
      <x:c r="X386" t="str"/>
      <x:c r="Y386" t="str"/>
      <x:c r="Z386" t="str"/>
      <x:c r="AA386" t="str"/>
      <x:c r="AB386" t="str"/>
      <x:c r="AC386" t="str"/>
      <x:c r="AD386" t="str"/>
      <x:c r="AE386" t="str"/>
      <x:c r="AF386" t="str">
        <x:f>D386&amp;"|"&amp;UPPER(G386)&amp;"|"&amp;SUBSTITUTE(C386,"/","-")</x:f>
        <x:v>1366|COMMN|2026-01-03</x:v>
      </x:c>
    </x:row>
    <x:row r="387">
      <x:c r="A387" s="22" t="n">
        <x:v>33262</x:v>
      </x:c>
      <x:c r="B387" t="str">
        <x:v>FY25-26</x:v>
      </x:c>
      <x:c r="C387" t="str">
        <x:v>2026/01/03</x:v>
      </x:c>
      <x:c r="D387" t="str">
        <x:v>1366</x:v>
      </x:c>
      <x:c r="E387" t="str">
        <x:v>Special Assistant 7</x:v>
      </x:c>
      <x:c r="F387" t="str">
        <x:v>021</x:v>
      </x:c>
      <x:c r="G387" t="str">
        <x:v>SFMTA</x:v>
      </x:c>
      <x:c r="H387" t="str">
        <x:v>1366C</x:v>
      </x:c>
      <x:c r="I387" t="str">
        <x:v>$3,549</x:v>
      </x:c>
      <x:c r="J387" t="str"/>
      <x:c r="K387" t="str"/>
      <x:c r="L387" t="str">
        <x:v>$44.3625</x:v>
      </x:c>
      <x:c r="M387" t="str">
        <x:v>$46.5750</x:v>
      </x:c>
      <x:c r="N387" t="str">
        <x:v>$48.9500</x:v>
      </x:c>
      <x:c r="O387" t="str">
        <x:v>$51.3750</x:v>
      </x:c>
      <x:c r="P387" t="str">
        <x:v>$53.9750</x:v>
      </x:c>
      <x:c r="Q387" t="str"/>
      <x:c r="R387" t="str"/>
      <x:c r="S387" t="str"/>
      <x:c r="T387" t="str"/>
      <x:c r="U387" t="str"/>
      <x:c r="V387" t="str"/>
      <x:c r="W387" t="str"/>
      <x:c r="X387" t="str"/>
      <x:c r="Y387" t="str"/>
      <x:c r="Z387" t="str"/>
      <x:c r="AA387" t="str"/>
      <x:c r="AB387" t="str"/>
      <x:c r="AC387" t="str"/>
      <x:c r="AD387" t="str"/>
      <x:c r="AE387" t="str"/>
      <x:c r="AF387" t="str">
        <x:f>D387&amp;"|"&amp;UPPER(G387)&amp;"|"&amp;SUBSTITUTE(C387,"/","-")</x:f>
        <x:v>1366|SFMTA|2026-01-03</x:v>
      </x:c>
    </x:row>
    <x:row r="388">
      <x:c r="A388" s="22" t="n">
        <x:v>26421</x:v>
      </x:c>
      <x:c r="B388" t="str">
        <x:v>FY23-24</x:v>
      </x:c>
      <x:c r="C388" t="str">
        <x:v>2024/01/06</x:v>
      </x:c>
      <x:c r="D388" t="str">
        <x:v>1367</x:v>
      </x:c>
      <x:c r="E388" t="str">
        <x:v>Special Assistant VIII</x:v>
      </x:c>
      <x:c r="F388" t="str">
        <x:v>021</x:v>
      </x:c>
      <x:c r="G388" t="str">
        <x:v>COMMN</x:v>
      </x:c>
      <x:c r="H388" t="str">
        <x:v>1367Y</x:v>
      </x:c>
      <x:c r="I388" t="str">
        <x:v>$3,580</x:v>
      </x:c>
      <x:c r="J388" t="str"/>
      <x:c r="K388" t="str"/>
      <x:c r="L388" t="str">
        <x:v>$44.7500</x:v>
      </x:c>
      <x:c r="M388" t="str">
        <x:v>$46.9875</x:v>
      </x:c>
      <x:c r="N388" t="str">
        <x:v>$49.3625</x:v>
      </x:c>
      <x:c r="O388" t="str">
        <x:v>$51.8125</x:v>
      </x:c>
      <x:c r="P388" t="str">
        <x:v>$54.4000</x:v>
      </x:c>
      <x:c r="Q388" t="str"/>
      <x:c r="R388" t="str"/>
      <x:c r="S388" t="str"/>
      <x:c r="T388" t="str"/>
      <x:c r="U388" t="str"/>
      <x:c r="V388" t="str"/>
      <x:c r="W388" t="str"/>
      <x:c r="X388" t="str"/>
      <x:c r="Y388" t="str"/>
      <x:c r="Z388" t="str"/>
      <x:c r="AA388" t="str"/>
      <x:c r="AB388" t="str"/>
      <x:c r="AC388" t="str"/>
      <x:c r="AD388" t="str"/>
      <x:c r="AE388" t="str"/>
      <x:c r="AF388" t="str">
        <x:f>D388&amp;"|"&amp;UPPER(G388)&amp;"|"&amp;SUBSTITUTE(C388,"/","-")</x:f>
        <x:v>1367|COMMN|2024-01-06</x:v>
      </x:c>
    </x:row>
    <x:row r="389">
      <x:c r="A389" s="22" t="n">
        <x:v>26422</x:v>
      </x:c>
      <x:c r="B389" t="str">
        <x:v>FY23-24</x:v>
      </x:c>
      <x:c r="C389" t="str">
        <x:v>2024/01/06</x:v>
      </x:c>
      <x:c r="D389" t="str">
        <x:v>1367</x:v>
      </x:c>
      <x:c r="E389" t="str">
        <x:v>Special Assistant VIII</x:v>
      </x:c>
      <x:c r="F389" t="str">
        <x:v>021</x:v>
      </x:c>
      <x:c r="G389" t="str">
        <x:v>SFMTA</x:v>
      </x:c>
      <x:c r="H389" t="str">
        <x:v>1367Y</x:v>
      </x:c>
      <x:c r="I389" t="str">
        <x:v>$3,580</x:v>
      </x:c>
      <x:c r="J389" t="str"/>
      <x:c r="K389" t="str"/>
      <x:c r="L389" t="str">
        <x:v>$44.7500</x:v>
      </x:c>
      <x:c r="M389" t="str">
        <x:v>$46.9875</x:v>
      </x:c>
      <x:c r="N389" t="str">
        <x:v>$49.3625</x:v>
      </x:c>
      <x:c r="O389" t="str">
        <x:v>$51.8125</x:v>
      </x:c>
      <x:c r="P389" t="str">
        <x:v>$54.4000</x:v>
      </x:c>
      <x:c r="Q389" t="str"/>
      <x:c r="R389" t="str"/>
      <x:c r="S389" t="str"/>
      <x:c r="T389" t="str"/>
      <x:c r="U389" t="str"/>
      <x:c r="V389" t="str"/>
      <x:c r="W389" t="str"/>
      <x:c r="X389" t="str"/>
      <x:c r="Y389" t="str"/>
      <x:c r="Z389" t="str"/>
      <x:c r="AA389" t="str"/>
      <x:c r="AB389" t="str"/>
      <x:c r="AC389" t="str"/>
      <x:c r="AD389" t="str"/>
      <x:c r="AE389" t="str"/>
      <x:c r="AF389" t="str">
        <x:f>D389&amp;"|"&amp;UPPER(G389)&amp;"|"&amp;SUBSTITUTE(C389,"/","-")</x:f>
        <x:v>1367|SFMTA|2024-01-06</x:v>
      </x:c>
    </x:row>
    <x:row r="390">
      <x:c r="A390" s="22" t="n">
        <x:v>28159</x:v>
      </x:c>
      <x:c r="B390" t="str">
        <x:v>FY24-25</x:v>
      </x:c>
      <x:c r="C390" t="str">
        <x:v>2024/07/01</x:v>
      </x:c>
      <x:c r="D390" t="str">
        <x:v>1367</x:v>
      </x:c>
      <x:c r="E390" t="str">
        <x:v>Special Assistant VIII</x:v>
      </x:c>
      <x:c r="F390" t="str">
        <x:v>021</x:v>
      </x:c>
      <x:c r="G390" t="str">
        <x:v>COMMN</x:v>
      </x:c>
      <x:c r="H390" t="str">
        <x:v>1367Z</x:v>
      </x:c>
      <x:c r="I390" t="str">
        <x:v>$3,634</x:v>
      </x:c>
      <x:c r="J390" t="str"/>
      <x:c r="K390" t="str"/>
      <x:c r="L390" t="str">
        <x:v>$45.4250</x:v>
      </x:c>
      <x:c r="M390" t="str">
        <x:v>$47.6875</x:v>
      </x:c>
      <x:c r="N390" t="str">
        <x:v>$50.1000</x:v>
      </x:c>
      <x:c r="O390" t="str">
        <x:v>$52.5875</x:v>
      </x:c>
      <x:c r="P390" t="str">
        <x:v>$55.2125</x:v>
      </x:c>
      <x:c r="Q390" t="str"/>
      <x:c r="R390" t="str"/>
      <x:c r="S390" t="str"/>
      <x:c r="T390" t="str"/>
      <x:c r="U390" t="str"/>
      <x:c r="V390" t="str"/>
      <x:c r="W390" t="str"/>
      <x:c r="X390" t="str"/>
      <x:c r="Y390" t="str"/>
      <x:c r="Z390" t="str"/>
      <x:c r="AA390" t="str"/>
      <x:c r="AB390" t="str"/>
      <x:c r="AC390" t="str"/>
      <x:c r="AD390" t="str"/>
      <x:c r="AE390" t="str"/>
      <x:c r="AF390" t="str">
        <x:f>D390&amp;"|"&amp;UPPER(G390)&amp;"|"&amp;SUBSTITUTE(C390,"/","-")</x:f>
        <x:v>1367|COMMN|2024-07-01</x:v>
      </x:c>
    </x:row>
    <x:row r="391">
      <x:c r="A391" s="22" t="n">
        <x:v>28160</x:v>
      </x:c>
      <x:c r="B391" t="str">
        <x:v>FY24-25</x:v>
      </x:c>
      <x:c r="C391" t="str">
        <x:v>2024/07/01</x:v>
      </x:c>
      <x:c r="D391" t="str">
        <x:v>1367</x:v>
      </x:c>
      <x:c r="E391" t="str">
        <x:v>Special Assistant VIII</x:v>
      </x:c>
      <x:c r="F391" t="str">
        <x:v>021</x:v>
      </x:c>
      <x:c r="G391" t="str">
        <x:v>SFMTA</x:v>
      </x:c>
      <x:c r="H391" t="str">
        <x:v>1367Z</x:v>
      </x:c>
      <x:c r="I391" t="str">
        <x:v>$3,634</x:v>
      </x:c>
      <x:c r="J391" t="str"/>
      <x:c r="K391" t="str"/>
      <x:c r="L391" t="str">
        <x:v>$45.4250</x:v>
      </x:c>
      <x:c r="M391" t="str">
        <x:v>$47.6875</x:v>
      </x:c>
      <x:c r="N391" t="str">
        <x:v>$50.1000</x:v>
      </x:c>
      <x:c r="O391" t="str">
        <x:v>$52.5875</x:v>
      </x:c>
      <x:c r="P391" t="str">
        <x:v>$55.2125</x:v>
      </x:c>
      <x:c r="Q391" t="str"/>
      <x:c r="R391" t="str"/>
      <x:c r="S391" t="str"/>
      <x:c r="T391" t="str"/>
      <x:c r="U391" t="str"/>
      <x:c r="V391" t="str"/>
      <x:c r="W391" t="str"/>
      <x:c r="X391" t="str"/>
      <x:c r="Y391" t="str"/>
      <x:c r="Z391" t="str"/>
      <x:c r="AA391" t="str"/>
      <x:c r="AB391" t="str"/>
      <x:c r="AC391" t="str"/>
      <x:c r="AD391" t="str"/>
      <x:c r="AE391" t="str"/>
      <x:c r="AF391" t="str">
        <x:f>D391&amp;"|"&amp;UPPER(G391)&amp;"|"&amp;SUBSTITUTE(C391,"/","-")</x:f>
        <x:v>1367|SFMTA|2024-07-01</x:v>
      </x:c>
    </x:row>
    <x:row r="392">
      <x:c r="A392" s="22" t="n">
        <x:v>29865</x:v>
      </x:c>
      <x:c r="B392" t="str">
        <x:v>FY24-25</x:v>
      </x:c>
      <x:c r="C392" t="str">
        <x:v>2025/01/04</x:v>
      </x:c>
      <x:c r="D392" t="str">
        <x:v>1367</x:v>
      </x:c>
      <x:c r="E392" t="str">
        <x:v>Special Assistant VIII</x:v>
      </x:c>
      <x:c r="F392" t="str">
        <x:v>021</x:v>
      </x:c>
      <x:c r="G392" t="str">
        <x:v>COMMN</x:v>
      </x:c>
      <x:c r="H392" t="str">
        <x:v>1367A</x:v>
      </x:c>
      <x:c r="I392" t="str">
        <x:v>$3,689</x:v>
      </x:c>
      <x:c r="J392" t="str"/>
      <x:c r="K392" t="str"/>
      <x:c r="L392" t="str">
        <x:v>$46.1125</x:v>
      </x:c>
      <x:c r="M392" t="str">
        <x:v>$48.4000</x:v>
      </x:c>
      <x:c r="N392" t="str">
        <x:v>$50.8500</x:v>
      </x:c>
      <x:c r="O392" t="str">
        <x:v>$53.3750</x:v>
      </x:c>
      <x:c r="P392" t="str">
        <x:v>$56.0375</x:v>
      </x:c>
      <x:c r="Q392" t="str"/>
      <x:c r="R392" t="str"/>
      <x:c r="S392" t="str"/>
      <x:c r="T392" t="str"/>
      <x:c r="U392" t="str"/>
      <x:c r="V392" t="str"/>
      <x:c r="W392" t="str"/>
      <x:c r="X392" t="str"/>
      <x:c r="Y392" t="str"/>
      <x:c r="Z392" t="str"/>
      <x:c r="AA392" t="str"/>
      <x:c r="AB392" t="str"/>
      <x:c r="AC392" t="str"/>
      <x:c r="AD392" t="str"/>
      <x:c r="AE392" t="str"/>
      <x:c r="AF392" t="str">
        <x:f>D392&amp;"|"&amp;UPPER(G392)&amp;"|"&amp;SUBSTITUTE(C392,"/","-")</x:f>
        <x:v>1367|COMMN|2025-01-04</x:v>
      </x:c>
    </x:row>
    <x:row r="393">
      <x:c r="A393" s="22" t="n">
        <x:v>29866</x:v>
      </x:c>
      <x:c r="B393" t="str">
        <x:v>FY24-25</x:v>
      </x:c>
      <x:c r="C393" t="str">
        <x:v>2025/01/04</x:v>
      </x:c>
      <x:c r="D393" t="str">
        <x:v>1367</x:v>
      </x:c>
      <x:c r="E393" t="str">
        <x:v>Special Assistant VIII</x:v>
      </x:c>
      <x:c r="F393" t="str">
        <x:v>021</x:v>
      </x:c>
      <x:c r="G393" t="str">
        <x:v>SFMTA</x:v>
      </x:c>
      <x:c r="H393" t="str">
        <x:v>1367A</x:v>
      </x:c>
      <x:c r="I393" t="str">
        <x:v>$3,689</x:v>
      </x:c>
      <x:c r="J393" t="str"/>
      <x:c r="K393" t="str"/>
      <x:c r="L393" t="str">
        <x:v>$46.1125</x:v>
      </x:c>
      <x:c r="M393" t="str">
        <x:v>$48.4000</x:v>
      </x:c>
      <x:c r="N393" t="str">
        <x:v>$50.8500</x:v>
      </x:c>
      <x:c r="O393" t="str">
        <x:v>$53.3750</x:v>
      </x:c>
      <x:c r="P393" t="str">
        <x:v>$56.0375</x:v>
      </x:c>
      <x:c r="Q393" t="str"/>
      <x:c r="R393" t="str"/>
      <x:c r="S393" t="str"/>
      <x:c r="T393" t="str"/>
      <x:c r="U393" t="str"/>
      <x:c r="V393" t="str"/>
      <x:c r="W393" t="str"/>
      <x:c r="X393" t="str"/>
      <x:c r="Y393" t="str"/>
      <x:c r="Z393" t="str"/>
      <x:c r="AA393" t="str"/>
      <x:c r="AB393" t="str"/>
      <x:c r="AC393" t="str"/>
      <x:c r="AD393" t="str"/>
      <x:c r="AE393" t="str"/>
      <x:c r="AF393" t="str">
        <x:f>D393&amp;"|"&amp;UPPER(G393)&amp;"|"&amp;SUBSTITUTE(C393,"/","-")</x:f>
        <x:v>1367|SFMTA|2025-01-04</x:v>
      </x:c>
    </x:row>
    <x:row r="394">
      <x:c r="A394" s="22" t="n">
        <x:v>31578</x:v>
      </x:c>
      <x:c r="B394" t="str">
        <x:v>FY25-26</x:v>
      </x:c>
      <x:c r="C394" t="str">
        <x:v>2025/07/01</x:v>
      </x:c>
      <x:c r="D394" t="str">
        <x:v>1367</x:v>
      </x:c>
      <x:c r="E394" t="str">
        <x:v>Special Assistant 8</x:v>
      </x:c>
      <x:c r="F394" t="str">
        <x:v>021</x:v>
      </x:c>
      <x:c r="G394" t="str">
        <x:v>COMMN</x:v>
      </x:c>
      <x:c r="H394" t="str">
        <x:v>1367B</x:v>
      </x:c>
      <x:c r="I394" t="str">
        <x:v>$3,763</x:v>
      </x:c>
      <x:c r="J394" t="str"/>
      <x:c r="K394" t="str"/>
      <x:c r="L394" t="str">
        <x:v>$47.0375</x:v>
      </x:c>
      <x:c r="M394" t="str">
        <x:v>$49.3750</x:v>
      </x:c>
      <x:c r="N394" t="str">
        <x:v>$51.8750</x:v>
      </x:c>
      <x:c r="O394" t="str">
        <x:v>$54.4500</x:v>
      </x:c>
      <x:c r="P394" t="str">
        <x:v>$57.1625</x:v>
      </x:c>
      <x:c r="Q394" t="str"/>
      <x:c r="R394" t="str"/>
      <x:c r="S394" t="str"/>
      <x:c r="T394" t="str"/>
      <x:c r="U394" t="str"/>
      <x:c r="V394" t="str"/>
      <x:c r="W394" t="str"/>
      <x:c r="X394" t="str"/>
      <x:c r="Y394" t="str"/>
      <x:c r="Z394" t="str"/>
      <x:c r="AA394" t="str"/>
      <x:c r="AB394" t="str"/>
      <x:c r="AC394" t="str"/>
      <x:c r="AD394" t="str"/>
      <x:c r="AE394" t="str"/>
      <x:c r="AF394" t="str">
        <x:f>D394&amp;"|"&amp;UPPER(G394)&amp;"|"&amp;SUBSTITUTE(C394,"/","-")</x:f>
        <x:v>1367|COMMN|2025-07-01</x:v>
      </x:c>
    </x:row>
    <x:row r="395">
      <x:c r="A395" s="22" t="n">
        <x:v>31579</x:v>
      </x:c>
      <x:c r="B395" t="str">
        <x:v>FY25-26</x:v>
      </x:c>
      <x:c r="C395" t="str">
        <x:v>2025/07/01</x:v>
      </x:c>
      <x:c r="D395" t="str">
        <x:v>1367</x:v>
      </x:c>
      <x:c r="E395" t="str">
        <x:v>Special Assistant 8</x:v>
      </x:c>
      <x:c r="F395" t="str">
        <x:v>021</x:v>
      </x:c>
      <x:c r="G395" t="str">
        <x:v>SFMTA</x:v>
      </x:c>
      <x:c r="H395" t="str">
        <x:v>1367B</x:v>
      </x:c>
      <x:c r="I395" t="str">
        <x:v>$3,763</x:v>
      </x:c>
      <x:c r="J395" t="str"/>
      <x:c r="K395" t="str"/>
      <x:c r="L395" t="str">
        <x:v>$47.0375</x:v>
      </x:c>
      <x:c r="M395" t="str">
        <x:v>$49.3750</x:v>
      </x:c>
      <x:c r="N395" t="str">
        <x:v>$51.8750</x:v>
      </x:c>
      <x:c r="O395" t="str">
        <x:v>$54.4500</x:v>
      </x:c>
      <x:c r="P395" t="str">
        <x:v>$57.1625</x:v>
      </x:c>
      <x:c r="Q395" t="str"/>
      <x:c r="R395" t="str"/>
      <x:c r="S395" t="str"/>
      <x:c r="T395" t="str"/>
      <x:c r="U395" t="str"/>
      <x:c r="V395" t="str"/>
      <x:c r="W395" t="str"/>
      <x:c r="X395" t="str"/>
      <x:c r="Y395" t="str"/>
      <x:c r="Z395" t="str"/>
      <x:c r="AA395" t="str"/>
      <x:c r="AB395" t="str"/>
      <x:c r="AC395" t="str"/>
      <x:c r="AD395" t="str"/>
      <x:c r="AE395" t="str"/>
      <x:c r="AF395" t="str">
        <x:f>D395&amp;"|"&amp;UPPER(G395)&amp;"|"&amp;SUBSTITUTE(C395,"/","-")</x:f>
        <x:v>1367|SFMTA|2025-07-01</x:v>
      </x:c>
    </x:row>
    <x:row r="396">
      <x:c r="A396" s="22" t="n">
        <x:v>33263</x:v>
      </x:c>
      <x:c r="B396" t="str">
        <x:v>FY25-26</x:v>
      </x:c>
      <x:c r="C396" t="str">
        <x:v>2026/01/03</x:v>
      </x:c>
      <x:c r="D396" t="str">
        <x:v>1367</x:v>
      </x:c>
      <x:c r="E396" t="str">
        <x:v>Special Assistant 8</x:v>
      </x:c>
      <x:c r="F396" t="str">
        <x:v>021</x:v>
      </x:c>
      <x:c r="G396" t="str">
        <x:v>COMMN</x:v>
      </x:c>
      <x:c r="H396" t="str">
        <x:v>1367C</x:v>
      </x:c>
      <x:c r="I396" t="str">
        <x:v>$3,819</x:v>
      </x:c>
      <x:c r="J396" t="str"/>
      <x:c r="K396" t="str"/>
      <x:c r="L396" t="str">
        <x:v>$47.7375</x:v>
      </x:c>
      <x:c r="M396" t="str">
        <x:v>$50.1125</x:v>
      </x:c>
      <x:c r="N396" t="str">
        <x:v>$52.6500</x:v>
      </x:c>
      <x:c r="O396" t="str">
        <x:v>$55.2625</x:v>
      </x:c>
      <x:c r="P396" t="str">
        <x:v>$58.0250</x:v>
      </x:c>
      <x:c r="Q396" t="str"/>
      <x:c r="R396" t="str"/>
      <x:c r="S396" t="str"/>
      <x:c r="T396" t="str"/>
      <x:c r="U396" t="str"/>
      <x:c r="V396" t="str"/>
      <x:c r="W396" t="str"/>
      <x:c r="X396" t="str"/>
      <x:c r="Y396" t="str"/>
      <x:c r="Z396" t="str"/>
      <x:c r="AA396" t="str"/>
      <x:c r="AB396" t="str"/>
      <x:c r="AC396" t="str"/>
      <x:c r="AD396" t="str"/>
      <x:c r="AE396" t="str"/>
      <x:c r="AF396" t="str">
        <x:f>D396&amp;"|"&amp;UPPER(G396)&amp;"|"&amp;SUBSTITUTE(C396,"/","-")</x:f>
        <x:v>1367|COMMN|2026-01-03</x:v>
      </x:c>
    </x:row>
    <x:row r="397">
      <x:c r="A397" s="22" t="n">
        <x:v>33264</x:v>
      </x:c>
      <x:c r="B397" t="str">
        <x:v>FY25-26</x:v>
      </x:c>
      <x:c r="C397" t="str">
        <x:v>2026/01/03</x:v>
      </x:c>
      <x:c r="D397" t="str">
        <x:v>1367</x:v>
      </x:c>
      <x:c r="E397" t="str">
        <x:v>Special Assistant 8</x:v>
      </x:c>
      <x:c r="F397" t="str">
        <x:v>021</x:v>
      </x:c>
      <x:c r="G397" t="str">
        <x:v>SFMTA</x:v>
      </x:c>
      <x:c r="H397" t="str">
        <x:v>1367C</x:v>
      </x:c>
      <x:c r="I397" t="str">
        <x:v>$3,819</x:v>
      </x:c>
      <x:c r="J397" t="str"/>
      <x:c r="K397" t="str"/>
      <x:c r="L397" t="str">
        <x:v>$47.7375</x:v>
      </x:c>
      <x:c r="M397" t="str">
        <x:v>$50.1125</x:v>
      </x:c>
      <x:c r="N397" t="str">
        <x:v>$52.6500</x:v>
      </x:c>
      <x:c r="O397" t="str">
        <x:v>$55.2625</x:v>
      </x:c>
      <x:c r="P397" t="str">
        <x:v>$58.0250</x:v>
      </x:c>
      <x:c r="Q397" t="str"/>
      <x:c r="R397" t="str"/>
      <x:c r="S397" t="str"/>
      <x:c r="T397" t="str"/>
      <x:c r="U397" t="str"/>
      <x:c r="V397" t="str"/>
      <x:c r="W397" t="str"/>
      <x:c r="X397" t="str"/>
      <x:c r="Y397" t="str"/>
      <x:c r="Z397" t="str"/>
      <x:c r="AA397" t="str"/>
      <x:c r="AB397" t="str"/>
      <x:c r="AC397" t="str"/>
      <x:c r="AD397" t="str"/>
      <x:c r="AE397" t="str"/>
      <x:c r="AF397" t="str">
        <x:f>D397&amp;"|"&amp;UPPER(G397)&amp;"|"&amp;SUBSTITUTE(C397,"/","-")</x:f>
        <x:v>1367|SFMTA|2026-01-03</x:v>
      </x:c>
    </x:row>
    <x:row r="398">
      <x:c r="A398" s="22" t="n">
        <x:v>26423</x:v>
      </x:c>
      <x:c r="B398" t="str">
        <x:v>FY23-24</x:v>
      </x:c>
      <x:c r="C398" t="str">
        <x:v>2024/01/06</x:v>
      </x:c>
      <x:c r="D398" t="str">
        <x:v>1368</x:v>
      </x:c>
      <x:c r="E398" t="str">
        <x:v>Special Assistant IX</x:v>
      </x:c>
      <x:c r="F398" t="str">
        <x:v>021</x:v>
      </x:c>
      <x:c r="G398" t="str">
        <x:v>COMMN</x:v>
      </x:c>
      <x:c r="H398" t="str">
        <x:v>1368Y</x:v>
      </x:c>
      <x:c r="I398" t="str">
        <x:v>$3,852</x:v>
      </x:c>
      <x:c r="J398" t="str"/>
      <x:c r="K398" t="str"/>
      <x:c r="L398" t="str">
        <x:v>$48.1500</x:v>
      </x:c>
      <x:c r="M398" t="str">
        <x:v>$50.5875</x:v>
      </x:c>
      <x:c r="N398" t="str">
        <x:v>$53.1000</x:v>
      </x:c>
      <x:c r="O398" t="str">
        <x:v>$55.7375</x:v>
      </x:c>
      <x:c r="P398" t="str">
        <x:v>$58.5250</x:v>
      </x:c>
      <x:c r="Q398" t="str"/>
      <x:c r="R398" t="str"/>
      <x:c r="S398" t="str"/>
      <x:c r="T398" t="str"/>
      <x:c r="U398" t="str"/>
      <x:c r="V398" t="str"/>
      <x:c r="W398" t="str"/>
      <x:c r="X398" t="str"/>
      <x:c r="Y398" t="str"/>
      <x:c r="Z398" t="str"/>
      <x:c r="AA398" t="str"/>
      <x:c r="AB398" t="str"/>
      <x:c r="AC398" t="str"/>
      <x:c r="AD398" t="str"/>
      <x:c r="AE398" t="str"/>
      <x:c r="AF398" t="str">
        <x:f>D398&amp;"|"&amp;UPPER(G398)&amp;"|"&amp;SUBSTITUTE(C398,"/","-")</x:f>
        <x:v>1368|COMMN|2024-01-06</x:v>
      </x:c>
    </x:row>
    <x:row r="399">
      <x:c r="A399" s="22" t="n">
        <x:v>26424</x:v>
      </x:c>
      <x:c r="B399" t="str">
        <x:v>FY23-24</x:v>
      </x:c>
      <x:c r="C399" t="str">
        <x:v>2024/01/06</x:v>
      </x:c>
      <x:c r="D399" t="str">
        <x:v>1368</x:v>
      </x:c>
      <x:c r="E399" t="str">
        <x:v>Special Assistant IX</x:v>
      </x:c>
      <x:c r="F399" t="str">
        <x:v>021</x:v>
      </x:c>
      <x:c r="G399" t="str">
        <x:v>SFMTA</x:v>
      </x:c>
      <x:c r="H399" t="str">
        <x:v>1368Y</x:v>
      </x:c>
      <x:c r="I399" t="str">
        <x:v>$3,852</x:v>
      </x:c>
      <x:c r="J399" t="str"/>
      <x:c r="K399" t="str"/>
      <x:c r="L399" t="str">
        <x:v>$48.1500</x:v>
      </x:c>
      <x:c r="M399" t="str">
        <x:v>$50.5875</x:v>
      </x:c>
      <x:c r="N399" t="str">
        <x:v>$53.1000</x:v>
      </x:c>
      <x:c r="O399" t="str">
        <x:v>$55.7375</x:v>
      </x:c>
      <x:c r="P399" t="str">
        <x:v>$58.5250</x:v>
      </x:c>
      <x:c r="Q399" t="str"/>
      <x:c r="R399" t="str"/>
      <x:c r="S399" t="str"/>
      <x:c r="T399" t="str"/>
      <x:c r="U399" t="str"/>
      <x:c r="V399" t="str"/>
      <x:c r="W399" t="str"/>
      <x:c r="X399" t="str"/>
      <x:c r="Y399" t="str"/>
      <x:c r="Z399" t="str"/>
      <x:c r="AA399" t="str"/>
      <x:c r="AB399" t="str"/>
      <x:c r="AC399" t="str"/>
      <x:c r="AD399" t="str"/>
      <x:c r="AE399" t="str"/>
      <x:c r="AF399" t="str">
        <x:f>D399&amp;"|"&amp;UPPER(G399)&amp;"|"&amp;SUBSTITUTE(C399,"/","-")</x:f>
        <x:v>1368|SFMTA|2024-01-06</x:v>
      </x:c>
    </x:row>
    <x:row r="400">
      <x:c r="A400" s="22" t="n">
        <x:v>28161</x:v>
      </x:c>
      <x:c r="B400" t="str">
        <x:v>FY24-25</x:v>
      </x:c>
      <x:c r="C400" t="str">
        <x:v>2024/07/01</x:v>
      </x:c>
      <x:c r="D400" t="str">
        <x:v>1368</x:v>
      </x:c>
      <x:c r="E400" t="str">
        <x:v>Special Assistant IX</x:v>
      </x:c>
      <x:c r="F400" t="str">
        <x:v>021</x:v>
      </x:c>
      <x:c r="G400" t="str">
        <x:v>COMMN</x:v>
      </x:c>
      <x:c r="H400" t="str">
        <x:v>1368Z</x:v>
      </x:c>
      <x:c r="I400" t="str">
        <x:v>$3,910</x:v>
      </x:c>
      <x:c r="J400" t="str"/>
      <x:c r="K400" t="str"/>
      <x:c r="L400" t="str">
        <x:v>$48.8750</x:v>
      </x:c>
      <x:c r="M400" t="str">
        <x:v>$51.3500</x:v>
      </x:c>
      <x:c r="N400" t="str">
        <x:v>$53.9000</x:v>
      </x:c>
      <x:c r="O400" t="str">
        <x:v>$56.5750</x:v>
      </x:c>
      <x:c r="P400" t="str">
        <x:v>$59.4000</x:v>
      </x:c>
      <x:c r="Q400" t="str"/>
      <x:c r="R400" t="str"/>
      <x:c r="S400" t="str"/>
      <x:c r="T400" t="str"/>
      <x:c r="U400" t="str"/>
      <x:c r="V400" t="str"/>
      <x:c r="W400" t="str"/>
      <x:c r="X400" t="str"/>
      <x:c r="Y400" t="str"/>
      <x:c r="Z400" t="str"/>
      <x:c r="AA400" t="str"/>
      <x:c r="AB400" t="str"/>
      <x:c r="AC400" t="str"/>
      <x:c r="AD400" t="str"/>
      <x:c r="AE400" t="str"/>
      <x:c r="AF400" t="str">
        <x:f>D400&amp;"|"&amp;UPPER(G400)&amp;"|"&amp;SUBSTITUTE(C400,"/","-")</x:f>
        <x:v>1368|COMMN|2024-07-01</x:v>
      </x:c>
    </x:row>
    <x:row r="401">
      <x:c r="A401" s="22" t="n">
        <x:v>28162</x:v>
      </x:c>
      <x:c r="B401" t="str">
        <x:v>FY24-25</x:v>
      </x:c>
      <x:c r="C401" t="str">
        <x:v>2024/07/01</x:v>
      </x:c>
      <x:c r="D401" t="str">
        <x:v>1368</x:v>
      </x:c>
      <x:c r="E401" t="str">
        <x:v>Special Assistant IX</x:v>
      </x:c>
      <x:c r="F401" t="str">
        <x:v>021</x:v>
      </x:c>
      <x:c r="G401" t="str">
        <x:v>SFMTA</x:v>
      </x:c>
      <x:c r="H401" t="str">
        <x:v>1368Z</x:v>
      </x:c>
      <x:c r="I401" t="str">
        <x:v>$3,910</x:v>
      </x:c>
      <x:c r="J401" t="str"/>
      <x:c r="K401" t="str"/>
      <x:c r="L401" t="str">
        <x:v>$48.8750</x:v>
      </x:c>
      <x:c r="M401" t="str">
        <x:v>$51.3500</x:v>
      </x:c>
      <x:c r="N401" t="str">
        <x:v>$53.9000</x:v>
      </x:c>
      <x:c r="O401" t="str">
        <x:v>$56.5750</x:v>
      </x:c>
      <x:c r="P401" t="str">
        <x:v>$59.4000</x:v>
      </x:c>
      <x:c r="Q401" t="str"/>
      <x:c r="R401" t="str"/>
      <x:c r="S401" t="str"/>
      <x:c r="T401" t="str"/>
      <x:c r="U401" t="str"/>
      <x:c r="V401" t="str"/>
      <x:c r="W401" t="str"/>
      <x:c r="X401" t="str"/>
      <x:c r="Y401" t="str"/>
      <x:c r="Z401" t="str"/>
      <x:c r="AA401" t="str"/>
      <x:c r="AB401" t="str"/>
      <x:c r="AC401" t="str"/>
      <x:c r="AD401" t="str"/>
      <x:c r="AE401" t="str"/>
      <x:c r="AF401" t="str">
        <x:f>D401&amp;"|"&amp;UPPER(G401)&amp;"|"&amp;SUBSTITUTE(C401,"/","-")</x:f>
        <x:v>1368|SFMTA|2024-07-01</x:v>
      </x:c>
    </x:row>
    <x:row r="402">
      <x:c r="A402" s="22" t="n">
        <x:v>29867</x:v>
      </x:c>
      <x:c r="B402" t="str">
        <x:v>FY24-25</x:v>
      </x:c>
      <x:c r="C402" t="str">
        <x:v>2025/01/04</x:v>
      </x:c>
      <x:c r="D402" t="str">
        <x:v>1368</x:v>
      </x:c>
      <x:c r="E402" t="str">
        <x:v>Special Assistant IX</x:v>
      </x:c>
      <x:c r="F402" t="str">
        <x:v>021</x:v>
      </x:c>
      <x:c r="G402" t="str">
        <x:v>COMMN</x:v>
      </x:c>
      <x:c r="H402" t="str">
        <x:v>1368A</x:v>
      </x:c>
      <x:c r="I402" t="str">
        <x:v>$3,969</x:v>
      </x:c>
      <x:c r="J402" t="str"/>
      <x:c r="K402" t="str"/>
      <x:c r="L402" t="str">
        <x:v>$49.6125</x:v>
      </x:c>
      <x:c r="M402" t="str">
        <x:v>$52.1250</x:v>
      </x:c>
      <x:c r="N402" t="str">
        <x:v>$54.7125</x:v>
      </x:c>
      <x:c r="O402" t="str">
        <x:v>$57.4250</x:v>
      </x:c>
      <x:c r="P402" t="str">
        <x:v>$60.2875</x:v>
      </x:c>
      <x:c r="Q402" t="str"/>
      <x:c r="R402" t="str"/>
      <x:c r="S402" t="str"/>
      <x:c r="T402" t="str"/>
      <x:c r="U402" t="str"/>
      <x:c r="V402" t="str"/>
      <x:c r="W402" t="str"/>
      <x:c r="X402" t="str"/>
      <x:c r="Y402" t="str"/>
      <x:c r="Z402" t="str"/>
      <x:c r="AA402" t="str"/>
      <x:c r="AB402" t="str"/>
      <x:c r="AC402" t="str"/>
      <x:c r="AD402" t="str"/>
      <x:c r="AE402" t="str"/>
      <x:c r="AF402" t="str">
        <x:f>D402&amp;"|"&amp;UPPER(G402)&amp;"|"&amp;SUBSTITUTE(C402,"/","-")</x:f>
        <x:v>1368|COMMN|2025-01-04</x:v>
      </x:c>
    </x:row>
    <x:row r="403">
      <x:c r="A403" s="22" t="n">
        <x:v>29868</x:v>
      </x:c>
      <x:c r="B403" t="str">
        <x:v>FY24-25</x:v>
      </x:c>
      <x:c r="C403" t="str">
        <x:v>2025/01/04</x:v>
      </x:c>
      <x:c r="D403" t="str">
        <x:v>1368</x:v>
      </x:c>
      <x:c r="E403" t="str">
        <x:v>Special Assistant IX</x:v>
      </x:c>
      <x:c r="F403" t="str">
        <x:v>021</x:v>
      </x:c>
      <x:c r="G403" t="str">
        <x:v>SFMTA</x:v>
      </x:c>
      <x:c r="H403" t="str">
        <x:v>1368A</x:v>
      </x:c>
      <x:c r="I403" t="str">
        <x:v>$3,969</x:v>
      </x:c>
      <x:c r="J403" t="str"/>
      <x:c r="K403" t="str"/>
      <x:c r="L403" t="str">
        <x:v>$49.6125</x:v>
      </x:c>
      <x:c r="M403" t="str">
        <x:v>$52.1250</x:v>
      </x:c>
      <x:c r="N403" t="str">
        <x:v>$54.7125</x:v>
      </x:c>
      <x:c r="O403" t="str">
        <x:v>$57.4250</x:v>
      </x:c>
      <x:c r="P403" t="str">
        <x:v>$60.2875</x:v>
      </x:c>
      <x:c r="Q403" t="str"/>
      <x:c r="R403" t="str"/>
      <x:c r="S403" t="str"/>
      <x:c r="T403" t="str"/>
      <x:c r="U403" t="str"/>
      <x:c r="V403" t="str"/>
      <x:c r="W403" t="str"/>
      <x:c r="X403" t="str"/>
      <x:c r="Y403" t="str"/>
      <x:c r="Z403" t="str"/>
      <x:c r="AA403" t="str"/>
      <x:c r="AB403" t="str"/>
      <x:c r="AC403" t="str"/>
      <x:c r="AD403" t="str"/>
      <x:c r="AE403" t="str"/>
      <x:c r="AF403" t="str">
        <x:f>D403&amp;"|"&amp;UPPER(G403)&amp;"|"&amp;SUBSTITUTE(C403,"/","-")</x:f>
        <x:v>1368|SFMTA|2025-01-04</x:v>
      </x:c>
    </x:row>
    <x:row r="404">
      <x:c r="A404" s="22" t="n">
        <x:v>31580</x:v>
      </x:c>
      <x:c r="B404" t="str">
        <x:v>FY25-26</x:v>
      </x:c>
      <x:c r="C404" t="str">
        <x:v>2025/07/01</x:v>
      </x:c>
      <x:c r="D404" t="str">
        <x:v>1368</x:v>
      </x:c>
      <x:c r="E404" t="str">
        <x:v>Special Assistant 9</x:v>
      </x:c>
      <x:c r="F404" t="str">
        <x:v>021</x:v>
      </x:c>
      <x:c r="G404" t="str">
        <x:v>COMMN</x:v>
      </x:c>
      <x:c r="H404" t="str">
        <x:v>1368B</x:v>
      </x:c>
      <x:c r="I404" t="str">
        <x:v>$4,049</x:v>
      </x:c>
      <x:c r="J404" t="str"/>
      <x:c r="K404" t="str"/>
      <x:c r="L404" t="str">
        <x:v>$50.6125</x:v>
      </x:c>
      <x:c r="M404" t="str">
        <x:v>$53.1750</x:v>
      </x:c>
      <x:c r="N404" t="str">
        <x:v>$55.8125</x:v>
      </x:c>
      <x:c r="O404" t="str">
        <x:v>$58.5750</x:v>
      </x:c>
      <x:c r="P404" t="str">
        <x:v>$61.5000</x:v>
      </x:c>
      <x:c r="Q404" t="str"/>
      <x:c r="R404" t="str"/>
      <x:c r="S404" t="str"/>
      <x:c r="T404" t="str"/>
      <x:c r="U404" t="str"/>
      <x:c r="V404" t="str"/>
      <x:c r="W404" t="str"/>
      <x:c r="X404" t="str"/>
      <x:c r="Y404" t="str"/>
      <x:c r="Z404" t="str"/>
      <x:c r="AA404" t="str"/>
      <x:c r="AB404" t="str"/>
      <x:c r="AC404" t="str"/>
      <x:c r="AD404" t="str"/>
      <x:c r="AE404" t="str"/>
      <x:c r="AF404" t="str">
        <x:f>D404&amp;"|"&amp;UPPER(G404)&amp;"|"&amp;SUBSTITUTE(C404,"/","-")</x:f>
        <x:v>1368|COMMN|2025-07-01</x:v>
      </x:c>
    </x:row>
    <x:row r="405">
      <x:c r="A405" s="22" t="n">
        <x:v>31581</x:v>
      </x:c>
      <x:c r="B405" t="str">
        <x:v>FY25-26</x:v>
      </x:c>
      <x:c r="C405" t="str">
        <x:v>2025/07/01</x:v>
      </x:c>
      <x:c r="D405" t="str">
        <x:v>1368</x:v>
      </x:c>
      <x:c r="E405" t="str">
        <x:v>Special Assistant 9</x:v>
      </x:c>
      <x:c r="F405" t="str">
        <x:v>021</x:v>
      </x:c>
      <x:c r="G405" t="str">
        <x:v>SFMTA</x:v>
      </x:c>
      <x:c r="H405" t="str">
        <x:v>1368B</x:v>
      </x:c>
      <x:c r="I405" t="str">
        <x:v>$4,049</x:v>
      </x:c>
      <x:c r="J405" t="str"/>
      <x:c r="K405" t="str"/>
      <x:c r="L405" t="str">
        <x:v>$50.6125</x:v>
      </x:c>
      <x:c r="M405" t="str">
        <x:v>$53.1750</x:v>
      </x:c>
      <x:c r="N405" t="str">
        <x:v>$55.8125</x:v>
      </x:c>
      <x:c r="O405" t="str">
        <x:v>$58.5750</x:v>
      </x:c>
      <x:c r="P405" t="str">
        <x:v>$61.5000</x:v>
      </x:c>
      <x:c r="Q405" t="str"/>
      <x:c r="R405" t="str"/>
      <x:c r="S405" t="str"/>
      <x:c r="T405" t="str"/>
      <x:c r="U405" t="str"/>
      <x:c r="V405" t="str"/>
      <x:c r="W405" t="str"/>
      <x:c r="X405" t="str"/>
      <x:c r="Y405" t="str"/>
      <x:c r="Z405" t="str"/>
      <x:c r="AA405" t="str"/>
      <x:c r="AB405" t="str"/>
      <x:c r="AC405" t="str"/>
      <x:c r="AD405" t="str"/>
      <x:c r="AE405" t="str"/>
      <x:c r="AF405" t="str">
        <x:f>D405&amp;"|"&amp;UPPER(G405)&amp;"|"&amp;SUBSTITUTE(C405,"/","-")</x:f>
        <x:v>1368|SFMTA|2025-07-01</x:v>
      </x:c>
    </x:row>
    <x:row r="406">
      <x:c r="A406" s="22" t="n">
        <x:v>33265</x:v>
      </x:c>
      <x:c r="B406" t="str">
        <x:v>FY25-26</x:v>
      </x:c>
      <x:c r="C406" t="str">
        <x:v>2026/01/03</x:v>
      </x:c>
      <x:c r="D406" t="str">
        <x:v>1368</x:v>
      </x:c>
      <x:c r="E406" t="str">
        <x:v>Special Assistant 9</x:v>
      </x:c>
      <x:c r="F406" t="str">
        <x:v>021</x:v>
      </x:c>
      <x:c r="G406" t="str">
        <x:v>COMMN</x:v>
      </x:c>
      <x:c r="H406" t="str">
        <x:v>1368C</x:v>
      </x:c>
      <x:c r="I406" t="str">
        <x:v>$4,110</x:v>
      </x:c>
      <x:c r="J406" t="str"/>
      <x:c r="K406" t="str"/>
      <x:c r="L406" t="str">
        <x:v>$51.3750</x:v>
      </x:c>
      <x:c r="M406" t="str">
        <x:v>$53.9750</x:v>
      </x:c>
      <x:c r="N406" t="str">
        <x:v>$56.6500</x:v>
      </x:c>
      <x:c r="O406" t="str">
        <x:v>$59.4500</x:v>
      </x:c>
      <x:c r="P406" t="str">
        <x:v>$62.4250</x:v>
      </x:c>
      <x:c r="Q406" t="str"/>
      <x:c r="R406" t="str"/>
      <x:c r="S406" t="str"/>
      <x:c r="T406" t="str"/>
      <x:c r="U406" t="str"/>
      <x:c r="V406" t="str"/>
      <x:c r="W406" t="str"/>
      <x:c r="X406" t="str"/>
      <x:c r="Y406" t="str"/>
      <x:c r="Z406" t="str"/>
      <x:c r="AA406" t="str"/>
      <x:c r="AB406" t="str"/>
      <x:c r="AC406" t="str"/>
      <x:c r="AD406" t="str"/>
      <x:c r="AE406" t="str"/>
      <x:c r="AF406" t="str">
        <x:f>D406&amp;"|"&amp;UPPER(G406)&amp;"|"&amp;SUBSTITUTE(C406,"/","-")</x:f>
        <x:v>1368|COMMN|2026-01-03</x:v>
      </x:c>
    </x:row>
    <x:row r="407">
      <x:c r="A407" s="22" t="n">
        <x:v>33266</x:v>
      </x:c>
      <x:c r="B407" t="str">
        <x:v>FY25-26</x:v>
      </x:c>
      <x:c r="C407" t="str">
        <x:v>2026/01/03</x:v>
      </x:c>
      <x:c r="D407" t="str">
        <x:v>1368</x:v>
      </x:c>
      <x:c r="E407" t="str">
        <x:v>Special Assistant 9</x:v>
      </x:c>
      <x:c r="F407" t="str">
        <x:v>021</x:v>
      </x:c>
      <x:c r="G407" t="str">
        <x:v>SFMTA</x:v>
      </x:c>
      <x:c r="H407" t="str">
        <x:v>1368C</x:v>
      </x:c>
      <x:c r="I407" t="str">
        <x:v>$4,110</x:v>
      </x:c>
      <x:c r="J407" t="str"/>
      <x:c r="K407" t="str"/>
      <x:c r="L407" t="str">
        <x:v>$51.3750</x:v>
      </x:c>
      <x:c r="M407" t="str">
        <x:v>$53.9750</x:v>
      </x:c>
      <x:c r="N407" t="str">
        <x:v>$56.6500</x:v>
      </x:c>
      <x:c r="O407" t="str">
        <x:v>$59.4500</x:v>
      </x:c>
      <x:c r="P407" t="str">
        <x:v>$62.4250</x:v>
      </x:c>
      <x:c r="Q407" t="str"/>
      <x:c r="R407" t="str"/>
      <x:c r="S407" t="str"/>
      <x:c r="T407" t="str"/>
      <x:c r="U407" t="str"/>
      <x:c r="V407" t="str"/>
      <x:c r="W407" t="str"/>
      <x:c r="X407" t="str"/>
      <x:c r="Y407" t="str"/>
      <x:c r="Z407" t="str"/>
      <x:c r="AA407" t="str"/>
      <x:c r="AB407" t="str"/>
      <x:c r="AC407" t="str"/>
      <x:c r="AD407" t="str"/>
      <x:c r="AE407" t="str"/>
      <x:c r="AF407" t="str">
        <x:f>D407&amp;"|"&amp;UPPER(G407)&amp;"|"&amp;SUBSTITUTE(C407,"/","-")</x:f>
        <x:v>1368|SFMTA|2026-01-03</x:v>
      </x:c>
    </x:row>
    <x:row r="408">
      <x:c r="A408" s="22" t="n">
        <x:v>26425</x:v>
      </x:c>
      <x:c r="B408" t="str">
        <x:v>FY23-24</x:v>
      </x:c>
      <x:c r="C408" t="str">
        <x:v>2024/01/06</x:v>
      </x:c>
      <x:c r="D408" t="str">
        <x:v>1369</x:v>
      </x:c>
      <x:c r="E408" t="str">
        <x:v>Special Assistant X</x:v>
      </x:c>
      <x:c r="F408" t="str">
        <x:v>021</x:v>
      </x:c>
      <x:c r="G408" t="str">
        <x:v>COMMN</x:v>
      </x:c>
      <x:c r="H408" t="str">
        <x:v>1369Y</x:v>
      </x:c>
      <x:c r="I408" t="str">
        <x:v>$4,168</x:v>
      </x:c>
      <x:c r="J408" t="str"/>
      <x:c r="K408" t="str"/>
      <x:c r="L408" t="str">
        <x:v>$52.1000</x:v>
      </x:c>
      <x:c r="M408" t="str">
        <x:v>$54.6875</x:v>
      </x:c>
      <x:c r="N408" t="str">
        <x:v>$57.4250</x:v>
      </x:c>
      <x:c r="O408" t="str">
        <x:v>$60.2875</x:v>
      </x:c>
      <x:c r="P408" t="str">
        <x:v>$63.2750</x:v>
      </x:c>
      <x:c r="Q408" t="str"/>
      <x:c r="R408" t="str"/>
      <x:c r="S408" t="str"/>
      <x:c r="T408" t="str"/>
      <x:c r="U408" t="str"/>
      <x:c r="V408" t="str"/>
      <x:c r="W408" t="str"/>
      <x:c r="X408" t="str"/>
      <x:c r="Y408" t="str"/>
      <x:c r="Z408" t="str"/>
      <x:c r="AA408" t="str"/>
      <x:c r="AB408" t="str"/>
      <x:c r="AC408" t="str"/>
      <x:c r="AD408" t="str"/>
      <x:c r="AE408" t="str"/>
      <x:c r="AF408" t="str">
        <x:f>D408&amp;"|"&amp;UPPER(G408)&amp;"|"&amp;SUBSTITUTE(C408,"/","-")</x:f>
        <x:v>1369|COMMN|2024-01-06</x:v>
      </x:c>
    </x:row>
    <x:row r="409">
      <x:c r="A409" s="22" t="n">
        <x:v>26426</x:v>
      </x:c>
      <x:c r="B409" t="str">
        <x:v>FY23-24</x:v>
      </x:c>
      <x:c r="C409" t="str">
        <x:v>2024/01/06</x:v>
      </x:c>
      <x:c r="D409" t="str">
        <x:v>1369</x:v>
      </x:c>
      <x:c r="E409" t="str">
        <x:v>Special Assistant X</x:v>
      </x:c>
      <x:c r="F409" t="str">
        <x:v>021</x:v>
      </x:c>
      <x:c r="G409" t="str">
        <x:v>SFMTA</x:v>
      </x:c>
      <x:c r="H409" t="str">
        <x:v>1369Y</x:v>
      </x:c>
      <x:c r="I409" t="str">
        <x:v>$4,168</x:v>
      </x:c>
      <x:c r="J409" t="str"/>
      <x:c r="K409" t="str"/>
      <x:c r="L409" t="str">
        <x:v>$52.1000</x:v>
      </x:c>
      <x:c r="M409" t="str">
        <x:v>$54.6875</x:v>
      </x:c>
      <x:c r="N409" t="str">
        <x:v>$57.4250</x:v>
      </x:c>
      <x:c r="O409" t="str">
        <x:v>$60.2875</x:v>
      </x:c>
      <x:c r="P409" t="str">
        <x:v>$63.2750</x:v>
      </x:c>
      <x:c r="Q409" t="str"/>
      <x:c r="R409" t="str"/>
      <x:c r="S409" t="str"/>
      <x:c r="T409" t="str"/>
      <x:c r="U409" t="str"/>
      <x:c r="V409" t="str"/>
      <x:c r="W409" t="str"/>
      <x:c r="X409" t="str"/>
      <x:c r="Y409" t="str"/>
      <x:c r="Z409" t="str"/>
      <x:c r="AA409" t="str"/>
      <x:c r="AB409" t="str"/>
      <x:c r="AC409" t="str"/>
      <x:c r="AD409" t="str"/>
      <x:c r="AE409" t="str"/>
      <x:c r="AF409" t="str">
        <x:f>D409&amp;"|"&amp;UPPER(G409)&amp;"|"&amp;SUBSTITUTE(C409,"/","-")</x:f>
        <x:v>1369|SFMTA|2024-01-06</x:v>
      </x:c>
    </x:row>
    <x:row r="410">
      <x:c r="A410" s="22" t="n">
        <x:v>28163</x:v>
      </x:c>
      <x:c r="B410" t="str">
        <x:v>FY24-25</x:v>
      </x:c>
      <x:c r="C410" t="str">
        <x:v>2024/07/01</x:v>
      </x:c>
      <x:c r="D410" t="str">
        <x:v>1369</x:v>
      </x:c>
      <x:c r="E410" t="str">
        <x:v>Special Assistant X</x:v>
      </x:c>
      <x:c r="F410" t="str">
        <x:v>021</x:v>
      </x:c>
      <x:c r="G410" t="str">
        <x:v>COMMN</x:v>
      </x:c>
      <x:c r="H410" t="str">
        <x:v>1369Z</x:v>
      </x:c>
      <x:c r="I410" t="str">
        <x:v>$4,231</x:v>
      </x:c>
      <x:c r="J410" t="str"/>
      <x:c r="K410" t="str"/>
      <x:c r="L410" t="str">
        <x:v>$52.8875</x:v>
      </x:c>
      <x:c r="M410" t="str">
        <x:v>$55.5125</x:v>
      </x:c>
      <x:c r="N410" t="str">
        <x:v>$58.2875</x:v>
      </x:c>
      <x:c r="O410" t="str">
        <x:v>$61.1875</x:v>
      </x:c>
      <x:c r="P410" t="str">
        <x:v>$64.2250</x:v>
      </x:c>
      <x:c r="Q410" t="str"/>
      <x:c r="R410" t="str"/>
      <x:c r="S410" t="str"/>
      <x:c r="T410" t="str"/>
      <x:c r="U410" t="str"/>
      <x:c r="V410" t="str"/>
      <x:c r="W410" t="str"/>
      <x:c r="X410" t="str"/>
      <x:c r="Y410" t="str"/>
      <x:c r="Z410" t="str"/>
      <x:c r="AA410" t="str"/>
      <x:c r="AB410" t="str"/>
      <x:c r="AC410" t="str"/>
      <x:c r="AD410" t="str"/>
      <x:c r="AE410" t="str"/>
      <x:c r="AF410" t="str">
        <x:f>D410&amp;"|"&amp;UPPER(G410)&amp;"|"&amp;SUBSTITUTE(C410,"/","-")</x:f>
        <x:v>1369|COMMN|2024-07-01</x:v>
      </x:c>
    </x:row>
    <x:row r="411">
      <x:c r="A411" s="22" t="n">
        <x:v>28164</x:v>
      </x:c>
      <x:c r="B411" t="str">
        <x:v>FY24-25</x:v>
      </x:c>
      <x:c r="C411" t="str">
        <x:v>2024/07/01</x:v>
      </x:c>
      <x:c r="D411" t="str">
        <x:v>1369</x:v>
      </x:c>
      <x:c r="E411" t="str">
        <x:v>Special Assistant X</x:v>
      </x:c>
      <x:c r="F411" t="str">
        <x:v>021</x:v>
      </x:c>
      <x:c r="G411" t="str">
        <x:v>SFMTA</x:v>
      </x:c>
      <x:c r="H411" t="str">
        <x:v>1369Z</x:v>
      </x:c>
      <x:c r="I411" t="str">
        <x:v>$4,231</x:v>
      </x:c>
      <x:c r="J411" t="str"/>
      <x:c r="K411" t="str"/>
      <x:c r="L411" t="str">
        <x:v>$52.8875</x:v>
      </x:c>
      <x:c r="M411" t="str">
        <x:v>$55.5125</x:v>
      </x:c>
      <x:c r="N411" t="str">
        <x:v>$58.2875</x:v>
      </x:c>
      <x:c r="O411" t="str">
        <x:v>$61.1875</x:v>
      </x:c>
      <x:c r="P411" t="str">
        <x:v>$64.2250</x:v>
      </x:c>
      <x:c r="Q411" t="str"/>
      <x:c r="R411" t="str"/>
      <x:c r="S411" t="str"/>
      <x:c r="T411" t="str"/>
      <x:c r="U411" t="str"/>
      <x:c r="V411" t="str"/>
      <x:c r="W411" t="str"/>
      <x:c r="X411" t="str"/>
      <x:c r="Y411" t="str"/>
      <x:c r="Z411" t="str"/>
      <x:c r="AA411" t="str"/>
      <x:c r="AB411" t="str"/>
      <x:c r="AC411" t="str"/>
      <x:c r="AD411" t="str"/>
      <x:c r="AE411" t="str"/>
      <x:c r="AF411" t="str">
        <x:f>D411&amp;"|"&amp;UPPER(G411)&amp;"|"&amp;SUBSTITUTE(C411,"/","-")</x:f>
        <x:v>1369|SFMTA|2024-07-01</x:v>
      </x:c>
    </x:row>
    <x:row r="412">
      <x:c r="A412" s="22" t="n">
        <x:v>29869</x:v>
      </x:c>
      <x:c r="B412" t="str">
        <x:v>FY24-25</x:v>
      </x:c>
      <x:c r="C412" t="str">
        <x:v>2025/01/04</x:v>
      </x:c>
      <x:c r="D412" t="str">
        <x:v>1369</x:v>
      </x:c>
      <x:c r="E412" t="str">
        <x:v>Special Assistant X</x:v>
      </x:c>
      <x:c r="F412" t="str">
        <x:v>021</x:v>
      </x:c>
      <x:c r="G412" t="str">
        <x:v>COMMN</x:v>
      </x:c>
      <x:c r="H412" t="str">
        <x:v>1369A</x:v>
      </x:c>
      <x:c r="I412" t="str">
        <x:v>$4,294</x:v>
      </x:c>
      <x:c r="J412" t="str"/>
      <x:c r="K412" t="str"/>
      <x:c r="L412" t="str">
        <x:v>$53.6750</x:v>
      </x:c>
      <x:c r="M412" t="str">
        <x:v>$56.3500</x:v>
      </x:c>
      <x:c r="N412" t="str">
        <x:v>$59.1625</x:v>
      </x:c>
      <x:c r="O412" t="str">
        <x:v>$62.1000</x:v>
      </x:c>
      <x:c r="P412" t="str">
        <x:v>$65.1875</x:v>
      </x:c>
      <x:c r="Q412" t="str"/>
      <x:c r="R412" t="str"/>
      <x:c r="S412" t="str"/>
      <x:c r="T412" t="str"/>
      <x:c r="U412" t="str"/>
      <x:c r="V412" t="str"/>
      <x:c r="W412" t="str"/>
      <x:c r="X412" t="str"/>
      <x:c r="Y412" t="str"/>
      <x:c r="Z412" t="str"/>
      <x:c r="AA412" t="str"/>
      <x:c r="AB412" t="str"/>
      <x:c r="AC412" t="str"/>
      <x:c r="AD412" t="str"/>
      <x:c r="AE412" t="str"/>
      <x:c r="AF412" t="str">
        <x:f>D412&amp;"|"&amp;UPPER(G412)&amp;"|"&amp;SUBSTITUTE(C412,"/","-")</x:f>
        <x:v>1369|COMMN|2025-01-04</x:v>
      </x:c>
    </x:row>
    <x:row r="413">
      <x:c r="A413" s="22" t="n">
        <x:v>29870</x:v>
      </x:c>
      <x:c r="B413" t="str">
        <x:v>FY24-25</x:v>
      </x:c>
      <x:c r="C413" t="str">
        <x:v>2025/01/04</x:v>
      </x:c>
      <x:c r="D413" t="str">
        <x:v>1369</x:v>
      </x:c>
      <x:c r="E413" t="str">
        <x:v>Special Assistant X</x:v>
      </x:c>
      <x:c r="F413" t="str">
        <x:v>021</x:v>
      </x:c>
      <x:c r="G413" t="str">
        <x:v>SFMTA</x:v>
      </x:c>
      <x:c r="H413" t="str">
        <x:v>1369A</x:v>
      </x:c>
      <x:c r="I413" t="str">
        <x:v>$4,294</x:v>
      </x:c>
      <x:c r="J413" t="str"/>
      <x:c r="K413" t="str"/>
      <x:c r="L413" t="str">
        <x:v>$53.6750</x:v>
      </x:c>
      <x:c r="M413" t="str">
        <x:v>$56.3500</x:v>
      </x:c>
      <x:c r="N413" t="str">
        <x:v>$59.1625</x:v>
      </x:c>
      <x:c r="O413" t="str">
        <x:v>$62.1000</x:v>
      </x:c>
      <x:c r="P413" t="str">
        <x:v>$65.1875</x:v>
      </x:c>
      <x:c r="Q413" t="str"/>
      <x:c r="R413" t="str"/>
      <x:c r="S413" t="str"/>
      <x:c r="T413" t="str"/>
      <x:c r="U413" t="str"/>
      <x:c r="V413" t="str"/>
      <x:c r="W413" t="str"/>
      <x:c r="X413" t="str"/>
      <x:c r="Y413" t="str"/>
      <x:c r="Z413" t="str"/>
      <x:c r="AA413" t="str"/>
      <x:c r="AB413" t="str"/>
      <x:c r="AC413" t="str"/>
      <x:c r="AD413" t="str"/>
      <x:c r="AE413" t="str"/>
      <x:c r="AF413" t="str">
        <x:f>D413&amp;"|"&amp;UPPER(G413)&amp;"|"&amp;SUBSTITUTE(C413,"/","-")</x:f>
        <x:v>1369|SFMTA|2025-01-04</x:v>
      </x:c>
    </x:row>
    <x:row r="414">
      <x:c r="A414" s="22" t="n">
        <x:v>31582</x:v>
      </x:c>
      <x:c r="B414" t="str">
        <x:v>FY25-26</x:v>
      </x:c>
      <x:c r="C414" t="str">
        <x:v>2025/07/01</x:v>
      </x:c>
      <x:c r="D414" t="str">
        <x:v>1369</x:v>
      </x:c>
      <x:c r="E414" t="str">
        <x:v>Special Assistant 10</x:v>
      </x:c>
      <x:c r="F414" t="str">
        <x:v>021</x:v>
      </x:c>
      <x:c r="G414" t="str">
        <x:v>COMMN</x:v>
      </x:c>
      <x:c r="H414" t="str">
        <x:v>1369B</x:v>
      </x:c>
      <x:c r="I414" t="str">
        <x:v>$4,380</x:v>
      </x:c>
      <x:c r="J414" t="str"/>
      <x:c r="K414" t="str"/>
      <x:c r="L414" t="str">
        <x:v>$54.7500</x:v>
      </x:c>
      <x:c r="M414" t="str">
        <x:v>$57.4875</x:v>
      </x:c>
      <x:c r="N414" t="str">
        <x:v>$60.3500</x:v>
      </x:c>
      <x:c r="O414" t="str">
        <x:v>$63.3500</x:v>
      </x:c>
      <x:c r="P414" t="str">
        <x:v>$66.5000</x:v>
      </x:c>
      <x:c r="Q414" t="str"/>
      <x:c r="R414" t="str"/>
      <x:c r="S414" t="str"/>
      <x:c r="T414" t="str"/>
      <x:c r="U414" t="str"/>
      <x:c r="V414" t="str"/>
      <x:c r="W414" t="str"/>
      <x:c r="X414" t="str"/>
      <x:c r="Y414" t="str"/>
      <x:c r="Z414" t="str"/>
      <x:c r="AA414" t="str"/>
      <x:c r="AB414" t="str"/>
      <x:c r="AC414" t="str"/>
      <x:c r="AD414" t="str"/>
      <x:c r="AE414" t="str"/>
      <x:c r="AF414" t="str">
        <x:f>D414&amp;"|"&amp;UPPER(G414)&amp;"|"&amp;SUBSTITUTE(C414,"/","-")</x:f>
        <x:v>1369|COMMN|2025-07-01</x:v>
      </x:c>
    </x:row>
    <x:row r="415">
      <x:c r="A415" s="22" t="n">
        <x:v>31583</x:v>
      </x:c>
      <x:c r="B415" t="str">
        <x:v>FY25-26</x:v>
      </x:c>
      <x:c r="C415" t="str">
        <x:v>2025/07/01</x:v>
      </x:c>
      <x:c r="D415" t="str">
        <x:v>1369</x:v>
      </x:c>
      <x:c r="E415" t="str">
        <x:v>Special Assistant 10</x:v>
      </x:c>
      <x:c r="F415" t="str">
        <x:v>021</x:v>
      </x:c>
      <x:c r="G415" t="str">
        <x:v>SFMTA</x:v>
      </x:c>
      <x:c r="H415" t="str">
        <x:v>1369B</x:v>
      </x:c>
      <x:c r="I415" t="str">
        <x:v>$4,380</x:v>
      </x:c>
      <x:c r="J415" t="str"/>
      <x:c r="K415" t="str"/>
      <x:c r="L415" t="str">
        <x:v>$54.7500</x:v>
      </x:c>
      <x:c r="M415" t="str">
        <x:v>$57.4875</x:v>
      </x:c>
      <x:c r="N415" t="str">
        <x:v>$60.3500</x:v>
      </x:c>
      <x:c r="O415" t="str">
        <x:v>$63.3500</x:v>
      </x:c>
      <x:c r="P415" t="str">
        <x:v>$66.5000</x:v>
      </x:c>
      <x:c r="Q415" t="str"/>
      <x:c r="R415" t="str"/>
      <x:c r="S415" t="str"/>
      <x:c r="T415" t="str"/>
      <x:c r="U415" t="str"/>
      <x:c r="V415" t="str"/>
      <x:c r="W415" t="str"/>
      <x:c r="X415" t="str"/>
      <x:c r="Y415" t="str"/>
      <x:c r="Z415" t="str"/>
      <x:c r="AA415" t="str"/>
      <x:c r="AB415" t="str"/>
      <x:c r="AC415" t="str"/>
      <x:c r="AD415" t="str"/>
      <x:c r="AE415" t="str"/>
      <x:c r="AF415" t="str">
        <x:f>D415&amp;"|"&amp;UPPER(G415)&amp;"|"&amp;SUBSTITUTE(C415,"/","-")</x:f>
        <x:v>1369|SFMTA|2025-07-01</x:v>
      </x:c>
    </x:row>
    <x:row r="416">
      <x:c r="A416" s="22" t="n">
        <x:v>33267</x:v>
      </x:c>
      <x:c r="B416" t="str">
        <x:v>FY25-26</x:v>
      </x:c>
      <x:c r="C416" t="str">
        <x:v>2026/01/03</x:v>
      </x:c>
      <x:c r="D416" t="str">
        <x:v>1369</x:v>
      </x:c>
      <x:c r="E416" t="str">
        <x:v>Special Assistant 10</x:v>
      </x:c>
      <x:c r="F416" t="str">
        <x:v>021</x:v>
      </x:c>
      <x:c r="G416" t="str">
        <x:v>COMMN</x:v>
      </x:c>
      <x:c r="H416" t="str">
        <x:v>1369C</x:v>
      </x:c>
      <x:c r="I416" t="str">
        <x:v>$4,446</x:v>
      </x:c>
      <x:c r="J416" t="str"/>
      <x:c r="K416" t="str"/>
      <x:c r="L416" t="str">
        <x:v>$55.5750</x:v>
      </x:c>
      <x:c r="M416" t="str">
        <x:v>$58.3500</x:v>
      </x:c>
      <x:c r="N416" t="str">
        <x:v>$61.2500</x:v>
      </x:c>
      <x:c r="O416" t="str">
        <x:v>$64.3000</x:v>
      </x:c>
      <x:c r="P416" t="str">
        <x:v>$67.5000</x:v>
      </x:c>
      <x:c r="Q416" t="str"/>
      <x:c r="R416" t="str"/>
      <x:c r="S416" t="str"/>
      <x:c r="T416" t="str"/>
      <x:c r="U416" t="str"/>
      <x:c r="V416" t="str"/>
      <x:c r="W416" t="str"/>
      <x:c r="X416" t="str"/>
      <x:c r="Y416" t="str"/>
      <x:c r="Z416" t="str"/>
      <x:c r="AA416" t="str"/>
      <x:c r="AB416" t="str"/>
      <x:c r="AC416" t="str"/>
      <x:c r="AD416" t="str"/>
      <x:c r="AE416" t="str"/>
      <x:c r="AF416" t="str">
        <x:f>D416&amp;"|"&amp;UPPER(G416)&amp;"|"&amp;SUBSTITUTE(C416,"/","-")</x:f>
        <x:v>1369|COMMN|2026-01-03</x:v>
      </x:c>
    </x:row>
    <x:row r="417">
      <x:c r="A417" s="22" t="n">
        <x:v>33268</x:v>
      </x:c>
      <x:c r="B417" t="str">
        <x:v>FY25-26</x:v>
      </x:c>
      <x:c r="C417" t="str">
        <x:v>2026/01/03</x:v>
      </x:c>
      <x:c r="D417" t="str">
        <x:v>1369</x:v>
      </x:c>
      <x:c r="E417" t="str">
        <x:v>Special Assistant 10</x:v>
      </x:c>
      <x:c r="F417" t="str">
        <x:v>021</x:v>
      </x:c>
      <x:c r="G417" t="str">
        <x:v>SFMTA</x:v>
      </x:c>
      <x:c r="H417" t="str">
        <x:v>1369C</x:v>
      </x:c>
      <x:c r="I417" t="str">
        <x:v>$4,446</x:v>
      </x:c>
      <x:c r="J417" t="str"/>
      <x:c r="K417" t="str"/>
      <x:c r="L417" t="str">
        <x:v>$55.5750</x:v>
      </x:c>
      <x:c r="M417" t="str">
        <x:v>$58.3500</x:v>
      </x:c>
      <x:c r="N417" t="str">
        <x:v>$61.2500</x:v>
      </x:c>
      <x:c r="O417" t="str">
        <x:v>$64.3000</x:v>
      </x:c>
      <x:c r="P417" t="str">
        <x:v>$67.5000</x:v>
      </x:c>
      <x:c r="Q417" t="str"/>
      <x:c r="R417" t="str"/>
      <x:c r="S417" t="str"/>
      <x:c r="T417" t="str"/>
      <x:c r="U417" t="str"/>
      <x:c r="V417" t="str"/>
      <x:c r="W417" t="str"/>
      <x:c r="X417" t="str"/>
      <x:c r="Y417" t="str"/>
      <x:c r="Z417" t="str"/>
      <x:c r="AA417" t="str"/>
      <x:c r="AB417" t="str"/>
      <x:c r="AC417" t="str"/>
      <x:c r="AD417" t="str"/>
      <x:c r="AE417" t="str"/>
      <x:c r="AF417" t="str">
        <x:f>D417&amp;"|"&amp;UPPER(G417)&amp;"|"&amp;SUBSTITUTE(C417,"/","-")</x:f>
        <x:v>1369|SFMTA|2026-01-03</x:v>
      </x:c>
    </x:row>
    <x:row r="418">
      <x:c r="A418" s="22" t="n">
        <x:v>26427</x:v>
      </x:c>
      <x:c r="B418" t="str">
        <x:v>FY23-24</x:v>
      </x:c>
      <x:c r="C418" t="str">
        <x:v>2024/01/06</x:v>
      </x:c>
      <x:c r="D418" t="str">
        <x:v>1370</x:v>
      </x:c>
      <x:c r="E418" t="str">
        <x:v>Special Assistant XI</x:v>
      </x:c>
      <x:c r="F418" t="str">
        <x:v>021</x:v>
      </x:c>
      <x:c r="G418" t="str">
        <x:v>COMMN</x:v>
      </x:c>
      <x:c r="H418" t="str">
        <x:v>1370Y</x:v>
      </x:c>
      <x:c r="I418" t="str">
        <x:v>$4,482</x:v>
      </x:c>
      <x:c r="J418" t="str"/>
      <x:c r="K418" t="str"/>
      <x:c r="L418" t="str">
        <x:v>$56.0250</x:v>
      </x:c>
      <x:c r="M418" t="str">
        <x:v>$58.8125</x:v>
      </x:c>
      <x:c r="N418" t="str">
        <x:v>$61.7625</x:v>
      </x:c>
      <x:c r="O418" t="str">
        <x:v>$64.8625</x:v>
      </x:c>
      <x:c r="P418" t="str">
        <x:v>$68.1000</x:v>
      </x:c>
      <x:c r="Q418" t="str"/>
      <x:c r="R418" t="str"/>
      <x:c r="S418" t="str"/>
      <x:c r="T418" t="str"/>
      <x:c r="U418" t="str"/>
      <x:c r="V418" t="str"/>
      <x:c r="W418" t="str"/>
      <x:c r="X418" t="str"/>
      <x:c r="Y418" t="str"/>
      <x:c r="Z418" t="str"/>
      <x:c r="AA418" t="str"/>
      <x:c r="AB418" t="str"/>
      <x:c r="AC418" t="str"/>
      <x:c r="AD418" t="str"/>
      <x:c r="AE418" t="str"/>
      <x:c r="AF418" t="str">
        <x:f>D418&amp;"|"&amp;UPPER(G418)&amp;"|"&amp;SUBSTITUTE(C418,"/","-")</x:f>
        <x:v>1370|COMMN|2024-01-06</x:v>
      </x:c>
    </x:row>
    <x:row r="419">
      <x:c r="A419" s="22" t="n">
        <x:v>26428</x:v>
      </x:c>
      <x:c r="B419" t="str">
        <x:v>FY23-24</x:v>
      </x:c>
      <x:c r="C419" t="str">
        <x:v>2024/01/06</x:v>
      </x:c>
      <x:c r="D419" t="str">
        <x:v>1370</x:v>
      </x:c>
      <x:c r="E419" t="str">
        <x:v>Special Assistant XI</x:v>
      </x:c>
      <x:c r="F419" t="str">
        <x:v>021</x:v>
      </x:c>
      <x:c r="G419" t="str">
        <x:v>SFMTA</x:v>
      </x:c>
      <x:c r="H419" t="str">
        <x:v>1370Y</x:v>
      </x:c>
      <x:c r="I419" t="str">
        <x:v>$4,482</x:v>
      </x:c>
      <x:c r="J419" t="str"/>
      <x:c r="K419" t="str"/>
      <x:c r="L419" t="str">
        <x:v>$56.0250</x:v>
      </x:c>
      <x:c r="M419" t="str">
        <x:v>$58.8125</x:v>
      </x:c>
      <x:c r="N419" t="str">
        <x:v>$61.7625</x:v>
      </x:c>
      <x:c r="O419" t="str">
        <x:v>$64.8625</x:v>
      </x:c>
      <x:c r="P419" t="str">
        <x:v>$68.1000</x:v>
      </x:c>
      <x:c r="Q419" t="str"/>
      <x:c r="R419" t="str"/>
      <x:c r="S419" t="str"/>
      <x:c r="T419" t="str"/>
      <x:c r="U419" t="str"/>
      <x:c r="V419" t="str"/>
      <x:c r="W419" t="str"/>
      <x:c r="X419" t="str"/>
      <x:c r="Y419" t="str"/>
      <x:c r="Z419" t="str"/>
      <x:c r="AA419" t="str"/>
      <x:c r="AB419" t="str"/>
      <x:c r="AC419" t="str"/>
      <x:c r="AD419" t="str"/>
      <x:c r="AE419" t="str"/>
      <x:c r="AF419" t="str">
        <x:f>D419&amp;"|"&amp;UPPER(G419)&amp;"|"&amp;SUBSTITUTE(C419,"/","-")</x:f>
        <x:v>1370|SFMTA|2024-01-06</x:v>
      </x:c>
    </x:row>
    <x:row r="420">
      <x:c r="A420" s="22" t="n">
        <x:v>28165</x:v>
      </x:c>
      <x:c r="B420" t="str">
        <x:v>FY24-25</x:v>
      </x:c>
      <x:c r="C420" t="str">
        <x:v>2024/07/01</x:v>
      </x:c>
      <x:c r="D420" t="str">
        <x:v>1370</x:v>
      </x:c>
      <x:c r="E420" t="str">
        <x:v>Special Assistant XI</x:v>
      </x:c>
      <x:c r="F420" t="str">
        <x:v>021</x:v>
      </x:c>
      <x:c r="G420" t="str">
        <x:v>COMMN</x:v>
      </x:c>
      <x:c r="H420" t="str">
        <x:v>1370Z</x:v>
      </x:c>
      <x:c r="I420" t="str">
        <x:v>$4,549</x:v>
      </x:c>
      <x:c r="J420" t="str"/>
      <x:c r="K420" t="str"/>
      <x:c r="L420" t="str">
        <x:v>$56.8625</x:v>
      </x:c>
      <x:c r="M420" t="str">
        <x:v>$59.7000</x:v>
      </x:c>
      <x:c r="N420" t="str">
        <x:v>$62.6875</x:v>
      </x:c>
      <x:c r="O420" t="str">
        <x:v>$65.8375</x:v>
      </x:c>
      <x:c r="P420" t="str">
        <x:v>$69.1250</x:v>
      </x:c>
      <x:c r="Q420" t="str"/>
      <x:c r="R420" t="str"/>
      <x:c r="S420" t="str"/>
      <x:c r="T420" t="str"/>
      <x:c r="U420" t="str"/>
      <x:c r="V420" t="str"/>
      <x:c r="W420" t="str"/>
      <x:c r="X420" t="str"/>
      <x:c r="Y420" t="str"/>
      <x:c r="Z420" t="str"/>
      <x:c r="AA420" t="str"/>
      <x:c r="AB420" t="str"/>
      <x:c r="AC420" t="str"/>
      <x:c r="AD420" t="str"/>
      <x:c r="AE420" t="str"/>
      <x:c r="AF420" t="str">
        <x:f>D420&amp;"|"&amp;UPPER(G420)&amp;"|"&amp;SUBSTITUTE(C420,"/","-")</x:f>
        <x:v>1370|COMMN|2024-07-01</x:v>
      </x:c>
    </x:row>
    <x:row r="421">
      <x:c r="A421" s="22" t="n">
        <x:v>28166</x:v>
      </x:c>
      <x:c r="B421" t="str">
        <x:v>FY24-25</x:v>
      </x:c>
      <x:c r="C421" t="str">
        <x:v>2024/07/01</x:v>
      </x:c>
      <x:c r="D421" t="str">
        <x:v>1370</x:v>
      </x:c>
      <x:c r="E421" t="str">
        <x:v>Special Assistant XI</x:v>
      </x:c>
      <x:c r="F421" t="str">
        <x:v>021</x:v>
      </x:c>
      <x:c r="G421" t="str">
        <x:v>SFMTA</x:v>
      </x:c>
      <x:c r="H421" t="str">
        <x:v>1370Z</x:v>
      </x:c>
      <x:c r="I421" t="str">
        <x:v>$4,549</x:v>
      </x:c>
      <x:c r="J421" t="str"/>
      <x:c r="K421" t="str"/>
      <x:c r="L421" t="str">
        <x:v>$56.8625</x:v>
      </x:c>
      <x:c r="M421" t="str">
        <x:v>$59.7000</x:v>
      </x:c>
      <x:c r="N421" t="str">
        <x:v>$62.6875</x:v>
      </x:c>
      <x:c r="O421" t="str">
        <x:v>$65.8375</x:v>
      </x:c>
      <x:c r="P421" t="str">
        <x:v>$69.1250</x:v>
      </x:c>
      <x:c r="Q421" t="str"/>
      <x:c r="R421" t="str"/>
      <x:c r="S421" t="str"/>
      <x:c r="T421" t="str"/>
      <x:c r="U421" t="str"/>
      <x:c r="V421" t="str"/>
      <x:c r="W421" t="str"/>
      <x:c r="X421" t="str"/>
      <x:c r="Y421" t="str"/>
      <x:c r="Z421" t="str"/>
      <x:c r="AA421" t="str"/>
      <x:c r="AB421" t="str"/>
      <x:c r="AC421" t="str"/>
      <x:c r="AD421" t="str"/>
      <x:c r="AE421" t="str"/>
      <x:c r="AF421" t="str">
        <x:f>D421&amp;"|"&amp;UPPER(G421)&amp;"|"&amp;SUBSTITUTE(C421,"/","-")</x:f>
        <x:v>1370|SFMTA|2024-07-01</x:v>
      </x:c>
    </x:row>
    <x:row r="422">
      <x:c r="A422" s="22" t="n">
        <x:v>29871</x:v>
      </x:c>
      <x:c r="B422" t="str">
        <x:v>FY24-25</x:v>
      </x:c>
      <x:c r="C422" t="str">
        <x:v>2025/01/04</x:v>
      </x:c>
      <x:c r="D422" t="str">
        <x:v>1370</x:v>
      </x:c>
      <x:c r="E422" t="str">
        <x:v>Special Assistant XI</x:v>
      </x:c>
      <x:c r="F422" t="str">
        <x:v>021</x:v>
      </x:c>
      <x:c r="G422" t="str">
        <x:v>COMMN</x:v>
      </x:c>
      <x:c r="H422" t="str">
        <x:v>1370A</x:v>
      </x:c>
      <x:c r="I422" t="str">
        <x:v>$4,617</x:v>
      </x:c>
      <x:c r="J422" t="str"/>
      <x:c r="K422" t="str"/>
      <x:c r="L422" t="str">
        <x:v>$57.7125</x:v>
      </x:c>
      <x:c r="M422" t="str">
        <x:v>$60.6000</x:v>
      </x:c>
      <x:c r="N422" t="str">
        <x:v>$63.6250</x:v>
      </x:c>
      <x:c r="O422" t="str">
        <x:v>$66.8250</x:v>
      </x:c>
      <x:c r="P422" t="str">
        <x:v>$70.1625</x:v>
      </x:c>
      <x:c r="Q422" t="str"/>
      <x:c r="R422" t="str"/>
      <x:c r="S422" t="str"/>
      <x:c r="T422" t="str"/>
      <x:c r="U422" t="str"/>
      <x:c r="V422" t="str"/>
      <x:c r="W422" t="str"/>
      <x:c r="X422" t="str"/>
      <x:c r="Y422" t="str"/>
      <x:c r="Z422" t="str"/>
      <x:c r="AA422" t="str"/>
      <x:c r="AB422" t="str"/>
      <x:c r="AC422" t="str"/>
      <x:c r="AD422" t="str"/>
      <x:c r="AE422" t="str"/>
      <x:c r="AF422" t="str">
        <x:f>D422&amp;"|"&amp;UPPER(G422)&amp;"|"&amp;SUBSTITUTE(C422,"/","-")</x:f>
        <x:v>1370|COMMN|2025-01-04</x:v>
      </x:c>
    </x:row>
    <x:row r="423">
      <x:c r="A423" s="22" t="n">
        <x:v>29872</x:v>
      </x:c>
      <x:c r="B423" t="str">
        <x:v>FY24-25</x:v>
      </x:c>
      <x:c r="C423" t="str">
        <x:v>2025/01/04</x:v>
      </x:c>
      <x:c r="D423" t="str">
        <x:v>1370</x:v>
      </x:c>
      <x:c r="E423" t="str">
        <x:v>Special Assistant XI</x:v>
      </x:c>
      <x:c r="F423" t="str">
        <x:v>021</x:v>
      </x:c>
      <x:c r="G423" t="str">
        <x:v>SFMTA</x:v>
      </x:c>
      <x:c r="H423" t="str">
        <x:v>1370A</x:v>
      </x:c>
      <x:c r="I423" t="str">
        <x:v>$4,617</x:v>
      </x:c>
      <x:c r="J423" t="str"/>
      <x:c r="K423" t="str"/>
      <x:c r="L423" t="str">
        <x:v>$57.7125</x:v>
      </x:c>
      <x:c r="M423" t="str">
        <x:v>$60.6000</x:v>
      </x:c>
      <x:c r="N423" t="str">
        <x:v>$63.6250</x:v>
      </x:c>
      <x:c r="O423" t="str">
        <x:v>$66.8250</x:v>
      </x:c>
      <x:c r="P423" t="str">
        <x:v>$70.1625</x:v>
      </x:c>
      <x:c r="Q423" t="str"/>
      <x:c r="R423" t="str"/>
      <x:c r="S423" t="str"/>
      <x:c r="T423" t="str"/>
      <x:c r="U423" t="str"/>
      <x:c r="V423" t="str"/>
      <x:c r="W423" t="str"/>
      <x:c r="X423" t="str"/>
      <x:c r="Y423" t="str"/>
      <x:c r="Z423" t="str"/>
      <x:c r="AA423" t="str"/>
      <x:c r="AB423" t="str"/>
      <x:c r="AC423" t="str"/>
      <x:c r="AD423" t="str"/>
      <x:c r="AE423" t="str"/>
      <x:c r="AF423" t="str">
        <x:f>D423&amp;"|"&amp;UPPER(G423)&amp;"|"&amp;SUBSTITUTE(C423,"/","-")</x:f>
        <x:v>1370|SFMTA|2025-01-04</x:v>
      </x:c>
    </x:row>
    <x:row r="424">
      <x:c r="A424" s="22" t="n">
        <x:v>31584</x:v>
      </x:c>
      <x:c r="B424" t="str">
        <x:v>FY25-26</x:v>
      </x:c>
      <x:c r="C424" t="str">
        <x:v>2025/07/01</x:v>
      </x:c>
      <x:c r="D424" t="str">
        <x:v>1370</x:v>
      </x:c>
      <x:c r="E424" t="str">
        <x:v>Special Assistant 11</x:v>
      </x:c>
      <x:c r="F424" t="str">
        <x:v>021</x:v>
      </x:c>
      <x:c r="G424" t="str">
        <x:v>COMMN</x:v>
      </x:c>
      <x:c r="H424" t="str">
        <x:v>1370B</x:v>
      </x:c>
      <x:c r="I424" t="str">
        <x:v>$4,710</x:v>
      </x:c>
      <x:c r="J424" t="str"/>
      <x:c r="K424" t="str"/>
      <x:c r="L424" t="str">
        <x:v>$58.8750</x:v>
      </x:c>
      <x:c r="M424" t="str">
        <x:v>$61.8125</x:v>
      </x:c>
      <x:c r="N424" t="str">
        <x:v>$64.9000</x:v>
      </x:c>
      <x:c r="O424" t="str">
        <x:v>$68.1625</x:v>
      </x:c>
      <x:c r="P424" t="str">
        <x:v>$71.5750</x:v>
      </x:c>
      <x:c r="Q424" t="str"/>
      <x:c r="R424" t="str"/>
      <x:c r="S424" t="str"/>
      <x:c r="T424" t="str"/>
      <x:c r="U424" t="str"/>
      <x:c r="V424" t="str"/>
      <x:c r="W424" t="str"/>
      <x:c r="X424" t="str"/>
      <x:c r="Y424" t="str"/>
      <x:c r="Z424" t="str"/>
      <x:c r="AA424" t="str"/>
      <x:c r="AB424" t="str"/>
      <x:c r="AC424" t="str"/>
      <x:c r="AD424" t="str"/>
      <x:c r="AE424" t="str"/>
      <x:c r="AF424" t="str">
        <x:f>D424&amp;"|"&amp;UPPER(G424)&amp;"|"&amp;SUBSTITUTE(C424,"/","-")</x:f>
        <x:v>1370|COMMN|2025-07-01</x:v>
      </x:c>
    </x:row>
    <x:row r="425">
      <x:c r="A425" s="22" t="n">
        <x:v>31585</x:v>
      </x:c>
      <x:c r="B425" t="str">
        <x:v>FY25-26</x:v>
      </x:c>
      <x:c r="C425" t="str">
        <x:v>2025/07/01</x:v>
      </x:c>
      <x:c r="D425" t="str">
        <x:v>1370</x:v>
      </x:c>
      <x:c r="E425" t="str">
        <x:v>Special Assistant 11</x:v>
      </x:c>
      <x:c r="F425" t="str">
        <x:v>021</x:v>
      </x:c>
      <x:c r="G425" t="str">
        <x:v>SFMTA</x:v>
      </x:c>
      <x:c r="H425" t="str">
        <x:v>1370B</x:v>
      </x:c>
      <x:c r="I425" t="str">
        <x:v>$4,710</x:v>
      </x:c>
      <x:c r="J425" t="str"/>
      <x:c r="K425" t="str"/>
      <x:c r="L425" t="str">
        <x:v>$58.8750</x:v>
      </x:c>
      <x:c r="M425" t="str">
        <x:v>$61.8125</x:v>
      </x:c>
      <x:c r="N425" t="str">
        <x:v>$64.9000</x:v>
      </x:c>
      <x:c r="O425" t="str">
        <x:v>$68.1625</x:v>
      </x:c>
      <x:c r="P425" t="str">
        <x:v>$71.5750</x:v>
      </x:c>
      <x:c r="Q425" t="str"/>
      <x:c r="R425" t="str"/>
      <x:c r="S425" t="str"/>
      <x:c r="T425" t="str"/>
      <x:c r="U425" t="str"/>
      <x:c r="V425" t="str"/>
      <x:c r="W425" t="str"/>
      <x:c r="X425" t="str"/>
      <x:c r="Y425" t="str"/>
      <x:c r="Z425" t="str"/>
      <x:c r="AA425" t="str"/>
      <x:c r="AB425" t="str"/>
      <x:c r="AC425" t="str"/>
      <x:c r="AD425" t="str"/>
      <x:c r="AE425" t="str"/>
      <x:c r="AF425" t="str">
        <x:f>D425&amp;"|"&amp;UPPER(G425)&amp;"|"&amp;SUBSTITUTE(C425,"/","-")</x:f>
        <x:v>1370|SFMTA|2025-07-01</x:v>
      </x:c>
    </x:row>
    <x:row r="426">
      <x:c r="A426" s="22" t="n">
        <x:v>33269</x:v>
      </x:c>
      <x:c r="B426" t="str">
        <x:v>FY25-26</x:v>
      </x:c>
      <x:c r="C426" t="str">
        <x:v>2026/01/03</x:v>
      </x:c>
      <x:c r="D426" t="str">
        <x:v>1370</x:v>
      </x:c>
      <x:c r="E426" t="str">
        <x:v>Special Assistant 11</x:v>
      </x:c>
      <x:c r="F426" t="str">
        <x:v>021</x:v>
      </x:c>
      <x:c r="G426" t="str">
        <x:v>COMMN</x:v>
      </x:c>
      <x:c r="H426" t="str">
        <x:v>1370C</x:v>
      </x:c>
      <x:c r="I426" t="str">
        <x:v>$4,781</x:v>
      </x:c>
      <x:c r="J426" t="str"/>
      <x:c r="K426" t="str"/>
      <x:c r="L426" t="str">
        <x:v>$59.7625</x:v>
      </x:c>
      <x:c r="M426" t="str">
        <x:v>$62.7375</x:v>
      </x:c>
      <x:c r="N426" t="str">
        <x:v>$65.8750</x:v>
      </x:c>
      <x:c r="O426" t="str">
        <x:v>$69.1875</x:v>
      </x:c>
      <x:c r="P426" t="str">
        <x:v>$72.6500</x:v>
      </x:c>
      <x:c r="Q426" t="str"/>
      <x:c r="R426" t="str"/>
      <x:c r="S426" t="str"/>
      <x:c r="T426" t="str"/>
      <x:c r="U426" t="str"/>
      <x:c r="V426" t="str"/>
      <x:c r="W426" t="str"/>
      <x:c r="X426" t="str"/>
      <x:c r="Y426" t="str"/>
      <x:c r="Z426" t="str"/>
      <x:c r="AA426" t="str"/>
      <x:c r="AB426" t="str"/>
      <x:c r="AC426" t="str"/>
      <x:c r="AD426" t="str"/>
      <x:c r="AE426" t="str"/>
      <x:c r="AF426" t="str">
        <x:f>D426&amp;"|"&amp;UPPER(G426)&amp;"|"&amp;SUBSTITUTE(C426,"/","-")</x:f>
        <x:v>1370|COMMN|2026-01-03</x:v>
      </x:c>
    </x:row>
    <x:row r="427">
      <x:c r="A427" s="22" t="n">
        <x:v>33270</x:v>
      </x:c>
      <x:c r="B427" t="str">
        <x:v>FY25-26</x:v>
      </x:c>
      <x:c r="C427" t="str">
        <x:v>2026/01/03</x:v>
      </x:c>
      <x:c r="D427" t="str">
        <x:v>1370</x:v>
      </x:c>
      <x:c r="E427" t="str">
        <x:v>Special Assistant 11</x:v>
      </x:c>
      <x:c r="F427" t="str">
        <x:v>021</x:v>
      </x:c>
      <x:c r="G427" t="str">
        <x:v>SFMTA</x:v>
      </x:c>
      <x:c r="H427" t="str">
        <x:v>1370C</x:v>
      </x:c>
      <x:c r="I427" t="str">
        <x:v>$4,781</x:v>
      </x:c>
      <x:c r="J427" t="str"/>
      <x:c r="K427" t="str"/>
      <x:c r="L427" t="str">
        <x:v>$59.7625</x:v>
      </x:c>
      <x:c r="M427" t="str">
        <x:v>$62.7375</x:v>
      </x:c>
      <x:c r="N427" t="str">
        <x:v>$65.8750</x:v>
      </x:c>
      <x:c r="O427" t="str">
        <x:v>$69.1875</x:v>
      </x:c>
      <x:c r="P427" t="str">
        <x:v>$72.6500</x:v>
      </x:c>
      <x:c r="Q427" t="str"/>
      <x:c r="R427" t="str"/>
      <x:c r="S427" t="str"/>
      <x:c r="T427" t="str"/>
      <x:c r="U427" t="str"/>
      <x:c r="V427" t="str"/>
      <x:c r="W427" t="str"/>
      <x:c r="X427" t="str"/>
      <x:c r="Y427" t="str"/>
      <x:c r="Z427" t="str"/>
      <x:c r="AA427" t="str"/>
      <x:c r="AB427" t="str"/>
      <x:c r="AC427" t="str"/>
      <x:c r="AD427" t="str"/>
      <x:c r="AE427" t="str"/>
      <x:c r="AF427" t="str">
        <x:f>D427&amp;"|"&amp;UPPER(G427)&amp;"|"&amp;SUBSTITUTE(C427,"/","-")</x:f>
        <x:v>1370|SFMTA|2026-01-03</x:v>
      </x:c>
    </x:row>
    <x:row r="428">
      <x:c r="A428" s="22" t="n">
        <x:v>26429</x:v>
      </x:c>
      <x:c r="B428" t="str">
        <x:v>FY23-24</x:v>
      </x:c>
      <x:c r="C428" t="str">
        <x:v>2024/01/06</x:v>
      </x:c>
      <x:c r="D428" t="str">
        <x:v>1371</x:v>
      </x:c>
      <x:c r="E428" t="str">
        <x:v>Special Assistant XII</x:v>
      </x:c>
      <x:c r="F428" t="str">
        <x:v>021</x:v>
      </x:c>
      <x:c r="G428" t="str">
        <x:v>COMMN</x:v>
      </x:c>
      <x:c r="H428" t="str">
        <x:v>1371Y</x:v>
      </x:c>
      <x:c r="I428" t="str">
        <x:v>$4,821</x:v>
      </x:c>
      <x:c r="J428" t="str"/>
      <x:c r="K428" t="str"/>
      <x:c r="L428" t="str">
        <x:v>$60.2625</x:v>
      </x:c>
      <x:c r="M428" t="str">
        <x:v>$63.2750</x:v>
      </x:c>
      <x:c r="N428" t="str">
        <x:v>$66.4625</x:v>
      </x:c>
      <x:c r="O428" t="str">
        <x:v>$69.7625</x:v>
      </x:c>
      <x:c r="P428" t="str">
        <x:v>$73.2625</x:v>
      </x:c>
      <x:c r="Q428" t="str"/>
      <x:c r="R428" t="str"/>
      <x:c r="S428" t="str"/>
      <x:c r="T428" t="str"/>
      <x:c r="U428" t="str"/>
      <x:c r="V428" t="str"/>
      <x:c r="W428" t="str"/>
      <x:c r="X428" t="str"/>
      <x:c r="Y428" t="str"/>
      <x:c r="Z428" t="str"/>
      <x:c r="AA428" t="str"/>
      <x:c r="AB428" t="str"/>
      <x:c r="AC428" t="str"/>
      <x:c r="AD428" t="str"/>
      <x:c r="AE428" t="str"/>
      <x:c r="AF428" t="str">
        <x:f>D428&amp;"|"&amp;UPPER(G428)&amp;"|"&amp;SUBSTITUTE(C428,"/","-")</x:f>
        <x:v>1371|COMMN|2024-01-06</x:v>
      </x:c>
    </x:row>
    <x:row r="429">
      <x:c r="A429" s="22" t="n">
        <x:v>26430</x:v>
      </x:c>
      <x:c r="B429" t="str">
        <x:v>FY23-24</x:v>
      </x:c>
      <x:c r="C429" t="str">
        <x:v>2024/01/06</x:v>
      </x:c>
      <x:c r="D429" t="str">
        <x:v>1371</x:v>
      </x:c>
      <x:c r="E429" t="str">
        <x:v>Special Assistant XII</x:v>
      </x:c>
      <x:c r="F429" t="str">
        <x:v>021</x:v>
      </x:c>
      <x:c r="G429" t="str">
        <x:v>SFMTA</x:v>
      </x:c>
      <x:c r="H429" t="str">
        <x:v>1371Y</x:v>
      </x:c>
      <x:c r="I429" t="str">
        <x:v>$4,821</x:v>
      </x:c>
      <x:c r="J429" t="str"/>
      <x:c r="K429" t="str"/>
      <x:c r="L429" t="str">
        <x:v>$60.2625</x:v>
      </x:c>
      <x:c r="M429" t="str">
        <x:v>$63.2750</x:v>
      </x:c>
      <x:c r="N429" t="str">
        <x:v>$66.4625</x:v>
      </x:c>
      <x:c r="O429" t="str">
        <x:v>$69.7625</x:v>
      </x:c>
      <x:c r="P429" t="str">
        <x:v>$73.2625</x:v>
      </x:c>
      <x:c r="Q429" t="str"/>
      <x:c r="R429" t="str"/>
      <x:c r="S429" t="str"/>
      <x:c r="T429" t="str"/>
      <x:c r="U429" t="str"/>
      <x:c r="V429" t="str"/>
      <x:c r="W429" t="str"/>
      <x:c r="X429" t="str"/>
      <x:c r="Y429" t="str"/>
      <x:c r="Z429" t="str"/>
      <x:c r="AA429" t="str"/>
      <x:c r="AB429" t="str"/>
      <x:c r="AC429" t="str"/>
      <x:c r="AD429" t="str"/>
      <x:c r="AE429" t="str"/>
      <x:c r="AF429" t="str">
        <x:f>D429&amp;"|"&amp;UPPER(G429)&amp;"|"&amp;SUBSTITUTE(C429,"/","-")</x:f>
        <x:v>1371|SFMTA|2024-01-06</x:v>
      </x:c>
    </x:row>
    <x:row r="430">
      <x:c r="A430" s="22" t="n">
        <x:v>28167</x:v>
      </x:c>
      <x:c r="B430" t="str">
        <x:v>FY24-25</x:v>
      </x:c>
      <x:c r="C430" t="str">
        <x:v>2024/07/01</x:v>
      </x:c>
      <x:c r="D430" t="str">
        <x:v>1371</x:v>
      </x:c>
      <x:c r="E430" t="str">
        <x:v>Special Assistant XII</x:v>
      </x:c>
      <x:c r="F430" t="str">
        <x:v>021</x:v>
      </x:c>
      <x:c r="G430" t="str">
        <x:v>COMMN</x:v>
      </x:c>
      <x:c r="H430" t="str">
        <x:v>1371Z</x:v>
      </x:c>
      <x:c r="I430" t="str">
        <x:v>$4,893</x:v>
      </x:c>
      <x:c r="J430" t="str"/>
      <x:c r="K430" t="str"/>
      <x:c r="L430" t="str">
        <x:v>$61.1625</x:v>
      </x:c>
      <x:c r="M430" t="str">
        <x:v>$64.2250</x:v>
      </x:c>
      <x:c r="N430" t="str">
        <x:v>$67.4625</x:v>
      </x:c>
      <x:c r="O430" t="str">
        <x:v>$70.8125</x:v>
      </x:c>
      <x:c r="P430" t="str">
        <x:v>$74.3625</x:v>
      </x:c>
      <x:c r="Q430" t="str"/>
      <x:c r="R430" t="str"/>
      <x:c r="S430" t="str"/>
      <x:c r="T430" t="str"/>
      <x:c r="U430" t="str"/>
      <x:c r="V430" t="str"/>
      <x:c r="W430" t="str"/>
      <x:c r="X430" t="str"/>
      <x:c r="Y430" t="str"/>
      <x:c r="Z430" t="str"/>
      <x:c r="AA430" t="str"/>
      <x:c r="AB430" t="str"/>
      <x:c r="AC430" t="str"/>
      <x:c r="AD430" t="str"/>
      <x:c r="AE430" t="str"/>
      <x:c r="AF430" t="str">
        <x:f>D430&amp;"|"&amp;UPPER(G430)&amp;"|"&amp;SUBSTITUTE(C430,"/","-")</x:f>
        <x:v>1371|COMMN|2024-07-01</x:v>
      </x:c>
    </x:row>
    <x:row r="431">
      <x:c r="A431" s="22" t="n">
        <x:v>28168</x:v>
      </x:c>
      <x:c r="B431" t="str">
        <x:v>FY24-25</x:v>
      </x:c>
      <x:c r="C431" t="str">
        <x:v>2024/07/01</x:v>
      </x:c>
      <x:c r="D431" t="str">
        <x:v>1371</x:v>
      </x:c>
      <x:c r="E431" t="str">
        <x:v>Special Assistant XII</x:v>
      </x:c>
      <x:c r="F431" t="str">
        <x:v>021</x:v>
      </x:c>
      <x:c r="G431" t="str">
        <x:v>SFMTA</x:v>
      </x:c>
      <x:c r="H431" t="str">
        <x:v>1371Z</x:v>
      </x:c>
      <x:c r="I431" t="str">
        <x:v>$4,893</x:v>
      </x:c>
      <x:c r="J431" t="str"/>
      <x:c r="K431" t="str"/>
      <x:c r="L431" t="str">
        <x:v>$61.1625</x:v>
      </x:c>
      <x:c r="M431" t="str">
        <x:v>$64.2250</x:v>
      </x:c>
      <x:c r="N431" t="str">
        <x:v>$67.4625</x:v>
      </x:c>
      <x:c r="O431" t="str">
        <x:v>$70.8125</x:v>
      </x:c>
      <x:c r="P431" t="str">
        <x:v>$74.3625</x:v>
      </x:c>
      <x:c r="Q431" t="str"/>
      <x:c r="R431" t="str"/>
      <x:c r="S431" t="str"/>
      <x:c r="T431" t="str"/>
      <x:c r="U431" t="str"/>
      <x:c r="V431" t="str"/>
      <x:c r="W431" t="str"/>
      <x:c r="X431" t="str"/>
      <x:c r="Y431" t="str"/>
      <x:c r="Z431" t="str"/>
      <x:c r="AA431" t="str"/>
      <x:c r="AB431" t="str"/>
      <x:c r="AC431" t="str"/>
      <x:c r="AD431" t="str"/>
      <x:c r="AE431" t="str"/>
      <x:c r="AF431" t="str">
        <x:f>D431&amp;"|"&amp;UPPER(G431)&amp;"|"&amp;SUBSTITUTE(C431,"/","-")</x:f>
        <x:v>1371|SFMTA|2024-07-01</x:v>
      </x:c>
    </x:row>
    <x:row r="432">
      <x:c r="A432" s="22" t="n">
        <x:v>29873</x:v>
      </x:c>
      <x:c r="B432" t="str">
        <x:v>FY24-25</x:v>
      </x:c>
      <x:c r="C432" t="str">
        <x:v>2025/01/04</x:v>
      </x:c>
      <x:c r="D432" t="str">
        <x:v>1371</x:v>
      </x:c>
      <x:c r="E432" t="str">
        <x:v>Special Assistant XII</x:v>
      </x:c>
      <x:c r="F432" t="str">
        <x:v>021</x:v>
      </x:c>
      <x:c r="G432" t="str">
        <x:v>COMMN</x:v>
      </x:c>
      <x:c r="H432" t="str">
        <x:v>1371A</x:v>
      </x:c>
      <x:c r="I432" t="str">
        <x:v>$4,966</x:v>
      </x:c>
      <x:c r="J432" t="str"/>
      <x:c r="K432" t="str"/>
      <x:c r="L432" t="str">
        <x:v>$62.0750</x:v>
      </x:c>
      <x:c r="M432" t="str">
        <x:v>$65.1875</x:v>
      </x:c>
      <x:c r="N432" t="str">
        <x:v>$68.4750</x:v>
      </x:c>
      <x:c r="O432" t="str">
        <x:v>$71.8750</x:v>
      </x:c>
      <x:c r="P432" t="str">
        <x:v>$75.4750</x:v>
      </x:c>
      <x:c r="Q432" t="str"/>
      <x:c r="R432" t="str"/>
      <x:c r="S432" t="str"/>
      <x:c r="T432" t="str"/>
      <x:c r="U432" t="str"/>
      <x:c r="V432" t="str"/>
      <x:c r="W432" t="str"/>
      <x:c r="X432" t="str"/>
      <x:c r="Y432" t="str"/>
      <x:c r="Z432" t="str"/>
      <x:c r="AA432" t="str"/>
      <x:c r="AB432" t="str"/>
      <x:c r="AC432" t="str"/>
      <x:c r="AD432" t="str"/>
      <x:c r="AE432" t="str"/>
      <x:c r="AF432" t="str">
        <x:f>D432&amp;"|"&amp;UPPER(G432)&amp;"|"&amp;SUBSTITUTE(C432,"/","-")</x:f>
        <x:v>1371|COMMN|2025-01-04</x:v>
      </x:c>
    </x:row>
    <x:row r="433">
      <x:c r="A433" s="22" t="n">
        <x:v>29874</x:v>
      </x:c>
      <x:c r="B433" t="str">
        <x:v>FY24-25</x:v>
      </x:c>
      <x:c r="C433" t="str">
        <x:v>2025/01/04</x:v>
      </x:c>
      <x:c r="D433" t="str">
        <x:v>1371</x:v>
      </x:c>
      <x:c r="E433" t="str">
        <x:v>Special Assistant XII</x:v>
      </x:c>
      <x:c r="F433" t="str">
        <x:v>021</x:v>
      </x:c>
      <x:c r="G433" t="str">
        <x:v>SFMTA</x:v>
      </x:c>
      <x:c r="H433" t="str">
        <x:v>1371A</x:v>
      </x:c>
      <x:c r="I433" t="str">
        <x:v>$4,966</x:v>
      </x:c>
      <x:c r="J433" t="str"/>
      <x:c r="K433" t="str"/>
      <x:c r="L433" t="str">
        <x:v>$62.0750</x:v>
      </x:c>
      <x:c r="M433" t="str">
        <x:v>$65.1875</x:v>
      </x:c>
      <x:c r="N433" t="str">
        <x:v>$68.4750</x:v>
      </x:c>
      <x:c r="O433" t="str">
        <x:v>$71.8750</x:v>
      </x:c>
      <x:c r="P433" t="str">
        <x:v>$75.4750</x:v>
      </x:c>
      <x:c r="Q433" t="str"/>
      <x:c r="R433" t="str"/>
      <x:c r="S433" t="str"/>
      <x:c r="T433" t="str"/>
      <x:c r="U433" t="str"/>
      <x:c r="V433" t="str"/>
      <x:c r="W433" t="str"/>
      <x:c r="X433" t="str"/>
      <x:c r="Y433" t="str"/>
      <x:c r="Z433" t="str"/>
      <x:c r="AA433" t="str"/>
      <x:c r="AB433" t="str"/>
      <x:c r="AC433" t="str"/>
      <x:c r="AD433" t="str"/>
      <x:c r="AE433" t="str"/>
      <x:c r="AF433" t="str">
        <x:f>D433&amp;"|"&amp;UPPER(G433)&amp;"|"&amp;SUBSTITUTE(C433,"/","-")</x:f>
        <x:v>1371|SFMTA|2025-01-04</x:v>
      </x:c>
    </x:row>
    <x:row r="434">
      <x:c r="A434" s="22" t="n">
        <x:v>31586</x:v>
      </x:c>
      <x:c r="B434" t="str">
        <x:v>FY25-26</x:v>
      </x:c>
      <x:c r="C434" t="str">
        <x:v>2025/07/01</x:v>
      </x:c>
      <x:c r="D434" t="str">
        <x:v>1371</x:v>
      </x:c>
      <x:c r="E434" t="str">
        <x:v>Special Assistant 12</x:v>
      </x:c>
      <x:c r="F434" t="str">
        <x:v>021</x:v>
      </x:c>
      <x:c r="G434" t="str">
        <x:v>COMMN</x:v>
      </x:c>
      <x:c r="H434" t="str">
        <x:v>1371B</x:v>
      </x:c>
      <x:c r="I434" t="str">
        <x:v>$5,066</x:v>
      </x:c>
      <x:c r="J434" t="str"/>
      <x:c r="K434" t="str"/>
      <x:c r="L434" t="str">
        <x:v>$63.3250</x:v>
      </x:c>
      <x:c r="M434" t="str">
        <x:v>$66.5000</x:v>
      </x:c>
      <x:c r="N434" t="str">
        <x:v>$69.8500</x:v>
      </x:c>
      <x:c r="O434" t="str">
        <x:v>$73.3250</x:v>
      </x:c>
      <x:c r="P434" t="str">
        <x:v>$76.9875</x:v>
      </x:c>
      <x:c r="Q434" t="str"/>
      <x:c r="R434" t="str"/>
      <x:c r="S434" t="str"/>
      <x:c r="T434" t="str"/>
      <x:c r="U434" t="str"/>
      <x:c r="V434" t="str"/>
      <x:c r="W434" t="str"/>
      <x:c r="X434" t="str"/>
      <x:c r="Y434" t="str"/>
      <x:c r="Z434" t="str"/>
      <x:c r="AA434" t="str"/>
      <x:c r="AB434" t="str"/>
      <x:c r="AC434" t="str"/>
      <x:c r="AD434" t="str"/>
      <x:c r="AE434" t="str"/>
      <x:c r="AF434" t="str">
        <x:f>D434&amp;"|"&amp;UPPER(G434)&amp;"|"&amp;SUBSTITUTE(C434,"/","-")</x:f>
        <x:v>1371|COMMN|2025-07-01</x:v>
      </x:c>
    </x:row>
    <x:row r="435">
      <x:c r="A435" s="22" t="n">
        <x:v>31587</x:v>
      </x:c>
      <x:c r="B435" t="str">
        <x:v>FY25-26</x:v>
      </x:c>
      <x:c r="C435" t="str">
        <x:v>2025/07/01</x:v>
      </x:c>
      <x:c r="D435" t="str">
        <x:v>1371</x:v>
      </x:c>
      <x:c r="E435" t="str">
        <x:v>Special Assistant 12</x:v>
      </x:c>
      <x:c r="F435" t="str">
        <x:v>021</x:v>
      </x:c>
      <x:c r="G435" t="str">
        <x:v>SFMTA</x:v>
      </x:c>
      <x:c r="H435" t="str">
        <x:v>1371B</x:v>
      </x:c>
      <x:c r="I435" t="str">
        <x:v>$5,066</x:v>
      </x:c>
      <x:c r="J435" t="str"/>
      <x:c r="K435" t="str"/>
      <x:c r="L435" t="str">
        <x:v>$63.3250</x:v>
      </x:c>
      <x:c r="M435" t="str">
        <x:v>$66.5000</x:v>
      </x:c>
      <x:c r="N435" t="str">
        <x:v>$69.8500</x:v>
      </x:c>
      <x:c r="O435" t="str">
        <x:v>$73.3250</x:v>
      </x:c>
      <x:c r="P435" t="str">
        <x:v>$76.9875</x:v>
      </x:c>
      <x:c r="Q435" t="str"/>
      <x:c r="R435" t="str"/>
      <x:c r="S435" t="str"/>
      <x:c r="T435" t="str"/>
      <x:c r="U435" t="str"/>
      <x:c r="V435" t="str"/>
      <x:c r="W435" t="str"/>
      <x:c r="X435" t="str"/>
      <x:c r="Y435" t="str"/>
      <x:c r="Z435" t="str"/>
      <x:c r="AA435" t="str"/>
      <x:c r="AB435" t="str"/>
      <x:c r="AC435" t="str"/>
      <x:c r="AD435" t="str"/>
      <x:c r="AE435" t="str"/>
      <x:c r="AF435" t="str">
        <x:f>D435&amp;"|"&amp;UPPER(G435)&amp;"|"&amp;SUBSTITUTE(C435,"/","-")</x:f>
        <x:v>1371|SFMTA|2025-07-01</x:v>
      </x:c>
    </x:row>
    <x:row r="436">
      <x:c r="A436" s="22" t="n">
        <x:v>33271</x:v>
      </x:c>
      <x:c r="B436" t="str">
        <x:v>FY25-26</x:v>
      </x:c>
      <x:c r="C436" t="str">
        <x:v>2026/01/03</x:v>
      </x:c>
      <x:c r="D436" t="str">
        <x:v>1371</x:v>
      </x:c>
      <x:c r="E436" t="str">
        <x:v>Special Assistant 12</x:v>
      </x:c>
      <x:c r="F436" t="str">
        <x:v>021</x:v>
      </x:c>
      <x:c r="G436" t="str">
        <x:v>COMMN</x:v>
      </x:c>
      <x:c r="H436" t="str">
        <x:v>1371C</x:v>
      </x:c>
      <x:c r="I436" t="str">
        <x:v>$5,142</x:v>
      </x:c>
      <x:c r="J436" t="str"/>
      <x:c r="K436" t="str"/>
      <x:c r="L436" t="str">
        <x:v>$64.2750</x:v>
      </x:c>
      <x:c r="M436" t="str">
        <x:v>$67.5000</x:v>
      </x:c>
      <x:c r="N436" t="str">
        <x:v>$70.9000</x:v>
      </x:c>
      <x:c r="O436" t="str">
        <x:v>$74.4250</x:v>
      </x:c>
      <x:c r="P436" t="str">
        <x:v>$78.1375</x:v>
      </x:c>
      <x:c r="Q436" t="str"/>
      <x:c r="R436" t="str"/>
      <x:c r="S436" t="str"/>
      <x:c r="T436" t="str"/>
      <x:c r="U436" t="str"/>
      <x:c r="V436" t="str"/>
      <x:c r="W436" t="str"/>
      <x:c r="X436" t="str"/>
      <x:c r="Y436" t="str"/>
      <x:c r="Z436" t="str"/>
      <x:c r="AA436" t="str"/>
      <x:c r="AB436" t="str"/>
      <x:c r="AC436" t="str"/>
      <x:c r="AD436" t="str"/>
      <x:c r="AE436" t="str"/>
      <x:c r="AF436" t="str">
        <x:f>D436&amp;"|"&amp;UPPER(G436)&amp;"|"&amp;SUBSTITUTE(C436,"/","-")</x:f>
        <x:v>1371|COMMN|2026-01-03</x:v>
      </x:c>
    </x:row>
    <x:row r="437">
      <x:c r="A437" s="22" t="n">
        <x:v>33272</x:v>
      </x:c>
      <x:c r="B437" t="str">
        <x:v>FY25-26</x:v>
      </x:c>
      <x:c r="C437" t="str">
        <x:v>2026/01/03</x:v>
      </x:c>
      <x:c r="D437" t="str">
        <x:v>1371</x:v>
      </x:c>
      <x:c r="E437" t="str">
        <x:v>Special Assistant 12</x:v>
      </x:c>
      <x:c r="F437" t="str">
        <x:v>021</x:v>
      </x:c>
      <x:c r="G437" t="str">
        <x:v>SFMTA</x:v>
      </x:c>
      <x:c r="H437" t="str">
        <x:v>1371C</x:v>
      </x:c>
      <x:c r="I437" t="str">
        <x:v>$5,142</x:v>
      </x:c>
      <x:c r="J437" t="str"/>
      <x:c r="K437" t="str"/>
      <x:c r="L437" t="str">
        <x:v>$64.2750</x:v>
      </x:c>
      <x:c r="M437" t="str">
        <x:v>$67.5000</x:v>
      </x:c>
      <x:c r="N437" t="str">
        <x:v>$70.9000</x:v>
      </x:c>
      <x:c r="O437" t="str">
        <x:v>$74.4250</x:v>
      </x:c>
      <x:c r="P437" t="str">
        <x:v>$78.1375</x:v>
      </x:c>
      <x:c r="Q437" t="str"/>
      <x:c r="R437" t="str"/>
      <x:c r="S437" t="str"/>
      <x:c r="T437" t="str"/>
      <x:c r="U437" t="str"/>
      <x:c r="V437" t="str"/>
      <x:c r="W437" t="str"/>
      <x:c r="X437" t="str"/>
      <x:c r="Y437" t="str"/>
      <x:c r="Z437" t="str"/>
      <x:c r="AA437" t="str"/>
      <x:c r="AB437" t="str"/>
      <x:c r="AC437" t="str"/>
      <x:c r="AD437" t="str"/>
      <x:c r="AE437" t="str"/>
      <x:c r="AF437" t="str">
        <x:f>D437&amp;"|"&amp;UPPER(G437)&amp;"|"&amp;SUBSTITUTE(C437,"/","-")</x:f>
        <x:v>1371|SFMTA|2026-01-03</x:v>
      </x:c>
    </x:row>
    <x:row r="438">
      <x:c r="A438" s="22" t="n">
        <x:v>26431</x:v>
      </x:c>
      <x:c r="B438" t="str">
        <x:v>FY23-24</x:v>
      </x:c>
      <x:c r="C438" t="str">
        <x:v>2024/01/06</x:v>
      </x:c>
      <x:c r="D438" t="str">
        <x:v>1372</x:v>
      </x:c>
      <x:c r="E438" t="str">
        <x:v>Special Assistant XIII</x:v>
      </x:c>
      <x:c r="F438" t="str">
        <x:v>351</x:v>
      </x:c>
      <x:c r="G438" t="str">
        <x:v>COMMN</x:v>
      </x:c>
      <x:c r="H438" t="str">
        <x:v>1372Y</x:v>
      </x:c>
      <x:c r="I438" t="str">
        <x:v>$5,162</x:v>
      </x:c>
      <x:c r="J438" t="str"/>
      <x:c r="K438" t="str"/>
      <x:c r="L438" t="str">
        <x:v>$64.5250</x:v>
      </x:c>
      <x:c r="M438" t="str">
        <x:v>$67.7375</x:v>
      </x:c>
      <x:c r="N438" t="str">
        <x:v>$71.1375</x:v>
      </x:c>
      <x:c r="O438" t="str">
        <x:v>$74.7125</x:v>
      </x:c>
      <x:c r="P438" t="str">
        <x:v>$78.4375</x:v>
      </x:c>
      <x:c r="Q438" t="str"/>
      <x:c r="R438" t="str"/>
      <x:c r="S438" t="str"/>
      <x:c r="T438" t="str"/>
      <x:c r="U438" t="str"/>
      <x:c r="V438" t="str"/>
      <x:c r="W438" t="str"/>
      <x:c r="X438" t="str"/>
      <x:c r="Y438" t="str"/>
      <x:c r="Z438" t="str"/>
      <x:c r="AA438" t="str"/>
      <x:c r="AB438" t="str"/>
      <x:c r="AC438" t="str"/>
      <x:c r="AD438" t="str"/>
      <x:c r="AE438" t="str"/>
      <x:c r="AF438" t="str">
        <x:f>D438&amp;"|"&amp;UPPER(G438)&amp;"|"&amp;SUBSTITUTE(C438,"/","-")</x:f>
        <x:v>1372|COMMN|2024-01-06</x:v>
      </x:c>
    </x:row>
    <x:row r="439">
      <x:c r="A439" s="22" t="n">
        <x:v>26432</x:v>
      </x:c>
      <x:c r="B439" t="str">
        <x:v>FY23-24</x:v>
      </x:c>
      <x:c r="C439" t="str">
        <x:v>2024/01/06</x:v>
      </x:c>
      <x:c r="D439" t="str">
        <x:v>1372</x:v>
      </x:c>
      <x:c r="E439" t="str">
        <x:v>Special Assistant XIII</x:v>
      </x:c>
      <x:c r="F439" t="str">
        <x:v>351</x:v>
      </x:c>
      <x:c r="G439" t="str">
        <x:v>SFMTA</x:v>
      </x:c>
      <x:c r="H439" t="str">
        <x:v>1372Y</x:v>
      </x:c>
      <x:c r="I439" t="str">
        <x:v>$5,162</x:v>
      </x:c>
      <x:c r="J439" t="str"/>
      <x:c r="K439" t="str"/>
      <x:c r="L439" t="str">
        <x:v>$64.5250</x:v>
      </x:c>
      <x:c r="M439" t="str">
        <x:v>$67.7375</x:v>
      </x:c>
      <x:c r="N439" t="str">
        <x:v>$71.1375</x:v>
      </x:c>
      <x:c r="O439" t="str">
        <x:v>$74.7125</x:v>
      </x:c>
      <x:c r="P439" t="str">
        <x:v>$78.4375</x:v>
      </x:c>
      <x:c r="Q439" t="str"/>
      <x:c r="R439" t="str"/>
      <x:c r="S439" t="str"/>
      <x:c r="T439" t="str"/>
      <x:c r="U439" t="str"/>
      <x:c r="V439" t="str"/>
      <x:c r="W439" t="str"/>
      <x:c r="X439" t="str"/>
      <x:c r="Y439" t="str"/>
      <x:c r="Z439" t="str"/>
      <x:c r="AA439" t="str"/>
      <x:c r="AB439" t="str"/>
      <x:c r="AC439" t="str"/>
      <x:c r="AD439" t="str"/>
      <x:c r="AE439" t="str"/>
      <x:c r="AF439" t="str">
        <x:f>D439&amp;"|"&amp;UPPER(G439)&amp;"|"&amp;SUBSTITUTE(C439,"/","-")</x:f>
        <x:v>1372|SFMTA|2024-01-06</x:v>
      </x:c>
    </x:row>
    <x:row r="440">
      <x:c r="A440" s="22" t="n">
        <x:v>28169</x:v>
      </x:c>
      <x:c r="B440" t="str">
        <x:v>FY24-25</x:v>
      </x:c>
      <x:c r="C440" t="str">
        <x:v>2024/07/01</x:v>
      </x:c>
      <x:c r="D440" t="str">
        <x:v>1372</x:v>
      </x:c>
      <x:c r="E440" t="str">
        <x:v>Special Assistant XIII</x:v>
      </x:c>
      <x:c r="F440" t="str">
        <x:v>351</x:v>
      </x:c>
      <x:c r="G440" t="str">
        <x:v>COMMN</x:v>
      </x:c>
      <x:c r="H440" t="str">
        <x:v>1372Z</x:v>
      </x:c>
      <x:c r="I440" t="str">
        <x:v>$5,239</x:v>
      </x:c>
      <x:c r="J440" t="str"/>
      <x:c r="K440" t="str"/>
      <x:c r="L440" t="str">
        <x:v>$65.4875</x:v>
      </x:c>
      <x:c r="M440" t="str">
        <x:v>$68.7500</x:v>
      </x:c>
      <x:c r="N440" t="str">
        <x:v>$72.2000</x:v>
      </x:c>
      <x:c r="O440" t="str">
        <x:v>$75.8375</x:v>
      </x:c>
      <x:c r="P440" t="str">
        <x:v>$79.6125</x:v>
      </x:c>
      <x:c r="Q440" t="str"/>
      <x:c r="R440" t="str"/>
      <x:c r="S440" t="str"/>
      <x:c r="T440" t="str"/>
      <x:c r="U440" t="str"/>
      <x:c r="V440" t="str"/>
      <x:c r="W440" t="str"/>
      <x:c r="X440" t="str"/>
      <x:c r="Y440" t="str"/>
      <x:c r="Z440" t="str"/>
      <x:c r="AA440" t="str"/>
      <x:c r="AB440" t="str"/>
      <x:c r="AC440" t="str"/>
      <x:c r="AD440" t="str"/>
      <x:c r="AE440" t="str"/>
      <x:c r="AF440" t="str">
        <x:f>D440&amp;"|"&amp;UPPER(G440)&amp;"|"&amp;SUBSTITUTE(C440,"/","-")</x:f>
        <x:v>1372|COMMN|2024-07-01</x:v>
      </x:c>
    </x:row>
    <x:row r="441">
      <x:c r="A441" s="22" t="n">
        <x:v>28170</x:v>
      </x:c>
      <x:c r="B441" t="str">
        <x:v>FY24-25</x:v>
      </x:c>
      <x:c r="C441" t="str">
        <x:v>2024/07/01</x:v>
      </x:c>
      <x:c r="D441" t="str">
        <x:v>1372</x:v>
      </x:c>
      <x:c r="E441" t="str">
        <x:v>Special Assistant XIII</x:v>
      </x:c>
      <x:c r="F441" t="str">
        <x:v>351</x:v>
      </x:c>
      <x:c r="G441" t="str">
        <x:v>SFMTA</x:v>
      </x:c>
      <x:c r="H441" t="str">
        <x:v>1372Z</x:v>
      </x:c>
      <x:c r="I441" t="str">
        <x:v>$5,239</x:v>
      </x:c>
      <x:c r="J441" t="str"/>
      <x:c r="K441" t="str"/>
      <x:c r="L441" t="str">
        <x:v>$65.4875</x:v>
      </x:c>
      <x:c r="M441" t="str">
        <x:v>$68.7500</x:v>
      </x:c>
      <x:c r="N441" t="str">
        <x:v>$72.2000</x:v>
      </x:c>
      <x:c r="O441" t="str">
        <x:v>$75.8375</x:v>
      </x:c>
      <x:c r="P441" t="str">
        <x:v>$79.6125</x:v>
      </x:c>
      <x:c r="Q441" t="str"/>
      <x:c r="R441" t="str"/>
      <x:c r="S441" t="str"/>
      <x:c r="T441" t="str"/>
      <x:c r="U441" t="str"/>
      <x:c r="V441" t="str"/>
      <x:c r="W441" t="str"/>
      <x:c r="X441" t="str"/>
      <x:c r="Y441" t="str"/>
      <x:c r="Z441" t="str"/>
      <x:c r="AA441" t="str"/>
      <x:c r="AB441" t="str"/>
      <x:c r="AC441" t="str"/>
      <x:c r="AD441" t="str"/>
      <x:c r="AE441" t="str"/>
      <x:c r="AF441" t="str">
        <x:f>D441&amp;"|"&amp;UPPER(G441)&amp;"|"&amp;SUBSTITUTE(C441,"/","-")</x:f>
        <x:v>1372|SFMTA|2024-07-01</x:v>
      </x:c>
    </x:row>
    <x:row r="442">
      <x:c r="A442" s="22" t="n">
        <x:v>29875</x:v>
      </x:c>
      <x:c r="B442" t="str">
        <x:v>FY24-25</x:v>
      </x:c>
      <x:c r="C442" t="str">
        <x:v>2025/01/04</x:v>
      </x:c>
      <x:c r="D442" t="str">
        <x:v>1372</x:v>
      </x:c>
      <x:c r="E442" t="str">
        <x:v>Special Assistant XIII</x:v>
      </x:c>
      <x:c r="F442" t="str">
        <x:v>351</x:v>
      </x:c>
      <x:c r="G442" t="str">
        <x:v>COMMN</x:v>
      </x:c>
      <x:c r="H442" t="str">
        <x:v>1372A</x:v>
      </x:c>
      <x:c r="I442" t="str">
        <x:v>$5,318</x:v>
      </x:c>
      <x:c r="J442" t="str"/>
      <x:c r="K442" t="str"/>
      <x:c r="L442" t="str">
        <x:v>$66.4750</x:v>
      </x:c>
      <x:c r="M442" t="str">
        <x:v>$69.7875</x:v>
      </x:c>
      <x:c r="N442" t="str">
        <x:v>$73.2875</x:v>
      </x:c>
      <x:c r="O442" t="str">
        <x:v>$76.9750</x:v>
      </x:c>
      <x:c r="P442" t="str">
        <x:v>$80.8125</x:v>
      </x:c>
      <x:c r="Q442" t="str"/>
      <x:c r="R442" t="str"/>
      <x:c r="S442" t="str"/>
      <x:c r="T442" t="str"/>
      <x:c r="U442" t="str"/>
      <x:c r="V442" t="str"/>
      <x:c r="W442" t="str"/>
      <x:c r="X442" t="str"/>
      <x:c r="Y442" t="str"/>
      <x:c r="Z442" t="str"/>
      <x:c r="AA442" t="str"/>
      <x:c r="AB442" t="str"/>
      <x:c r="AC442" t="str"/>
      <x:c r="AD442" t="str"/>
      <x:c r="AE442" t="str"/>
      <x:c r="AF442" t="str">
        <x:f>D442&amp;"|"&amp;UPPER(G442)&amp;"|"&amp;SUBSTITUTE(C442,"/","-")</x:f>
        <x:v>1372|COMMN|2025-01-04</x:v>
      </x:c>
    </x:row>
    <x:row r="443">
      <x:c r="A443" s="22" t="n">
        <x:v>29876</x:v>
      </x:c>
      <x:c r="B443" t="str">
        <x:v>FY24-25</x:v>
      </x:c>
      <x:c r="C443" t="str">
        <x:v>2025/01/04</x:v>
      </x:c>
      <x:c r="D443" t="str">
        <x:v>1372</x:v>
      </x:c>
      <x:c r="E443" t="str">
        <x:v>Special Assistant XIII</x:v>
      </x:c>
      <x:c r="F443" t="str">
        <x:v>351</x:v>
      </x:c>
      <x:c r="G443" t="str">
        <x:v>SFMTA</x:v>
      </x:c>
      <x:c r="H443" t="str">
        <x:v>1372A</x:v>
      </x:c>
      <x:c r="I443" t="str">
        <x:v>$5,318</x:v>
      </x:c>
      <x:c r="J443" t="str"/>
      <x:c r="K443" t="str"/>
      <x:c r="L443" t="str">
        <x:v>$66.4750</x:v>
      </x:c>
      <x:c r="M443" t="str">
        <x:v>$69.7875</x:v>
      </x:c>
      <x:c r="N443" t="str">
        <x:v>$73.2875</x:v>
      </x:c>
      <x:c r="O443" t="str">
        <x:v>$76.9750</x:v>
      </x:c>
      <x:c r="P443" t="str">
        <x:v>$80.8125</x:v>
      </x:c>
      <x:c r="Q443" t="str"/>
      <x:c r="R443" t="str"/>
      <x:c r="S443" t="str"/>
      <x:c r="T443" t="str"/>
      <x:c r="U443" t="str"/>
      <x:c r="V443" t="str"/>
      <x:c r="W443" t="str"/>
      <x:c r="X443" t="str"/>
      <x:c r="Y443" t="str"/>
      <x:c r="Z443" t="str"/>
      <x:c r="AA443" t="str"/>
      <x:c r="AB443" t="str"/>
      <x:c r="AC443" t="str"/>
      <x:c r="AD443" t="str"/>
      <x:c r="AE443" t="str"/>
      <x:c r="AF443" t="str">
        <x:f>D443&amp;"|"&amp;UPPER(G443)&amp;"|"&amp;SUBSTITUTE(C443,"/","-")</x:f>
        <x:v>1372|SFMTA|2025-01-04</x:v>
      </x:c>
    </x:row>
    <x:row r="444">
      <x:c r="A444" s="22" t="n">
        <x:v>31588</x:v>
      </x:c>
      <x:c r="B444" t="str">
        <x:v>FY25-26</x:v>
      </x:c>
      <x:c r="C444" t="str">
        <x:v>2025/07/01</x:v>
      </x:c>
      <x:c r="D444" t="str">
        <x:v>1372</x:v>
      </x:c>
      <x:c r="E444" t="str">
        <x:v>Special Assistant 13</x:v>
      </x:c>
      <x:c r="F444" t="str">
        <x:v>351</x:v>
      </x:c>
      <x:c r="G444" t="str">
        <x:v>COMMN</x:v>
      </x:c>
      <x:c r="H444" t="str">
        <x:v>1372B</x:v>
      </x:c>
      <x:c r="I444" t="str">
        <x:v>$5,425</x:v>
      </x:c>
      <x:c r="J444" t="str"/>
      <x:c r="K444" t="str"/>
      <x:c r="L444" t="str">
        <x:v>$67.8125</x:v>
      </x:c>
      <x:c r="M444" t="str">
        <x:v>$71.1875</x:v>
      </x:c>
      <x:c r="N444" t="str">
        <x:v>$74.7625</x:v>
      </x:c>
      <x:c r="O444" t="str">
        <x:v>$78.5250</x:v>
      </x:c>
      <x:c r="P444" t="str">
        <x:v>$82.4375</x:v>
      </x:c>
      <x:c r="Q444" t="str"/>
      <x:c r="R444" t="str"/>
      <x:c r="S444" t="str"/>
      <x:c r="T444" t="str"/>
      <x:c r="U444" t="str"/>
      <x:c r="V444" t="str"/>
      <x:c r="W444" t="str"/>
      <x:c r="X444" t="str"/>
      <x:c r="Y444" t="str"/>
      <x:c r="Z444" t="str"/>
      <x:c r="AA444" t="str"/>
      <x:c r="AB444" t="str"/>
      <x:c r="AC444" t="str"/>
      <x:c r="AD444" t="str"/>
      <x:c r="AE444" t="str"/>
      <x:c r="AF444" t="str">
        <x:f>D444&amp;"|"&amp;UPPER(G444)&amp;"|"&amp;SUBSTITUTE(C444,"/","-")</x:f>
        <x:v>1372|COMMN|2025-07-01</x:v>
      </x:c>
    </x:row>
    <x:row r="445">
      <x:c r="A445" s="22" t="n">
        <x:v>31589</x:v>
      </x:c>
      <x:c r="B445" t="str">
        <x:v>FY25-26</x:v>
      </x:c>
      <x:c r="C445" t="str">
        <x:v>2025/07/01</x:v>
      </x:c>
      <x:c r="D445" t="str">
        <x:v>1372</x:v>
      </x:c>
      <x:c r="E445" t="str">
        <x:v>Special Assistant 13</x:v>
      </x:c>
      <x:c r="F445" t="str">
        <x:v>351</x:v>
      </x:c>
      <x:c r="G445" t="str">
        <x:v>SFMTA</x:v>
      </x:c>
      <x:c r="H445" t="str">
        <x:v>1372B</x:v>
      </x:c>
      <x:c r="I445" t="str">
        <x:v>$5,425</x:v>
      </x:c>
      <x:c r="J445" t="str"/>
      <x:c r="K445" t="str"/>
      <x:c r="L445" t="str">
        <x:v>$67.8125</x:v>
      </x:c>
      <x:c r="M445" t="str">
        <x:v>$71.1875</x:v>
      </x:c>
      <x:c r="N445" t="str">
        <x:v>$74.7625</x:v>
      </x:c>
      <x:c r="O445" t="str">
        <x:v>$78.5250</x:v>
      </x:c>
      <x:c r="P445" t="str">
        <x:v>$82.4375</x:v>
      </x:c>
      <x:c r="Q445" t="str"/>
      <x:c r="R445" t="str"/>
      <x:c r="S445" t="str"/>
      <x:c r="T445" t="str"/>
      <x:c r="U445" t="str"/>
      <x:c r="V445" t="str"/>
      <x:c r="W445" t="str"/>
      <x:c r="X445" t="str"/>
      <x:c r="Y445" t="str"/>
      <x:c r="Z445" t="str"/>
      <x:c r="AA445" t="str"/>
      <x:c r="AB445" t="str"/>
      <x:c r="AC445" t="str"/>
      <x:c r="AD445" t="str"/>
      <x:c r="AE445" t="str"/>
      <x:c r="AF445" t="str">
        <x:f>D445&amp;"|"&amp;UPPER(G445)&amp;"|"&amp;SUBSTITUTE(C445,"/","-")</x:f>
        <x:v>1372|SFMTA|2025-07-01</x:v>
      </x:c>
    </x:row>
    <x:row r="446">
      <x:c r="A446" s="22" t="n">
        <x:v>33273</x:v>
      </x:c>
      <x:c r="B446" t="str">
        <x:v>FY25-26</x:v>
      </x:c>
      <x:c r="C446" t="str">
        <x:v>2026/01/03</x:v>
      </x:c>
      <x:c r="D446" t="str">
        <x:v>1372</x:v>
      </x:c>
      <x:c r="E446" t="str">
        <x:v>Special Assistant 13</x:v>
      </x:c>
      <x:c r="F446" t="str">
        <x:v>351</x:v>
      </x:c>
      <x:c r="G446" t="str">
        <x:v>COMMN</x:v>
      </x:c>
      <x:c r="H446" t="str">
        <x:v>1372C</x:v>
      </x:c>
      <x:c r="I446" t="str">
        <x:v>$5,506</x:v>
      </x:c>
      <x:c r="J446" t="str"/>
      <x:c r="K446" t="str"/>
      <x:c r="L446" t="str">
        <x:v>$68.8250</x:v>
      </x:c>
      <x:c r="M446" t="str">
        <x:v>$72.2500</x:v>
      </x:c>
      <x:c r="N446" t="str">
        <x:v>$75.8875</x:v>
      </x:c>
      <x:c r="O446" t="str">
        <x:v>$79.7000</x:v>
      </x:c>
      <x:c r="P446" t="str">
        <x:v>$83.6750</x:v>
      </x:c>
      <x:c r="Q446" t="str"/>
      <x:c r="R446" t="str"/>
      <x:c r="S446" t="str"/>
      <x:c r="T446" t="str"/>
      <x:c r="U446" t="str"/>
      <x:c r="V446" t="str"/>
      <x:c r="W446" t="str"/>
      <x:c r="X446" t="str"/>
      <x:c r="Y446" t="str"/>
      <x:c r="Z446" t="str"/>
      <x:c r="AA446" t="str"/>
      <x:c r="AB446" t="str"/>
      <x:c r="AC446" t="str"/>
      <x:c r="AD446" t="str"/>
      <x:c r="AE446" t="str"/>
      <x:c r="AF446" t="str">
        <x:f>D446&amp;"|"&amp;UPPER(G446)&amp;"|"&amp;SUBSTITUTE(C446,"/","-")</x:f>
        <x:v>1372|COMMN|2026-01-03</x:v>
      </x:c>
    </x:row>
    <x:row r="447">
      <x:c r="A447" s="22" t="n">
        <x:v>33274</x:v>
      </x:c>
      <x:c r="B447" t="str">
        <x:v>FY25-26</x:v>
      </x:c>
      <x:c r="C447" t="str">
        <x:v>2026/01/03</x:v>
      </x:c>
      <x:c r="D447" t="str">
        <x:v>1372</x:v>
      </x:c>
      <x:c r="E447" t="str">
        <x:v>Special Assistant 13</x:v>
      </x:c>
      <x:c r="F447" t="str">
        <x:v>351</x:v>
      </x:c>
      <x:c r="G447" t="str">
        <x:v>SFMTA</x:v>
      </x:c>
      <x:c r="H447" t="str">
        <x:v>1372C</x:v>
      </x:c>
      <x:c r="I447" t="str">
        <x:v>$5,506</x:v>
      </x:c>
      <x:c r="J447" t="str"/>
      <x:c r="K447" t="str"/>
      <x:c r="L447" t="str">
        <x:v>$68.8250</x:v>
      </x:c>
      <x:c r="M447" t="str">
        <x:v>$72.2500</x:v>
      </x:c>
      <x:c r="N447" t="str">
        <x:v>$75.8875</x:v>
      </x:c>
      <x:c r="O447" t="str">
        <x:v>$79.7000</x:v>
      </x:c>
      <x:c r="P447" t="str">
        <x:v>$83.6750</x:v>
      </x:c>
      <x:c r="Q447" t="str"/>
      <x:c r="R447" t="str"/>
      <x:c r="S447" t="str"/>
      <x:c r="T447" t="str"/>
      <x:c r="U447" t="str"/>
      <x:c r="V447" t="str"/>
      <x:c r="W447" t="str"/>
      <x:c r="X447" t="str"/>
      <x:c r="Y447" t="str"/>
      <x:c r="Z447" t="str"/>
      <x:c r="AA447" t="str"/>
      <x:c r="AB447" t="str"/>
      <x:c r="AC447" t="str"/>
      <x:c r="AD447" t="str"/>
      <x:c r="AE447" t="str"/>
      <x:c r="AF447" t="str">
        <x:f>D447&amp;"|"&amp;UPPER(G447)&amp;"|"&amp;SUBSTITUTE(C447,"/","-")</x:f>
        <x:v>1372|SFMTA|2026-01-03</x:v>
      </x:c>
    </x:row>
    <x:row r="448">
      <x:c r="A448" s="22" t="n">
        <x:v>12192</x:v>
      </x:c>
      <x:c r="B448" t="str">
        <x:v>FY18-19</x:v>
      </x:c>
      <x:c r="C448" t="str">
        <x:v>2018/07/01</x:v>
      </x:c>
      <x:c r="D448" t="str">
        <x:v>8578</x:v>
      </x:c>
      <x:c r="E448" t="str">
        <x:v>Assistant Director, Juvenile Hall (SFERS)</x:v>
      </x:c>
      <x:c r="F448" t="str">
        <x:v>351</x:v>
      </x:c>
      <x:c r="G448" t="str">
        <x:v>COMMN</x:v>
      </x:c>
      <x:c r="H448" t="str">
        <x:v>8578P</x:v>
      </x:c>
      <x:c r="I448" t="str">
        <x:v>$3,297</x:v>
      </x:c>
      <x:c r="J448" t="str">
        <x:v>$4,418</x:v>
      </x:c>
      <x:c r="K448" t="str">
        <x:v>6</x:v>
      </x:c>
      <x:c r="L448" t="str">
        <x:v>$41.2125</x:v>
      </x:c>
      <x:c r="M448" t="str">
        <x:v>$43.2750</x:v>
      </x:c>
      <x:c r="N448" t="str">
        <x:v>$45.4375</x:v>
      </x:c>
      <x:c r="O448" t="str">
        <x:v>$47.7000</x:v>
      </x:c>
      <x:c r="P448" t="str">
        <x:v>$50.0875</x:v>
      </x:c>
      <x:c r="Q448" t="str">
        <x:v>$52.6000</x:v>
      </x:c>
      <x:c r="R448" t="str">
        <x:v>$55.2250</x:v>
      </x:c>
      <x:c r="S448" t="str"/>
      <x:c r="T448" t="str"/>
      <x:c r="U448" t="str"/>
      <x:c r="V448" t="str"/>
      <x:c r="W448" t="str"/>
      <x:c r="X448" t="str"/>
      <x:c r="Y448" t="str"/>
      <x:c r="Z448" t="str"/>
      <x:c r="AA448" t="str"/>
      <x:c r="AB448" t="str"/>
      <x:c r="AC448" t="str"/>
      <x:c r="AD448" t="str"/>
      <x:c r="AE448" t="str"/>
      <x:c r="AF448" t="str">
        <x:f>D448&amp;"|"&amp;UPPER(G448)&amp;"|"&amp;SUBSTITUTE(C448,"/","-")</x:f>
        <x:v>8578|COMMN|2018-07-01</x:v>
      </x:c>
    </x:row>
    <x:row r="449">
      <x:c r="A449" s="22" t="n">
        <x:v>12193</x:v>
      </x:c>
      <x:c r="B449" t="str">
        <x:v>FY18-19</x:v>
      </x:c>
      <x:c r="C449" t="str">
        <x:v>2018/07/01</x:v>
      </x:c>
      <x:c r="D449" t="str">
        <x:v>8578</x:v>
      </x:c>
      <x:c r="E449" t="str">
        <x:v>Assistant Director, Juvenile Hall (SFERS)</x:v>
      </x:c>
      <x:c r="F449" t="str">
        <x:v>351</x:v>
      </x:c>
      <x:c r="G449" t="str">
        <x:v>COMMN</x:v>
      </x:c>
      <x:c r="H449" t="str">
        <x:v>8578P</x:v>
      </x:c>
      <x:c r="I449" t="str">
        <x:v>$3,297</x:v>
      </x:c>
      <x:c r="J449" t="str">
        <x:v>$4,418</x:v>
      </x:c>
      <x:c r="K449" t="str">
        <x:v>6</x:v>
      </x:c>
      <x:c r="L449" t="str">
        <x:v>$41.2125</x:v>
      </x:c>
      <x:c r="M449" t="str">
        <x:v>$43.2750</x:v>
      </x:c>
      <x:c r="N449" t="str">
        <x:v>$45.4375</x:v>
      </x:c>
      <x:c r="O449" t="str">
        <x:v>$47.7000</x:v>
      </x:c>
      <x:c r="P449" t="str">
        <x:v>$50.0875</x:v>
      </x:c>
      <x:c r="Q449" t="str">
        <x:v>$52.6000</x:v>
      </x:c>
      <x:c r="R449" t="str">
        <x:v>$55.2250</x:v>
      </x:c>
      <x:c r="S449" t="str"/>
      <x:c r="T449" t="str"/>
      <x:c r="U449" t="str"/>
      <x:c r="V449" t="str"/>
      <x:c r="W449" t="str"/>
      <x:c r="X449" t="str"/>
      <x:c r="Y449" t="str"/>
      <x:c r="Z449" t="str"/>
      <x:c r="AA449" t="str"/>
      <x:c r="AB449" t="str"/>
      <x:c r="AC449" t="str"/>
      <x:c r="AD449" t="str"/>
      <x:c r="AE449" t="str"/>
      <x:c r="AF449" t="str">
        <x:f>D449&amp;"|"&amp;UPPER(G449)&amp;"|"&amp;SUBSTITUTE(C449,"/","-")</x:f>
        <x:v>8578|COMMN|2018-07-01</x:v>
      </x:c>
    </x:row>
    <x:row r="450">
      <x:c r="A450" s="22" t="n">
        <x:v>27795</x:v>
      </x:c>
      <x:c r="B450" t="str">
        <x:v>FY23-24</x:v>
      </x:c>
      <x:c r="C450" t="str">
        <x:v>2024/01/06</x:v>
      </x:c>
      <x:c r="D450" t="str">
        <x:v>8578</x:v>
      </x:c>
      <x:c r="E450" t="str">
        <x:v>Senior Supervising Institution Manager (SFERS)</x:v>
      </x:c>
      <x:c r="F450" t="str">
        <x:v>351</x:v>
      </x:c>
      <x:c r="G450" t="str">
        <x:v>COMMN</x:v>
      </x:c>
      <x:c r="H450" t="str">
        <x:v>8578Y</x:v>
      </x:c>
      <x:c r="I450" t="str">
        <x:v>$4,054</x:v>
      </x:c>
      <x:c r="J450" t="str"/>
      <x:c r="K450" t="str">
        <x:v>6</x:v>
      </x:c>
      <x:c r="L450" t="str">
        <x:v>$50.6750</x:v>
      </x:c>
      <x:c r="M450" t="str">
        <x:v>$53.2250</x:v>
      </x:c>
      <x:c r="N450" t="str">
        <x:v>$55.8625</x:v>
      </x:c>
      <x:c r="O450" t="str">
        <x:v>$58.6375</x:v>
      </x:c>
      <x:c r="P450" t="str">
        <x:v>$61.5750</x:v>
      </x:c>
      <x:c r="Q450" t="str">
        <x:v>$63.1125</x:v>
      </x:c>
      <x:c r="R450" t="str">
        <x:v>$64.6500</x:v>
      </x:c>
      <x:c r="S450" t="str">
        <x:v>$66.3000</x:v>
      </x:c>
      <x:c r="T450" t="str">
        <x:v>$67.9375</x:v>
      </x:c>
      <x:c r="U450" t="str"/>
      <x:c r="V450" t="str"/>
      <x:c r="W450" t="str"/>
      <x:c r="X450" t="str"/>
      <x:c r="Y450" t="str"/>
      <x:c r="Z450" t="str"/>
      <x:c r="AA450" t="str"/>
      <x:c r="AB450" t="str"/>
      <x:c r="AC450" t="str"/>
      <x:c r="AD450" t="str"/>
      <x:c r="AE450" t="str"/>
      <x:c r="AF450" t="str">
        <x:f>D450&amp;"|"&amp;UPPER(G450)&amp;"|"&amp;SUBSTITUTE(C450,"/","-")</x:f>
        <x:v>8578|COMMN|2024-01-06</x:v>
      </x:c>
    </x:row>
    <x:row r="451">
      <x:c r="A451" s="22" t="n">
        <x:v>29500</x:v>
      </x:c>
      <x:c r="B451" t="str">
        <x:v>FY24-25</x:v>
      </x:c>
      <x:c r="C451" t="str">
        <x:v>2024/07/01</x:v>
      </x:c>
      <x:c r="D451" t="str">
        <x:v>8578</x:v>
      </x:c>
      <x:c r="E451" t="str">
        <x:v>Senior Supervising Institution Manager (SFERS)</x:v>
      </x:c>
      <x:c r="F451" t="str">
        <x:v>351</x:v>
      </x:c>
      <x:c r="G451" t="str">
        <x:v>COMMN</x:v>
      </x:c>
      <x:c r="H451" t="str">
        <x:v>8578Z</x:v>
      </x:c>
      <x:c r="I451" t="str">
        <x:v>$4,115</x:v>
      </x:c>
      <x:c r="J451" t="str"/>
      <x:c r="K451" t="str">
        <x:v>6</x:v>
      </x:c>
      <x:c r="L451" t="str">
        <x:v>$51.4375</x:v>
      </x:c>
      <x:c r="M451" t="str">
        <x:v>$54.0250</x:v>
      </x:c>
      <x:c r="N451" t="str">
        <x:v>$56.7000</x:v>
      </x:c>
      <x:c r="O451" t="str">
        <x:v>$59.5125</x:v>
      </x:c>
      <x:c r="P451" t="str">
        <x:v>$62.5000</x:v>
      </x:c>
      <x:c r="Q451" t="str">
        <x:v>$64.0625</x:v>
      </x:c>
      <x:c r="R451" t="str">
        <x:v>$65.6250</x:v>
      </x:c>
      <x:c r="S451" t="str">
        <x:v>$67.3000</x:v>
      </x:c>
      <x:c r="T451" t="str">
        <x:v>$68.9625</x:v>
      </x:c>
      <x:c r="U451" t="str"/>
      <x:c r="V451" t="str"/>
      <x:c r="W451" t="str"/>
      <x:c r="X451" t="str"/>
      <x:c r="Y451" t="str"/>
      <x:c r="Z451" t="str"/>
      <x:c r="AA451" t="str"/>
      <x:c r="AB451" t="str"/>
      <x:c r="AC451" t="str"/>
      <x:c r="AD451" t="str"/>
      <x:c r="AE451" t="str"/>
      <x:c r="AF451" t="str">
        <x:f>D451&amp;"|"&amp;UPPER(G451)&amp;"|"&amp;SUBSTITUTE(C451,"/","-")</x:f>
        <x:v>8578|COMMN|2024-07-01</x:v>
      </x:c>
    </x:row>
    <x:row r="452">
      <x:c r="A452" s="22" t="n">
        <x:v>31211</x:v>
      </x:c>
      <x:c r="B452" t="str">
        <x:v>FY24-25</x:v>
      </x:c>
      <x:c r="C452" t="str">
        <x:v>2025/01/04</x:v>
      </x:c>
      <x:c r="D452" t="str">
        <x:v>8578</x:v>
      </x:c>
      <x:c r="E452" t="str">
        <x:v>Senior Supervising Institution Manager (SFERS)</x:v>
      </x:c>
      <x:c r="F452" t="str">
        <x:v>351</x:v>
      </x:c>
      <x:c r="G452" t="str">
        <x:v>COMMN</x:v>
      </x:c>
      <x:c r="H452" t="str">
        <x:v>8578A</x:v>
      </x:c>
      <x:c r="I452" t="str">
        <x:v>$4,177</x:v>
      </x:c>
      <x:c r="J452" t="str"/>
      <x:c r="K452" t="str">
        <x:v>6</x:v>
      </x:c>
      <x:c r="L452" t="str">
        <x:v>$52.2125</x:v>
      </x:c>
      <x:c r="M452" t="str">
        <x:v>$54.8375</x:v>
      </x:c>
      <x:c r="N452" t="str">
        <x:v>$57.5500</x:v>
      </x:c>
      <x:c r="O452" t="str">
        <x:v>$60.4000</x:v>
      </x:c>
      <x:c r="P452" t="str">
        <x:v>$63.4375</x:v>
      </x:c>
      <x:c r="Q452" t="str">
        <x:v>$65.0250</x:v>
      </x:c>
      <x:c r="R452" t="str">
        <x:v>$66.6125</x:v>
      </x:c>
      <x:c r="S452" t="str">
        <x:v>$68.3125</x:v>
      </x:c>
      <x:c r="T452" t="str">
        <x:v>$70.0000</x:v>
      </x:c>
      <x:c r="U452" t="str"/>
      <x:c r="V452" t="str"/>
      <x:c r="W452" t="str"/>
      <x:c r="X452" t="str"/>
      <x:c r="Y452" t="str"/>
      <x:c r="Z452" t="str"/>
      <x:c r="AA452" t="str"/>
      <x:c r="AB452" t="str"/>
      <x:c r="AC452" t="str"/>
      <x:c r="AD452" t="str"/>
      <x:c r="AE452" t="str"/>
      <x:c r="AF452" t="str">
        <x:f>D452&amp;"|"&amp;UPPER(G452)&amp;"|"&amp;SUBSTITUTE(C452,"/","-")</x:f>
        <x:v>8578|COMMN|2025-01-04</x:v>
      </x:c>
    </x:row>
    <x:row r="453">
      <x:c r="A453" s="22" t="n">
        <x:v>32919</x:v>
      </x:c>
      <x:c r="B453" t="str">
        <x:v>FY25-26</x:v>
      </x:c>
      <x:c r="C453" t="str">
        <x:v>2025/07/01</x:v>
      </x:c>
      <x:c r="D453" t="str">
        <x:v>8578</x:v>
      </x:c>
      <x:c r="E453" t="str">
        <x:v>Sr Sprvg Institut Mgr (SFERS)</x:v>
      </x:c>
      <x:c r="F453" t="str">
        <x:v>351</x:v>
      </x:c>
      <x:c r="G453" t="str">
        <x:v>COMMN</x:v>
      </x:c>
      <x:c r="H453" t="str">
        <x:v>8578B</x:v>
      </x:c>
      <x:c r="I453" t="str">
        <x:v>$4,261</x:v>
      </x:c>
      <x:c r="J453" t="str"/>
      <x:c r="K453" t="str">
        <x:v>6</x:v>
      </x:c>
      <x:c r="L453" t="str">
        <x:v>$53.2625</x:v>
      </x:c>
      <x:c r="M453" t="str">
        <x:v>$55.9375</x:v>
      </x:c>
      <x:c r="N453" t="str">
        <x:v>$58.7125</x:v>
      </x:c>
      <x:c r="O453" t="str">
        <x:v>$61.6125</x:v>
      </x:c>
      <x:c r="P453" t="str">
        <x:v>$64.7125</x:v>
      </x:c>
      <x:c r="Q453" t="str">
        <x:v>$66.3375</x:v>
      </x:c>
      <x:c r="R453" t="str">
        <x:v>$67.9500</x:v>
      </x:c>
      <x:c r="S453" t="str">
        <x:v>$69.6875</x:v>
      </x:c>
      <x:c r="T453" t="str">
        <x:v>$71.4125</x:v>
      </x:c>
      <x:c r="U453" t="str"/>
      <x:c r="V453" t="str"/>
      <x:c r="W453" t="str"/>
      <x:c r="X453" t="str"/>
      <x:c r="Y453" t="str"/>
      <x:c r="Z453" t="str"/>
      <x:c r="AA453" t="str"/>
      <x:c r="AB453" t="str"/>
      <x:c r="AC453" t="str"/>
      <x:c r="AD453" t="str"/>
      <x:c r="AE453" t="str"/>
      <x:c r="AF453" t="str">
        <x:f>D453&amp;"|"&amp;UPPER(G453)&amp;"|"&amp;SUBSTITUTE(C453,"/","-")</x:f>
        <x:v>8578|COMMN|2025-07-01</x:v>
      </x:c>
    </x:row>
    <x:row r="454">
      <x:c r="A454" s="22" t="n">
        <x:v>34595</x:v>
      </x:c>
      <x:c r="B454" t="str">
        <x:v>FY25-26</x:v>
      </x:c>
      <x:c r="C454" t="str">
        <x:v>2026/01/03</x:v>
      </x:c>
      <x:c r="D454" t="str">
        <x:v>8578</x:v>
      </x:c>
      <x:c r="E454" t="str">
        <x:v>Sr Sprvg Institut Mgr (SFERS)</x:v>
      </x:c>
      <x:c r="F454" t="str">
        <x:v>351</x:v>
      </x:c>
      <x:c r="G454" t="str">
        <x:v>COMMN</x:v>
      </x:c>
      <x:c r="H454" t="str">
        <x:v>8578C</x:v>
      </x:c>
      <x:c r="I454" t="str">
        <x:v>$4,325</x:v>
      </x:c>
      <x:c r="J454" t="str"/>
      <x:c r="K454" t="str">
        <x:v>6</x:v>
      </x:c>
      <x:c r="L454" t="str">
        <x:v>$54.0625</x:v>
      </x:c>
      <x:c r="M454" t="str">
        <x:v>$56.7750</x:v>
      </x:c>
      <x:c r="N454" t="str">
        <x:v>$59.5875</x:v>
      </x:c>
      <x:c r="O454" t="str">
        <x:v>$62.5375</x:v>
      </x:c>
      <x:c r="P454" t="str">
        <x:v>$65.6875</x:v>
      </x:c>
      <x:c r="Q454" t="str">
        <x:v>$67.3375</x:v>
      </x:c>
      <x:c r="R454" t="str">
        <x:v>$68.9750</x:v>
      </x:c>
      <x:c r="S454" t="str">
        <x:v>$70.7375</x:v>
      </x:c>
      <x:c r="T454" t="str">
        <x:v>$72.4875</x:v>
      </x:c>
      <x:c r="U454" t="str"/>
      <x:c r="V454" t="str"/>
      <x:c r="W454" t="str"/>
      <x:c r="X454" t="str"/>
      <x:c r="Y454" t="str"/>
      <x:c r="Z454" t="str"/>
      <x:c r="AA454" t="str"/>
      <x:c r="AB454" t="str"/>
      <x:c r="AC454" t="str"/>
      <x:c r="AD454" t="str"/>
      <x:c r="AE454" t="str"/>
      <x:c r="AF454" t="str">
        <x:f>D454&amp;"|"&amp;UPPER(G454)&amp;"|"&amp;SUBSTITUTE(C454,"/","-")</x:f>
        <x:v>8578|COMMN|2026-01-03</x:v>
      </x:c>
    </x:row>
    <x:row r="455">
      <x:c r="A455" s="22" t="n">
        <x:v>27921</x:v>
      </x:c>
      <x:c r="B455" t="str">
        <x:v>FY23-24</x:v>
      </x:c>
      <x:c r="C455" t="str">
        <x:v>2024/01/06</x:v>
      </x:c>
      <x:c r="D455" t="str">
        <x:v>9916</x:v>
      </x:c>
      <x:c r="E455" t="str">
        <x:v>Public Service Aide - Public Works</x:v>
      </x:c>
      <x:c r="F455" t="str">
        <x:v>261</x:v>
      </x:c>
      <x:c r="G455" t="str">
        <x:v>COMMN</x:v>
      </x:c>
      <x:c r="H455" t="str">
        <x:v>9916Y</x:v>
      </x:c>
      <x:c r="I455" t="str">
        <x:v>$1,697</x:v>
      </x:c>
      <x:c r="J455" t="str"/>
      <x:c r="K455" t="str"/>
      <x:c r="L455" t="str">
        <x:v>$21.2150</x:v>
      </x:c>
      <x:c r="M455" t="str">
        <x:v>$21.2150</x:v>
      </x:c>
      <x:c r="N455" t="str">
        <x:v>$21.2150</x:v>
      </x:c>
      <x:c r="O455" t="str">
        <x:v>$21.2150</x:v>
      </x:c>
      <x:c r="P455" t="str">
        <x:v>$22.4500</x:v>
      </x:c>
      <x:c r="Q455" t="str"/>
      <x:c r="R455" t="str"/>
      <x:c r="S455" t="str"/>
      <x:c r="T455" t="str"/>
      <x:c r="U455" t="str"/>
      <x:c r="V455" t="str"/>
      <x:c r="W455" t="str"/>
      <x:c r="X455" t="str"/>
      <x:c r="Y455" t="str"/>
      <x:c r="Z455" t="str"/>
      <x:c r="AA455" t="str"/>
      <x:c r="AB455" t="str"/>
      <x:c r="AC455" t="str"/>
      <x:c r="AD455" t="str"/>
      <x:c r="AE455" t="str"/>
      <x:c r="AF455" t="str">
        <x:f>D455&amp;"|"&amp;UPPER(G455)&amp;"|"&amp;SUBSTITUTE(C455,"/","-")</x:f>
        <x:v>9916|COMMN|2024-01-06</x:v>
      </x:c>
    </x:row>
    <x:row r="456">
      <x:c r="A456" s="22" t="n">
        <x:v>27922</x:v>
      </x:c>
      <x:c r="B456" t="str">
        <x:v>FY23-24</x:v>
      </x:c>
      <x:c r="C456" t="str">
        <x:v>2024/01/06</x:v>
      </x:c>
      <x:c r="D456" t="str">
        <x:v>9916</x:v>
      </x:c>
      <x:c r="E456" t="str">
        <x:v>Public Service Aide - Public Works</x:v>
      </x:c>
      <x:c r="F456" t="str">
        <x:v>261</x:v>
      </x:c>
      <x:c r="G456" t="str">
        <x:v>SFMTA</x:v>
      </x:c>
      <x:c r="H456" t="str">
        <x:v>9916Y</x:v>
      </x:c>
      <x:c r="I456" t="str">
        <x:v>$1,697</x:v>
      </x:c>
      <x:c r="J456" t="str"/>
      <x:c r="K456" t="str"/>
      <x:c r="L456" t="str">
        <x:v>$21.2150</x:v>
      </x:c>
      <x:c r="M456" t="str">
        <x:v>$21.2150</x:v>
      </x:c>
      <x:c r="N456" t="str">
        <x:v>$21.2150</x:v>
      </x:c>
      <x:c r="O456" t="str">
        <x:v>$21.2150</x:v>
      </x:c>
      <x:c r="P456" t="str">
        <x:v>$22.4500</x:v>
      </x:c>
      <x:c r="Q456" t="str"/>
      <x:c r="R456" t="str"/>
      <x:c r="S456" t="str"/>
      <x:c r="T456" t="str"/>
      <x:c r="U456" t="str"/>
      <x:c r="V456" t="str"/>
      <x:c r="W456" t="str"/>
      <x:c r="X456" t="str"/>
      <x:c r="Y456" t="str"/>
      <x:c r="Z456" t="str"/>
      <x:c r="AA456" t="str"/>
      <x:c r="AB456" t="str"/>
      <x:c r="AC456" t="str"/>
      <x:c r="AD456" t="str"/>
      <x:c r="AE456" t="str"/>
      <x:c r="AF456" t="str">
        <x:f>D456&amp;"|"&amp;UPPER(G456)&amp;"|"&amp;SUBSTITUTE(C456,"/","-")</x:f>
        <x:v>9916|SFMTA|2024-01-06</x:v>
      </x:c>
    </x:row>
    <x:row r="457">
      <x:c r="A457" s="22" t="n">
        <x:v>29624</x:v>
      </x:c>
      <x:c r="B457" t="str">
        <x:v>FY24-25</x:v>
      </x:c>
      <x:c r="C457" t="str">
        <x:v>2024/07/01</x:v>
      </x:c>
      <x:c r="D457" t="str">
        <x:v>9916</x:v>
      </x:c>
      <x:c r="E457" t="str">
        <x:v>Public Service Aide - Public Works</x:v>
      </x:c>
      <x:c r="F457" t="str">
        <x:v>261</x:v>
      </x:c>
      <x:c r="G457" t="str">
        <x:v>COMMN</x:v>
      </x:c>
      <x:c r="H457" t="str">
        <x:v>9916Z</x:v>
      </x:c>
      <x:c r="I457" t="str">
        <x:v>$2,000</x:v>
      </x:c>
      <x:c r="J457" t="str"/>
      <x:c r="K457" t="str"/>
      <x:c r="L457" t="str">
        <x:v>$25.0000</x:v>
      </x:c>
      <x:c r="M457" t="str">
        <x:v>$25.0000</x:v>
      </x:c>
      <x:c r="N457" t="str">
        <x:v>$25.0000</x:v>
      </x:c>
      <x:c r="O457" t="str">
        <x:v>$25.0000</x:v>
      </x:c>
      <x:c r="P457" t="str">
        <x:v>$25.0000</x:v>
      </x:c>
      <x:c r="Q457" t="str"/>
      <x:c r="R457" t="str"/>
      <x:c r="S457" t="str"/>
      <x:c r="T457" t="str"/>
      <x:c r="U457" t="str"/>
      <x:c r="V457" t="str"/>
      <x:c r="W457" t="str"/>
      <x:c r="X457" t="str"/>
      <x:c r="Y457" t="str"/>
      <x:c r="Z457" t="str"/>
      <x:c r="AA457" t="str"/>
      <x:c r="AB457" t="str"/>
      <x:c r="AC457" t="str"/>
      <x:c r="AD457" t="str"/>
      <x:c r="AE457" t="str"/>
      <x:c r="AF457" t="str">
        <x:f>D457&amp;"|"&amp;UPPER(G457)&amp;"|"&amp;SUBSTITUTE(C457,"/","-")</x:f>
        <x:v>9916|COMMN|2024-07-01</x:v>
      </x:c>
    </x:row>
    <x:row r="458">
      <x:c r="A458" s="22" t="n">
        <x:v>29625</x:v>
      </x:c>
      <x:c r="B458" t="str">
        <x:v>FY24-25</x:v>
      </x:c>
      <x:c r="C458" t="str">
        <x:v>2024/07/01</x:v>
      </x:c>
      <x:c r="D458" t="str">
        <x:v>9916</x:v>
      </x:c>
      <x:c r="E458" t="str">
        <x:v>Public Service Aide - Public Works</x:v>
      </x:c>
      <x:c r="F458" t="str">
        <x:v>261</x:v>
      </x:c>
      <x:c r="G458" t="str">
        <x:v>SFMTA</x:v>
      </x:c>
      <x:c r="H458" t="str">
        <x:v>9916Z</x:v>
      </x:c>
      <x:c r="I458" t="str">
        <x:v>$2,000</x:v>
      </x:c>
      <x:c r="J458" t="str"/>
      <x:c r="K458" t="str"/>
      <x:c r="L458" t="str">
        <x:v>$25.0000</x:v>
      </x:c>
      <x:c r="M458" t="str">
        <x:v>$25.0000</x:v>
      </x:c>
      <x:c r="N458" t="str">
        <x:v>$25.0000</x:v>
      </x:c>
      <x:c r="O458" t="str">
        <x:v>$25.0000</x:v>
      </x:c>
      <x:c r="P458" t="str">
        <x:v>$25.0000</x:v>
      </x:c>
      <x:c r="Q458" t="str"/>
      <x:c r="R458" t="str"/>
      <x:c r="S458" t="str"/>
      <x:c r="T458" t="str"/>
      <x:c r="U458" t="str"/>
      <x:c r="V458" t="str"/>
      <x:c r="W458" t="str"/>
      <x:c r="X458" t="str"/>
      <x:c r="Y458" t="str"/>
      <x:c r="Z458" t="str"/>
      <x:c r="AA458" t="str"/>
      <x:c r="AB458" t="str"/>
      <x:c r="AC458" t="str"/>
      <x:c r="AD458" t="str"/>
      <x:c r="AE458" t="str"/>
      <x:c r="AF458" t="str">
        <x:f>D458&amp;"|"&amp;UPPER(G458)&amp;"|"&amp;SUBSTITUTE(C458,"/","-")</x:f>
        <x:v>9916|SFMTA|2024-07-01</x:v>
      </x:c>
    </x:row>
    <x:row r="459">
      <x:c r="A459" s="22" t="n">
        <x:v>31335</x:v>
      </x:c>
      <x:c r="B459" t="str">
        <x:v>FY24-25</x:v>
      </x:c>
      <x:c r="C459" t="str">
        <x:v>2025/01/04</x:v>
      </x:c>
      <x:c r="D459" t="str">
        <x:v>9916</x:v>
      </x:c>
      <x:c r="E459" t="str">
        <x:v>Public Service Aide - Public Works</x:v>
      </x:c>
      <x:c r="F459" t="str">
        <x:v>261</x:v>
      </x:c>
      <x:c r="G459" t="str">
        <x:v>COMMN</x:v>
      </x:c>
      <x:c r="H459" t="str">
        <x:v>9916A</x:v>
      </x:c>
      <x:c r="I459" t="str">
        <x:v>$2,030</x:v>
      </x:c>
      <x:c r="J459" t="str"/>
      <x:c r="K459" t="str"/>
      <x:c r="L459" t="str">
        <x:v>$25.3750</x:v>
      </x:c>
      <x:c r="M459" t="str">
        <x:v>$25.3750</x:v>
      </x:c>
      <x:c r="N459" t="str">
        <x:v>$25.3750</x:v>
      </x:c>
      <x:c r="O459" t="str">
        <x:v>$25.3750</x:v>
      </x:c>
      <x:c r="P459" t="str">
        <x:v>$25.3750</x:v>
      </x:c>
      <x:c r="Q459" t="str"/>
      <x:c r="R459" t="str"/>
      <x:c r="S459" t="str"/>
      <x:c r="T459" t="str"/>
      <x:c r="U459" t="str"/>
      <x:c r="V459" t="str"/>
      <x:c r="W459" t="str"/>
      <x:c r="X459" t="str"/>
      <x:c r="Y459" t="str"/>
      <x:c r="Z459" t="str"/>
      <x:c r="AA459" t="str"/>
      <x:c r="AB459" t="str"/>
      <x:c r="AC459" t="str"/>
      <x:c r="AD459" t="str"/>
      <x:c r="AE459" t="str"/>
      <x:c r="AF459" t="str">
        <x:f>D459&amp;"|"&amp;UPPER(G459)&amp;"|"&amp;SUBSTITUTE(C459,"/","-")</x:f>
        <x:v>9916|COMMN|2025-01-04</x:v>
      </x:c>
    </x:row>
    <x:row r="460">
      <x:c r="A460" s="22" t="n">
        <x:v>31336</x:v>
      </x:c>
      <x:c r="B460" t="str">
        <x:v>FY24-25</x:v>
      </x:c>
      <x:c r="C460" t="str">
        <x:v>2025/01/04</x:v>
      </x:c>
      <x:c r="D460" t="str">
        <x:v>9916</x:v>
      </x:c>
      <x:c r="E460" t="str">
        <x:v>Public Service Aide - Public Works</x:v>
      </x:c>
      <x:c r="F460" t="str">
        <x:v>261</x:v>
      </x:c>
      <x:c r="G460" t="str">
        <x:v>SFMTA</x:v>
      </x:c>
      <x:c r="H460" t="str">
        <x:v>9916A</x:v>
      </x:c>
      <x:c r="I460" t="str">
        <x:v>$2,030</x:v>
      </x:c>
      <x:c r="J460" t="str"/>
      <x:c r="K460" t="str"/>
      <x:c r="L460" t="str">
        <x:v>$25.3750</x:v>
      </x:c>
      <x:c r="M460" t="str">
        <x:v>$25.3750</x:v>
      </x:c>
      <x:c r="N460" t="str">
        <x:v>$25.3750</x:v>
      </x:c>
      <x:c r="O460" t="str">
        <x:v>$25.3750</x:v>
      </x:c>
      <x:c r="P460" t="str">
        <x:v>$25.3750</x:v>
      </x:c>
      <x:c r="Q460" t="str"/>
      <x:c r="R460" t="str"/>
      <x:c r="S460" t="str"/>
      <x:c r="T460" t="str"/>
      <x:c r="U460" t="str"/>
      <x:c r="V460" t="str"/>
      <x:c r="W460" t="str"/>
      <x:c r="X460" t="str"/>
      <x:c r="Y460" t="str"/>
      <x:c r="Z460" t="str"/>
      <x:c r="AA460" t="str"/>
      <x:c r="AB460" t="str"/>
      <x:c r="AC460" t="str"/>
      <x:c r="AD460" t="str"/>
      <x:c r="AE460" t="str"/>
      <x:c r="AF460" t="str">
        <x:f>D460&amp;"|"&amp;UPPER(G460)&amp;"|"&amp;SUBSTITUTE(C460,"/","-")</x:f>
        <x:v>9916|SFMTA|2025-01-04</x:v>
      </x:c>
    </x:row>
    <x:row r="461">
      <x:c r="A461" s="22" t="n">
        <x:v>33042</x:v>
      </x:c>
      <x:c r="B461" t="str">
        <x:v>FY25-26</x:v>
      </x:c>
      <x:c r="C461" t="str">
        <x:v>2025/07/01</x:v>
      </x:c>
      <x:c r="D461" t="str">
        <x:v>9916</x:v>
      </x:c>
      <x:c r="E461" t="str">
        <x:v>Public Svc Aide-Public Works</x:v>
      </x:c>
      <x:c r="F461" t="str">
        <x:v>261</x:v>
      </x:c>
      <x:c r="G461" t="str">
        <x:v>COMMN</x:v>
      </x:c>
      <x:c r="H461" t="str">
        <x:v>9916B</x:v>
      </x:c>
      <x:c r="I461" t="str">
        <x:v>$2,071</x:v>
      </x:c>
      <x:c r="J461" t="str"/>
      <x:c r="K461" t="str"/>
      <x:c r="L461" t="str">
        <x:v>$25.8875</x:v>
      </x:c>
      <x:c r="M461" t="str">
        <x:v>$25.8875</x:v>
      </x:c>
      <x:c r="N461" t="str">
        <x:v>$25.8875</x:v>
      </x:c>
      <x:c r="O461" t="str">
        <x:v>$25.8875</x:v>
      </x:c>
      <x:c r="P461" t="str">
        <x:v>$25.8875</x:v>
      </x:c>
      <x:c r="Q461" t="str"/>
      <x:c r="R461" t="str"/>
      <x:c r="S461" t="str"/>
      <x:c r="T461" t="str"/>
      <x:c r="U461" t="str"/>
      <x:c r="V461" t="str"/>
      <x:c r="W461" t="str"/>
      <x:c r="X461" t="str"/>
      <x:c r="Y461" t="str"/>
      <x:c r="Z461" t="str"/>
      <x:c r="AA461" t="str"/>
      <x:c r="AB461" t="str"/>
      <x:c r="AC461" t="str"/>
      <x:c r="AD461" t="str"/>
      <x:c r="AE461" t="str"/>
      <x:c r="AF461" t="str">
        <x:f>D461&amp;"|"&amp;UPPER(G461)&amp;"|"&amp;SUBSTITUTE(C461,"/","-")</x:f>
        <x:v>9916|COMMN|2025-07-01</x:v>
      </x:c>
    </x:row>
    <x:row r="462">
      <x:c r="A462" s="22" t="n">
        <x:v>33043</x:v>
      </x:c>
      <x:c r="B462" t="str">
        <x:v>FY25-26</x:v>
      </x:c>
      <x:c r="C462" t="str">
        <x:v>2025/07/01</x:v>
      </x:c>
      <x:c r="D462" t="str">
        <x:v>9916</x:v>
      </x:c>
      <x:c r="E462" t="str">
        <x:v>Public Svc Aide-Public Works</x:v>
      </x:c>
      <x:c r="F462" t="str">
        <x:v>261</x:v>
      </x:c>
      <x:c r="G462" t="str">
        <x:v>SFMTA</x:v>
      </x:c>
      <x:c r="H462" t="str">
        <x:v>9916B</x:v>
      </x:c>
      <x:c r="I462" t="str">
        <x:v>$2,071</x:v>
      </x:c>
      <x:c r="J462" t="str"/>
      <x:c r="K462" t="str"/>
      <x:c r="L462" t="str">
        <x:v>$25.8875</x:v>
      </x:c>
      <x:c r="M462" t="str">
        <x:v>$25.8875</x:v>
      </x:c>
      <x:c r="N462" t="str">
        <x:v>$25.8875</x:v>
      </x:c>
      <x:c r="O462" t="str">
        <x:v>$25.8875</x:v>
      </x:c>
      <x:c r="P462" t="str">
        <x:v>$25.8875</x:v>
      </x:c>
      <x:c r="Q462" t="str"/>
      <x:c r="R462" t="str"/>
      <x:c r="S462" t="str"/>
      <x:c r="T462" t="str"/>
      <x:c r="U462" t="str"/>
      <x:c r="V462" t="str"/>
      <x:c r="W462" t="str"/>
      <x:c r="X462" t="str"/>
      <x:c r="Y462" t="str"/>
      <x:c r="Z462" t="str"/>
      <x:c r="AA462" t="str"/>
      <x:c r="AB462" t="str"/>
      <x:c r="AC462" t="str"/>
      <x:c r="AD462" t="str"/>
      <x:c r="AE462" t="str"/>
      <x:c r="AF462" t="str">
        <x:f>D462&amp;"|"&amp;UPPER(G462)&amp;"|"&amp;SUBSTITUTE(C462,"/","-")</x:f>
        <x:v>9916|SFMTA|2025-07-01</x:v>
      </x:c>
    </x:row>
    <x:row r="463">
      <x:c r="A463" s="22" t="n">
        <x:v>34718</x:v>
      </x:c>
      <x:c r="B463" t="str">
        <x:v>FY25-26</x:v>
      </x:c>
      <x:c r="C463" t="str">
        <x:v>2026/01/03</x:v>
      </x:c>
      <x:c r="D463" t="str">
        <x:v>9916</x:v>
      </x:c>
      <x:c r="E463" t="str">
        <x:v>Public Svc Aide-Public Works</x:v>
      </x:c>
      <x:c r="F463" t="str">
        <x:v>261</x:v>
      </x:c>
      <x:c r="G463" t="str">
        <x:v>COMMN</x:v>
      </x:c>
      <x:c r="H463" t="str">
        <x:v>9916C</x:v>
      </x:c>
      <x:c r="I463" t="str">
        <x:v>$2,102</x:v>
      </x:c>
      <x:c r="J463" t="str"/>
      <x:c r="K463" t="str"/>
      <x:c r="L463" t="str">
        <x:v>$26.2750</x:v>
      </x:c>
      <x:c r="M463" t="str">
        <x:v>$26.2750</x:v>
      </x:c>
      <x:c r="N463" t="str">
        <x:v>$26.2750</x:v>
      </x:c>
      <x:c r="O463" t="str">
        <x:v>$26.2750</x:v>
      </x:c>
      <x:c r="P463" t="str">
        <x:v>$26.2750</x:v>
      </x:c>
      <x:c r="Q463" t="str"/>
      <x:c r="R463" t="str"/>
      <x:c r="S463" t="str"/>
      <x:c r="T463" t="str"/>
      <x:c r="U463" t="str"/>
      <x:c r="V463" t="str"/>
      <x:c r="W463" t="str"/>
      <x:c r="X463" t="str"/>
      <x:c r="Y463" t="str"/>
      <x:c r="Z463" t="str"/>
      <x:c r="AA463" t="str"/>
      <x:c r="AB463" t="str"/>
      <x:c r="AC463" t="str"/>
      <x:c r="AD463" t="str"/>
      <x:c r="AE463" t="str"/>
      <x:c r="AF463" t="str">
        <x:f>D463&amp;"|"&amp;UPPER(G463)&amp;"|"&amp;SUBSTITUTE(C463,"/","-")</x:f>
        <x:v>9916|COMMN|2026-01-03</x:v>
      </x:c>
    </x:row>
    <x:row r="464">
      <x:c r="A464" s="22" t="n">
        <x:v>34719</x:v>
      </x:c>
      <x:c r="B464" t="str">
        <x:v>FY25-26</x:v>
      </x:c>
      <x:c r="C464" t="str">
        <x:v>2026/01/03</x:v>
      </x:c>
      <x:c r="D464" t="str">
        <x:v>9916</x:v>
      </x:c>
      <x:c r="E464" t="str">
        <x:v>Public Svc Aide-Public Works</x:v>
      </x:c>
      <x:c r="F464" t="str">
        <x:v>261</x:v>
      </x:c>
      <x:c r="G464" t="str">
        <x:v>SFMTA</x:v>
      </x:c>
      <x:c r="H464" t="str">
        <x:v>9916C</x:v>
      </x:c>
      <x:c r="I464" t="str">
        <x:v>$2,102</x:v>
      </x:c>
      <x:c r="J464" t="str"/>
      <x:c r="K464" t="str"/>
      <x:c r="L464" t="str">
        <x:v>$26.2750</x:v>
      </x:c>
      <x:c r="M464" t="str">
        <x:v>$26.2750</x:v>
      </x:c>
      <x:c r="N464" t="str">
        <x:v>$26.2750</x:v>
      </x:c>
      <x:c r="O464" t="str">
        <x:v>$26.2750</x:v>
      </x:c>
      <x:c r="P464" t="str">
        <x:v>$26.2750</x:v>
      </x:c>
      <x:c r="Q464" t="str"/>
      <x:c r="R464" t="str"/>
      <x:c r="S464" t="str"/>
      <x:c r="T464" t="str"/>
      <x:c r="U464" t="str"/>
      <x:c r="V464" t="str"/>
      <x:c r="W464" t="str"/>
      <x:c r="X464" t="str"/>
      <x:c r="Y464" t="str"/>
      <x:c r="Z464" t="str"/>
      <x:c r="AA464" t="str"/>
      <x:c r="AB464" t="str"/>
      <x:c r="AC464" t="str"/>
      <x:c r="AD464" t="str"/>
      <x:c r="AE464" t="str"/>
      <x:c r="AF464" t="str">
        <x:f>D464&amp;"|"&amp;UPPER(G464)&amp;"|"&amp;SUBSTITUTE(C464,"/","-")</x:f>
        <x:v>9916|SFMTA|2026-01-03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14" hidden="0" customWidth="1"/>
    <x:col min="4" max="4" width="17" hidden="0" customWidth="1"/>
    <x:col min="5" max="5" width="12" hidden="0" customWidth="1"/>
    <x:col min="6" max="6" width="14" hidden="0" customWidth="1"/>
    <x:col min="7" max="7" width="25" hidden="0" customWidth="1"/>
    <x:col min="8" max="8" width="18" hidden="0" customWidth="1"/>
    <x:col min="9" max="9" width="16" hidden="0" customWidth="1"/>
    <x:col min="10" max="10" width="17" hidden="0" customWidth="1"/>
  </x:cols>
  <x:sheetData>
    <x:row r="1" ht="35" customHeight="1">
      <x:c r="A1" s="4" t="str">
        <x:v>RATES DATA QUALITY  /  KEY DUPLICATE AUDIT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9" customHeight="1">
      <x:c r="A2" s="10" t="str">
        <x:v>Checks every selected source-B record; a repeated key is flagged even if every copied field agrees.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1" customHeight="1">
      <x:c r="A4" s="17" t="str">
        <x:v>CSV row</x:v>
      </x:c>
      <x:c r="B4" s="17" t="str">
        <x:v>Composite key</x:v>
      </x:c>
      <x:c r="C4" s="17" t="str">
        <x:v>Job code</x:v>
      </x:c>
      <x:c r="D4" s="17" t="str">
        <x:v>Effective date</x:v>
      </x:c>
      <x:c r="E4" s="17" t="str">
        <x:v>Union code</x:v>
      </x:c>
      <x:c r="F4" s="17" t="str">
        <x:v>Key count</x:v>
      </x:c>
      <x:c r="G4" s="17" t="str">
        <x:v>Duplicate assessment</x:v>
      </x:c>
      <x:c r="H4" s="17" t="str">
        <x:v>Review flag</x:v>
      </x:c>
      <x:c r="I4" s="17" t="str">
        <x:v>Pay grade</x:v>
      </x:c>
      <x:c r="J4" s="17" t="str">
        <x:v>Rate step 1</x:v>
      </x:c>
    </x:row>
    <x:row r="5">
      <x:c r="A5" t="n">
        <x:f>Rates_Raw!A5</x:f>
        <x:v>2</x:v>
      </x:c>
      <x:c r="B5" t="str">
        <x:f>Rates_Raw!AF5</x:f>
        <x:v>0140|COMMN|2014-07-01</x:v>
      </x:c>
      <x:c r="C5" t="str">
        <x:f>Rates_Raw!D5</x:f>
        <x:v>0140</x:v>
      </x:c>
      <x:c r="D5" t="str">
        <x:f>Rates_Raw!C5</x:f>
        <x:v>2014/07/01</x:v>
      </x:c>
      <x:c r="E5" t="str">
        <x:f>Rates_Raw!F5</x:f>
        <x:v>352</x:v>
      </x:c>
      <x:c r="F5" t="n">
        <x:f>COUNTIF(Rates_Raw!$AF$5:$AF$464,B5)</x:f>
        <x:v>1</x:v>
      </x:c>
      <x:c r="G5" t="str">
        <x:f>IF(F5=1,"UNIQUE",IF(COUNTIFS(Rates_Raw!$AF$5:$AF$464,B5,Rates_Raw!$H$5:$H$464,Rates_Raw!H5,Rates_Raw!$L$5:$L$464,Rates_Raw!L5)=F5,"REPEATED SOURCE ROW","CONFLICTING KEY"))</x:f>
        <x:v>UNIQUE</x:v>
      </x:c>
      <x:c r="H5" t="str">
        <x:f>IF(F5&gt;1,"REVIEW","OK")</x:f>
        <x:v>OK</x:v>
      </x:c>
      <x:c r="I5" t="str">
        <x:f>Rates_Raw!H5</x:f>
        <x:v>0140C</x:v>
      </x:c>
      <x:c r="J5" t="str">
        <x:f>Rates_Raw!L5</x:f>
        <x:v>$145.2250</x:v>
      </x:c>
    </x:row>
    <x:row r="6">
      <x:c r="A6" t="n">
        <x:f>Rates_Raw!A6</x:f>
        <x:v>3</x:v>
      </x:c>
      <x:c r="B6" t="str">
        <x:f>Rates_Raw!AF6</x:f>
        <x:v>0140|SUPPRESSION|2014-07-01</x:v>
      </x:c>
      <x:c r="C6" t="str">
        <x:f>Rates_Raw!D6</x:f>
        <x:v>0140</x:v>
      </x:c>
      <x:c r="D6" t="str">
        <x:f>Rates_Raw!C6</x:f>
        <x:v>2014/07/01</x:v>
      </x:c>
      <x:c r="E6" t="str">
        <x:f>Rates_Raw!F6</x:f>
        <x:v>352</x:v>
      </x:c>
      <x:c r="F6" t="n">
        <x:f>COUNTIF(Rates_Raw!$AF$5:$AF$464,B6)</x:f>
        <x:v>1</x:v>
      </x:c>
      <x:c r="G6" t="str">
        <x:f>IF(F6=1,"UNIQUE",IF(COUNTIFS(Rates_Raw!$AF$5:$AF$464,B6,Rates_Raw!$H$5:$H$464,Rates_Raw!H6,Rates_Raw!$L$5:$L$464,Rates_Raw!L6)=F6,"REPEATED SOURCE ROW","CONFLICTING KEY"))</x:f>
        <x:v>UNIQUE</x:v>
      </x:c>
      <x:c r="H6" t="str">
        <x:f>IF(F6&gt;1,"REVIEW","OK")</x:f>
        <x:v>OK</x:v>
      </x:c>
      <x:c r="I6" t="str">
        <x:f>Rates_Raw!H6</x:f>
        <x:v>0140C</x:v>
      </x:c>
      <x:c r="J6" t="str">
        <x:f>Rates_Raw!L6</x:f>
        <x:v>$119.2813</x:v>
      </x:c>
    </x:row>
    <x:row r="7">
      <x:c r="A7" t="n">
        <x:f>Rates_Raw!A7</x:f>
        <x:v>15910</x:v>
      </x:c>
      <x:c r="B7" t="str">
        <x:f>Rates_Raw!AF7</x:f>
        <x:v>0140|COMMN|2020-07-01</x:v>
      </x:c>
      <x:c r="C7" t="str">
        <x:f>Rates_Raw!D7</x:f>
        <x:v>0140</x:v>
      </x:c>
      <x:c r="D7" t="str">
        <x:f>Rates_Raw!C7</x:f>
        <x:v>2020/07/01</x:v>
      </x:c>
      <x:c r="E7" t="str">
        <x:f>Rates_Raw!F7</x:f>
        <x:v>352</x:v>
      </x:c>
      <x:c r="F7" t="n">
        <x:f>COUNTIF(Rates_Raw!$AF$5:$AF$464,B7)</x:f>
        <x:v>1</x:v>
      </x:c>
      <x:c r="G7" t="str">
        <x:f>IF(F7=1,"UNIQUE",IF(COUNTIFS(Rates_Raw!$AF$5:$AF$464,B7,Rates_Raw!$H$5:$H$464,Rates_Raw!H7,Rates_Raw!$L$5:$L$464,Rates_Raw!L7)=F7,"REPEATED SOURCE ROW","CONFLICTING KEY"))</x:f>
        <x:v>UNIQUE</x:v>
      </x:c>
      <x:c r="H7" t="str">
        <x:f>IF(F7&gt;1,"REVIEW","OK")</x:f>
        <x:v>OK</x:v>
      </x:c>
      <x:c r="I7" t="str">
        <x:f>Rates_Raw!H7</x:f>
        <x:v>0140S</x:v>
      </x:c>
      <x:c r="J7" t="str">
        <x:f>Rates_Raw!L7</x:f>
        <x:v>$161.8875</x:v>
      </x:c>
    </x:row>
    <x:row r="8">
      <x:c r="A8" t="n">
        <x:f>Rates_Raw!A8</x:f>
        <x:v>26261</x:v>
      </x:c>
      <x:c r="B8" t="str">
        <x:f>Rates_Raw!AF8</x:f>
        <x:v>0140|COMMN|2024-01-06</x:v>
      </x:c>
      <x:c r="C8" t="str">
        <x:f>Rates_Raw!D8</x:f>
        <x:v>0140</x:v>
      </x:c>
      <x:c r="D8" t="str">
        <x:f>Rates_Raw!C8</x:f>
        <x:v>2024/01/06</x:v>
      </x:c>
      <x:c r="E8" t="str">
        <x:f>Rates_Raw!F8</x:f>
        <x:v>352</x:v>
      </x:c>
      <x:c r="F8" t="n">
        <x:f>COUNTIF(Rates_Raw!$AF$5:$AF$464,B8)</x:f>
        <x:v>1</x:v>
      </x:c>
      <x:c r="G8" t="str">
        <x:f>IF(F8=1,"UNIQUE",IF(COUNTIFS(Rates_Raw!$AF$5:$AF$464,B8,Rates_Raw!$H$5:$H$464,Rates_Raw!H8,Rates_Raw!$L$5:$L$464,Rates_Raw!L8)=F8,"REPEATED SOURCE ROW","CONFLICTING KEY"))</x:f>
        <x:v>UNIQUE</x:v>
      </x:c>
      <x:c r="H8" t="str">
        <x:f>IF(F8&gt;1,"REVIEW","OK")</x:f>
        <x:v>OK</x:v>
      </x:c>
      <x:c r="I8" t="str">
        <x:f>Rates_Raw!H8</x:f>
        <x:v>0140Y</x:v>
      </x:c>
      <x:c r="J8" t="str">
        <x:f>Rates_Raw!L8</x:f>
        <x:v>$185.4000</x:v>
      </x:c>
    </x:row>
    <x:row r="9">
      <x:c r="A9" t="n">
        <x:f>Rates_Raw!A9</x:f>
        <x:v>26262</x:v>
      </x:c>
      <x:c r="B9" t="str">
        <x:f>Rates_Raw!AF9</x:f>
        <x:v>0140|SUPPRESSION|2024-01-06</x:v>
      </x:c>
      <x:c r="C9" t="str">
        <x:f>Rates_Raw!D9</x:f>
        <x:v>0140</x:v>
      </x:c>
      <x:c r="D9" t="str">
        <x:f>Rates_Raw!C9</x:f>
        <x:v>2024/01/06</x:v>
      </x:c>
      <x:c r="E9" t="str">
        <x:f>Rates_Raw!F9</x:f>
        <x:v>352</x:v>
      </x:c>
      <x:c r="F9" t="n">
        <x:f>COUNTIF(Rates_Raw!$AF$5:$AF$464,B9)</x:f>
        <x:v>1</x:v>
      </x:c>
      <x:c r="G9" t="str">
        <x:f>IF(F9=1,"UNIQUE",IF(COUNTIFS(Rates_Raw!$AF$5:$AF$464,B9,Rates_Raw!$H$5:$H$464,Rates_Raw!H9,Rates_Raw!$L$5:$L$464,Rates_Raw!L9)=F9,"REPEATED SOURCE ROW","CONFLICTING KEY"))</x:f>
        <x:v>UNIQUE</x:v>
      </x:c>
      <x:c r="H9" t="str">
        <x:f>IF(F9&gt;1,"REVIEW","OK")</x:f>
        <x:v>OK</x:v>
      </x:c>
      <x:c r="I9" t="str">
        <x:f>Rates_Raw!H9</x:f>
        <x:v>0140Y</x:v>
      </x:c>
      <x:c r="J9" t="str">
        <x:f>Rates_Raw!L9</x:f>
        <x:v>$152.2793</x:v>
      </x:c>
    </x:row>
    <x:row r="10">
      <x:c r="A10" t="n">
        <x:f>Rates_Raw!A10</x:f>
        <x:v>28006</x:v>
      </x:c>
      <x:c r="B10" t="str">
        <x:f>Rates_Raw!AF10</x:f>
        <x:v>0140|COMMN|2024-07-01</x:v>
      </x:c>
      <x:c r="C10" t="str">
        <x:f>Rates_Raw!D10</x:f>
        <x:v>0140</x:v>
      </x:c>
      <x:c r="D10" t="str">
        <x:f>Rates_Raw!C10</x:f>
        <x:v>2024/07/01</x:v>
      </x:c>
      <x:c r="E10" t="str">
        <x:f>Rates_Raw!F10</x:f>
        <x:v>352</x:v>
      </x:c>
      <x:c r="F10" t="n">
        <x:f>COUNTIF(Rates_Raw!$AF$5:$AF$464,B10)</x:f>
        <x:v>1</x:v>
      </x:c>
      <x:c r="G10" t="str">
        <x:f>IF(F10=1,"UNIQUE",IF(COUNTIFS(Rates_Raw!$AF$5:$AF$464,B10,Rates_Raw!$H$5:$H$464,Rates_Raw!H10,Rates_Raw!$L$5:$L$464,Rates_Raw!L10)=F10,"REPEATED SOURCE ROW","CONFLICTING KEY"))</x:f>
        <x:v>UNIQUE</x:v>
      </x:c>
      <x:c r="H10" t="str">
        <x:f>IF(F10&gt;1,"REVIEW","OK")</x:f>
        <x:v>OK</x:v>
      </x:c>
      <x:c r="I10" t="str">
        <x:f>Rates_Raw!H10</x:f>
        <x:v>0140Z</x:v>
      </x:c>
      <x:c r="J10" t="str">
        <x:f>Rates_Raw!L10</x:f>
        <x:v>$185.4000</x:v>
      </x:c>
    </x:row>
    <x:row r="11">
      <x:c r="A11" t="n">
        <x:f>Rates_Raw!A11</x:f>
        <x:v>28007</x:v>
      </x:c>
      <x:c r="B11" t="str">
        <x:f>Rates_Raw!AF11</x:f>
        <x:v>0140|SUPPRESSION|2024-07-01</x:v>
      </x:c>
      <x:c r="C11" t="str">
        <x:f>Rates_Raw!D11</x:f>
        <x:v>0140</x:v>
      </x:c>
      <x:c r="D11" t="str">
        <x:f>Rates_Raw!C11</x:f>
        <x:v>2024/07/01</x:v>
      </x:c>
      <x:c r="E11" t="str">
        <x:f>Rates_Raw!F11</x:f>
        <x:v>352</x:v>
      </x:c>
      <x:c r="F11" t="n">
        <x:f>COUNTIF(Rates_Raw!$AF$5:$AF$464,B11)</x:f>
        <x:v>1</x:v>
      </x:c>
      <x:c r="G11" t="str">
        <x:f>IF(F11=1,"UNIQUE",IF(COUNTIFS(Rates_Raw!$AF$5:$AF$464,B11,Rates_Raw!$H$5:$H$464,Rates_Raw!H11,Rates_Raw!$L$5:$L$464,Rates_Raw!L11)=F11,"REPEATED SOURCE ROW","CONFLICTING KEY"))</x:f>
        <x:v>UNIQUE</x:v>
      </x:c>
      <x:c r="H11" t="str">
        <x:f>IF(F11&gt;1,"REVIEW","OK")</x:f>
        <x:v>OK</x:v>
      </x:c>
      <x:c r="I11" t="str">
        <x:f>Rates_Raw!H11</x:f>
        <x:v>0140Z</x:v>
      </x:c>
      <x:c r="J11" t="str">
        <x:f>Rates_Raw!L11</x:f>
        <x:v>$152.2793</x:v>
      </x:c>
    </x:row>
    <x:row r="12">
      <x:c r="A12" t="n">
        <x:f>Rates_Raw!A12</x:f>
        <x:v>29712</x:v>
      </x:c>
      <x:c r="B12" t="str">
        <x:f>Rates_Raw!AF12</x:f>
        <x:v>0140|COMMN|2025-01-04</x:v>
      </x:c>
      <x:c r="C12" t="str">
        <x:f>Rates_Raw!D12</x:f>
        <x:v>0140</x:v>
      </x:c>
      <x:c r="D12" t="str">
        <x:f>Rates_Raw!C12</x:f>
        <x:v>2025/01/04</x:v>
      </x:c>
      <x:c r="E12" t="str">
        <x:f>Rates_Raw!F12</x:f>
        <x:v>352</x:v>
      </x:c>
      <x:c r="F12" t="n">
        <x:f>COUNTIF(Rates_Raw!$AF$5:$AF$464,B12)</x:f>
        <x:v>1</x:v>
      </x:c>
      <x:c r="G12" t="str">
        <x:f>IF(F12=1,"UNIQUE",IF(COUNTIFS(Rates_Raw!$AF$5:$AF$464,B12,Rates_Raw!$H$5:$H$464,Rates_Raw!H12,Rates_Raw!$L$5:$L$464,Rates_Raw!L12)=F12,"REPEATED SOURCE ROW","CONFLICTING KEY"))</x:f>
        <x:v>UNIQUE</x:v>
      </x:c>
      <x:c r="H12" t="str">
        <x:f>IF(F12&gt;1,"REVIEW","OK")</x:f>
        <x:v>OK</x:v>
      </x:c>
      <x:c r="I12" t="str">
        <x:f>Rates_Raw!H12</x:f>
        <x:v>0140A</x:v>
      </x:c>
      <x:c r="J12" t="str">
        <x:f>Rates_Raw!L12</x:f>
        <x:v>$190.9625</x:v>
      </x:c>
    </x:row>
    <x:row r="13">
      <x:c r="A13" t="n">
        <x:f>Rates_Raw!A13</x:f>
        <x:v>29713</x:v>
      </x:c>
      <x:c r="B13" t="str">
        <x:f>Rates_Raw!AF13</x:f>
        <x:v>0140|SUPPRESSION|2025-01-04</x:v>
      </x:c>
      <x:c r="C13" t="str">
        <x:f>Rates_Raw!D13</x:f>
        <x:v>0140</x:v>
      </x:c>
      <x:c r="D13" t="str">
        <x:f>Rates_Raw!C13</x:f>
        <x:v>2025/01/04</x:v>
      </x:c>
      <x:c r="E13" t="str">
        <x:f>Rates_Raw!F13</x:f>
        <x:v>352</x:v>
      </x:c>
      <x:c r="F13" t="n">
        <x:f>COUNTIF(Rates_Raw!$AF$5:$AF$464,B13)</x:f>
        <x:v>1</x:v>
      </x:c>
      <x:c r="G13" t="str">
        <x:f>IF(F13=1,"UNIQUE",IF(COUNTIFS(Rates_Raw!$AF$5:$AF$464,B13,Rates_Raw!$H$5:$H$464,Rates_Raw!H13,Rates_Raw!$L$5:$L$464,Rates_Raw!L13)=F13,"REPEATED SOURCE ROW","CONFLICTING KEY"))</x:f>
        <x:v>UNIQUE</x:v>
      </x:c>
      <x:c r="H13" t="str">
        <x:f>IF(F13&gt;1,"REVIEW","OK")</x:f>
        <x:v>OK</x:v>
      </x:c>
      <x:c r="I13" t="str">
        <x:f>Rates_Raw!H13</x:f>
        <x:v>0140A</x:v>
      </x:c>
      <x:c r="J13" t="str">
        <x:f>Rates_Raw!L13</x:f>
        <x:v>$156.8480</x:v>
      </x:c>
    </x:row>
    <x:row r="14">
      <x:c r="A14" t="n">
        <x:f>Rates_Raw!A14</x:f>
        <x:v>31424</x:v>
      </x:c>
      <x:c r="B14" t="str">
        <x:f>Rates_Raw!AF14</x:f>
        <x:v>0140|COMMN|2025-07-01</x:v>
      </x:c>
      <x:c r="C14" t="str">
        <x:f>Rates_Raw!D14</x:f>
        <x:v>0140</x:v>
      </x:c>
      <x:c r="D14" t="str">
        <x:f>Rates_Raw!C14</x:f>
        <x:v>2025/07/01</x:v>
      </x:c>
      <x:c r="E14" t="str">
        <x:f>Rates_Raw!F14</x:f>
        <x:v>352</x:v>
      </x:c>
      <x:c r="F14" t="n">
        <x:f>COUNTIF(Rates_Raw!$AF$5:$AF$464,B14)</x:f>
        <x:v>1</x:v>
      </x:c>
      <x:c r="G14" t="str">
        <x:f>IF(F14=1,"UNIQUE",IF(COUNTIFS(Rates_Raw!$AF$5:$AF$464,B14,Rates_Raw!$H$5:$H$464,Rates_Raw!H14,Rates_Raw!$L$5:$L$464,Rates_Raw!L14)=F14,"REPEATED SOURCE ROW","CONFLICTING KEY"))</x:f>
        <x:v>UNIQUE</x:v>
      </x:c>
      <x:c r="H14" t="str">
        <x:f>IF(F14&gt;1,"REVIEW","OK")</x:f>
        <x:v>OK</x:v>
      </x:c>
      <x:c r="I14" t="str">
        <x:f>Rates_Raw!H14</x:f>
        <x:v>0140B</x:v>
      </x:c>
      <x:c r="J14" t="str">
        <x:f>Rates_Raw!L14</x:f>
        <x:v>$196.6875</x:v>
      </x:c>
    </x:row>
    <x:row r="15">
      <x:c r="A15" t="n">
        <x:f>Rates_Raw!A15</x:f>
        <x:v>31425</x:v>
      </x:c>
      <x:c r="B15" t="str">
        <x:f>Rates_Raw!AF15</x:f>
        <x:v>0140|SUPPRESSION|2025-07-01</x:v>
      </x:c>
      <x:c r="C15" t="str">
        <x:f>Rates_Raw!D15</x:f>
        <x:v>0140</x:v>
      </x:c>
      <x:c r="D15" t="str">
        <x:f>Rates_Raw!C15</x:f>
        <x:v>2025/07/01</x:v>
      </x:c>
      <x:c r="E15" t="str">
        <x:f>Rates_Raw!F15</x:f>
        <x:v>352</x:v>
      </x:c>
      <x:c r="F15" t="n">
        <x:f>COUNTIF(Rates_Raw!$AF$5:$AF$464,B15)</x:f>
        <x:v>1</x:v>
      </x:c>
      <x:c r="G15" t="str">
        <x:f>IF(F15=1,"UNIQUE",IF(COUNTIFS(Rates_Raw!$AF$5:$AF$464,B15,Rates_Raw!$H$5:$H$464,Rates_Raw!H15,Rates_Raw!$L$5:$L$464,Rates_Raw!L15)=F15,"REPEATED SOURCE ROW","CONFLICTING KEY"))</x:f>
        <x:v>UNIQUE</x:v>
      </x:c>
      <x:c r="H15" t="str">
        <x:f>IF(F15&gt;1,"REVIEW","OK")</x:f>
        <x:v>OK</x:v>
      </x:c>
      <x:c r="I15" t="str">
        <x:f>Rates_Raw!H15</x:f>
        <x:v>0140B</x:v>
      </x:c>
      <x:c r="J15" t="str">
        <x:f>Rates_Raw!L15</x:f>
        <x:v>$161.5503</x:v>
      </x:c>
    </x:row>
    <x:row r="16">
      <x:c r="A16" t="n">
        <x:f>Rates_Raw!A16</x:f>
        <x:v>26263</x:v>
      </x:c>
      <x:c r="B16" t="str">
        <x:f>Rates_Raw!AF16</x:f>
        <x:v>0145|COMMN|2024-01-06</x:v>
      </x:c>
      <x:c r="C16" t="str">
        <x:f>Rates_Raw!D16</x:f>
        <x:v>0145</x:v>
      </x:c>
      <x:c r="D16" t="str">
        <x:f>Rates_Raw!C16</x:f>
        <x:v>2024/01/06</x:v>
      </x:c>
      <x:c r="E16" t="str">
        <x:f>Rates_Raw!F16</x:f>
        <x:v>352</x:v>
      </x:c>
      <x:c r="F16" t="n">
        <x:f>COUNTIF(Rates_Raw!$AF$5:$AF$464,B16)</x:f>
        <x:v>1</x:v>
      </x:c>
      <x:c r="G16" t="str">
        <x:f>IF(F16=1,"UNIQUE",IF(COUNTIFS(Rates_Raw!$AF$5:$AF$464,B16,Rates_Raw!$H$5:$H$464,Rates_Raw!H16,Rates_Raw!$L$5:$L$464,Rates_Raw!L16)=F16,"REPEATED SOURCE ROW","CONFLICTING KEY"))</x:f>
        <x:v>UNIQUE</x:v>
      </x:c>
      <x:c r="H16" t="str">
        <x:f>IF(F16&gt;1,"REVIEW","OK")</x:f>
        <x:v>OK</x:v>
      </x:c>
      <x:c r="I16" t="str">
        <x:f>Rates_Raw!H16</x:f>
        <x:v>0145Y</x:v>
      </x:c>
      <x:c r="J16" t="str">
        <x:f>Rates_Raw!L16</x:f>
        <x:v>$185.4000</x:v>
      </x:c>
    </x:row>
    <x:row r="17">
      <x:c r="A17" t="n">
        <x:f>Rates_Raw!A17</x:f>
        <x:v>26264</x:v>
      </x:c>
      <x:c r="B17" t="str">
        <x:f>Rates_Raw!AF17</x:f>
        <x:v>0145|SUPPRESSION|2024-01-06</x:v>
      </x:c>
      <x:c r="C17" t="str">
        <x:f>Rates_Raw!D17</x:f>
        <x:v>0145</x:v>
      </x:c>
      <x:c r="D17" t="str">
        <x:f>Rates_Raw!C17</x:f>
        <x:v>2024/01/06</x:v>
      </x:c>
      <x:c r="E17" t="str">
        <x:f>Rates_Raw!F17</x:f>
        <x:v>352</x:v>
      </x:c>
      <x:c r="F17" t="n">
        <x:f>COUNTIF(Rates_Raw!$AF$5:$AF$464,B17)</x:f>
        <x:v>1</x:v>
      </x:c>
      <x:c r="G17" t="str">
        <x:f>IF(F17=1,"UNIQUE",IF(COUNTIFS(Rates_Raw!$AF$5:$AF$464,B17,Rates_Raw!$H$5:$H$464,Rates_Raw!H17,Rates_Raw!$L$5:$L$464,Rates_Raw!L17)=F17,"REPEATED SOURCE ROW","CONFLICTING KEY"))</x:f>
        <x:v>UNIQUE</x:v>
      </x:c>
      <x:c r="H17" t="str">
        <x:f>IF(F17&gt;1,"REVIEW","OK")</x:f>
        <x:v>OK</x:v>
      </x:c>
      <x:c r="I17" t="str">
        <x:f>Rates_Raw!H17</x:f>
        <x:v>0145Y</x:v>
      </x:c>
      <x:c r="J17" t="str">
        <x:f>Rates_Raw!L17</x:f>
        <x:v>$152.2793</x:v>
      </x:c>
    </x:row>
    <x:row r="18">
      <x:c r="A18" t="n">
        <x:f>Rates_Raw!A18</x:f>
        <x:v>28008</x:v>
      </x:c>
      <x:c r="B18" t="str">
        <x:f>Rates_Raw!AF18</x:f>
        <x:v>0145|COMMN|2024-07-01</x:v>
      </x:c>
      <x:c r="C18" t="str">
        <x:f>Rates_Raw!D18</x:f>
        <x:v>0145</x:v>
      </x:c>
      <x:c r="D18" t="str">
        <x:f>Rates_Raw!C18</x:f>
        <x:v>2024/07/01</x:v>
      </x:c>
      <x:c r="E18" t="str">
        <x:f>Rates_Raw!F18</x:f>
        <x:v>352</x:v>
      </x:c>
      <x:c r="F18" t="n">
        <x:f>COUNTIF(Rates_Raw!$AF$5:$AF$464,B18)</x:f>
        <x:v>1</x:v>
      </x:c>
      <x:c r="G18" t="str">
        <x:f>IF(F18=1,"UNIQUE",IF(COUNTIFS(Rates_Raw!$AF$5:$AF$464,B18,Rates_Raw!$H$5:$H$464,Rates_Raw!H18,Rates_Raw!$L$5:$L$464,Rates_Raw!L18)=F18,"REPEATED SOURCE ROW","CONFLICTING KEY"))</x:f>
        <x:v>UNIQUE</x:v>
      </x:c>
      <x:c r="H18" t="str">
        <x:f>IF(F18&gt;1,"REVIEW","OK")</x:f>
        <x:v>OK</x:v>
      </x:c>
      <x:c r="I18" t="str">
        <x:f>Rates_Raw!H18</x:f>
        <x:v>0145Z</x:v>
      </x:c>
      <x:c r="J18" t="str">
        <x:f>Rates_Raw!L18</x:f>
        <x:v>$185.4000</x:v>
      </x:c>
    </x:row>
    <x:row r="19">
      <x:c r="A19" t="n">
        <x:f>Rates_Raw!A19</x:f>
        <x:v>28009</x:v>
      </x:c>
      <x:c r="B19" t="str">
        <x:f>Rates_Raw!AF19</x:f>
        <x:v>0145|SUPPRESSION|2024-07-01</x:v>
      </x:c>
      <x:c r="C19" t="str">
        <x:f>Rates_Raw!D19</x:f>
        <x:v>0145</x:v>
      </x:c>
      <x:c r="D19" t="str">
        <x:f>Rates_Raw!C19</x:f>
        <x:v>2024/07/01</x:v>
      </x:c>
      <x:c r="E19" t="str">
        <x:f>Rates_Raw!F19</x:f>
        <x:v>352</x:v>
      </x:c>
      <x:c r="F19" t="n">
        <x:f>COUNTIF(Rates_Raw!$AF$5:$AF$464,B19)</x:f>
        <x:v>1</x:v>
      </x:c>
      <x:c r="G19" t="str">
        <x:f>IF(F19=1,"UNIQUE",IF(COUNTIFS(Rates_Raw!$AF$5:$AF$464,B19,Rates_Raw!$H$5:$H$464,Rates_Raw!H19,Rates_Raw!$L$5:$L$464,Rates_Raw!L19)=F19,"REPEATED SOURCE ROW","CONFLICTING KEY"))</x:f>
        <x:v>UNIQUE</x:v>
      </x:c>
      <x:c r="H19" t="str">
        <x:f>IF(F19&gt;1,"REVIEW","OK")</x:f>
        <x:v>OK</x:v>
      </x:c>
      <x:c r="I19" t="str">
        <x:f>Rates_Raw!H19</x:f>
        <x:v>0145Z</x:v>
      </x:c>
      <x:c r="J19" t="str">
        <x:f>Rates_Raw!L19</x:f>
        <x:v>$152.2793</x:v>
      </x:c>
    </x:row>
    <x:row r="20">
      <x:c r="A20" t="n">
        <x:f>Rates_Raw!A20</x:f>
        <x:v>29714</x:v>
      </x:c>
      <x:c r="B20" t="str">
        <x:f>Rates_Raw!AF20</x:f>
        <x:v>0145|COMMN|2025-01-04</x:v>
      </x:c>
      <x:c r="C20" t="str">
        <x:f>Rates_Raw!D20</x:f>
        <x:v>0145</x:v>
      </x:c>
      <x:c r="D20" t="str">
        <x:f>Rates_Raw!C20</x:f>
        <x:v>2025/01/04</x:v>
      </x:c>
      <x:c r="E20" t="str">
        <x:f>Rates_Raw!F20</x:f>
        <x:v>352</x:v>
      </x:c>
      <x:c r="F20" t="n">
        <x:f>COUNTIF(Rates_Raw!$AF$5:$AF$464,B20)</x:f>
        <x:v>1</x:v>
      </x:c>
      <x:c r="G20" t="str">
        <x:f>IF(F20=1,"UNIQUE",IF(COUNTIFS(Rates_Raw!$AF$5:$AF$464,B20,Rates_Raw!$H$5:$H$464,Rates_Raw!H20,Rates_Raw!$L$5:$L$464,Rates_Raw!L20)=F20,"REPEATED SOURCE ROW","CONFLICTING KEY"))</x:f>
        <x:v>UNIQUE</x:v>
      </x:c>
      <x:c r="H20" t="str">
        <x:f>IF(F20&gt;1,"REVIEW","OK")</x:f>
        <x:v>OK</x:v>
      </x:c>
      <x:c r="I20" t="str">
        <x:f>Rates_Raw!H20</x:f>
        <x:v>0145A</x:v>
      </x:c>
      <x:c r="J20" t="str">
        <x:f>Rates_Raw!L20</x:f>
        <x:v>$190.9625</x:v>
      </x:c>
    </x:row>
    <x:row r="21">
      <x:c r="A21" t="n">
        <x:f>Rates_Raw!A21</x:f>
        <x:v>29715</x:v>
      </x:c>
      <x:c r="B21" t="str">
        <x:f>Rates_Raw!AF21</x:f>
        <x:v>0145|SUPPRESSION|2025-01-04</x:v>
      </x:c>
      <x:c r="C21" t="str">
        <x:f>Rates_Raw!D21</x:f>
        <x:v>0145</x:v>
      </x:c>
      <x:c r="D21" t="str">
        <x:f>Rates_Raw!C21</x:f>
        <x:v>2025/01/04</x:v>
      </x:c>
      <x:c r="E21" t="str">
        <x:f>Rates_Raw!F21</x:f>
        <x:v>352</x:v>
      </x:c>
      <x:c r="F21" t="n">
        <x:f>COUNTIF(Rates_Raw!$AF$5:$AF$464,B21)</x:f>
        <x:v>1</x:v>
      </x:c>
      <x:c r="G21" t="str">
        <x:f>IF(F21=1,"UNIQUE",IF(COUNTIFS(Rates_Raw!$AF$5:$AF$464,B21,Rates_Raw!$H$5:$H$464,Rates_Raw!H21,Rates_Raw!$L$5:$L$464,Rates_Raw!L21)=F21,"REPEATED SOURCE ROW","CONFLICTING KEY"))</x:f>
        <x:v>UNIQUE</x:v>
      </x:c>
      <x:c r="H21" t="str">
        <x:f>IF(F21&gt;1,"REVIEW","OK")</x:f>
        <x:v>OK</x:v>
      </x:c>
      <x:c r="I21" t="str">
        <x:f>Rates_Raw!H21</x:f>
        <x:v>0145A</x:v>
      </x:c>
      <x:c r="J21" t="str">
        <x:f>Rates_Raw!L21</x:f>
        <x:v>$156.8480</x:v>
      </x:c>
    </x:row>
    <x:row r="22">
      <x:c r="A22" t="n">
        <x:f>Rates_Raw!A22</x:f>
        <x:v>31426</x:v>
      </x:c>
      <x:c r="B22" t="str">
        <x:f>Rates_Raw!AF22</x:f>
        <x:v>0145|COMMN|2025-07-01</x:v>
      </x:c>
      <x:c r="C22" t="str">
        <x:f>Rates_Raw!D22</x:f>
        <x:v>0145</x:v>
      </x:c>
      <x:c r="D22" t="str">
        <x:f>Rates_Raw!C22</x:f>
        <x:v>2025/07/01</x:v>
      </x:c>
      <x:c r="E22" t="str">
        <x:f>Rates_Raw!F22</x:f>
        <x:v>352</x:v>
      </x:c>
      <x:c r="F22" t="n">
        <x:f>COUNTIF(Rates_Raw!$AF$5:$AF$464,B22)</x:f>
        <x:v>1</x:v>
      </x:c>
      <x:c r="G22" t="str">
        <x:f>IF(F22=1,"UNIQUE",IF(COUNTIFS(Rates_Raw!$AF$5:$AF$464,B22,Rates_Raw!$H$5:$H$464,Rates_Raw!H22,Rates_Raw!$L$5:$L$464,Rates_Raw!L22)=F22,"REPEATED SOURCE ROW","CONFLICTING KEY"))</x:f>
        <x:v>UNIQUE</x:v>
      </x:c>
      <x:c r="H22" t="str">
        <x:f>IF(F22&gt;1,"REVIEW","OK")</x:f>
        <x:v>OK</x:v>
      </x:c>
      <x:c r="I22" t="str">
        <x:f>Rates_Raw!H22</x:f>
        <x:v>0145B</x:v>
      </x:c>
      <x:c r="J22" t="str">
        <x:f>Rates_Raw!L22</x:f>
        <x:v>$196.6875</x:v>
      </x:c>
    </x:row>
    <x:row r="23">
      <x:c r="A23" t="n">
        <x:f>Rates_Raw!A23</x:f>
        <x:v>31427</x:v>
      </x:c>
      <x:c r="B23" t="str">
        <x:f>Rates_Raw!AF23</x:f>
        <x:v>0145|SUPPRESSION|2025-07-01</x:v>
      </x:c>
      <x:c r="C23" t="str">
        <x:f>Rates_Raw!D23</x:f>
        <x:v>0145</x:v>
      </x:c>
      <x:c r="D23" t="str">
        <x:f>Rates_Raw!C23</x:f>
        <x:v>2025/07/01</x:v>
      </x:c>
      <x:c r="E23" t="str">
        <x:f>Rates_Raw!F23</x:f>
        <x:v>352</x:v>
      </x:c>
      <x:c r="F23" t="n">
        <x:f>COUNTIF(Rates_Raw!$AF$5:$AF$464,B23)</x:f>
        <x:v>1</x:v>
      </x:c>
      <x:c r="G23" t="str">
        <x:f>IF(F23=1,"UNIQUE",IF(COUNTIFS(Rates_Raw!$AF$5:$AF$464,B23,Rates_Raw!$H$5:$H$464,Rates_Raw!H23,Rates_Raw!$L$5:$L$464,Rates_Raw!L23)=F23,"REPEATED SOURCE ROW","CONFLICTING KEY"))</x:f>
        <x:v>UNIQUE</x:v>
      </x:c>
      <x:c r="H23" t="str">
        <x:f>IF(F23&gt;1,"REVIEW","OK")</x:f>
        <x:v>OK</x:v>
      </x:c>
      <x:c r="I23" t="str">
        <x:f>Rates_Raw!H23</x:f>
        <x:v>0145B</x:v>
      </x:c>
      <x:c r="J23" t="str">
        <x:f>Rates_Raw!L23</x:f>
        <x:v>$161.5503</x:v>
      </x:c>
    </x:row>
    <x:row r="24">
      <x:c r="A24" t="n">
        <x:f>Rates_Raw!A24</x:f>
        <x:v>4</x:v>
      </x:c>
      <x:c r="B24" t="str">
        <x:f>Rates_Raw!AF24</x:f>
        <x:v>0150|COMMN|2014-07-01</x:v>
      </x:c>
      <x:c r="C24" t="str">
        <x:f>Rates_Raw!D24</x:f>
        <x:v>0150</x:v>
      </x:c>
      <x:c r="D24" t="str">
        <x:f>Rates_Raw!C24</x:f>
        <x:v>2014/07/01</x:v>
      </x:c>
      <x:c r="E24" t="str">
        <x:f>Rates_Raw!F24</x:f>
        <x:v>352</x:v>
      </x:c>
      <x:c r="F24" t="n">
        <x:f>COUNTIF(Rates_Raw!$AF$5:$AF$464,B24)</x:f>
        <x:v>1</x:v>
      </x:c>
      <x:c r="G24" t="str">
        <x:f>IF(F24=1,"UNIQUE",IF(COUNTIFS(Rates_Raw!$AF$5:$AF$464,B24,Rates_Raw!$H$5:$H$464,Rates_Raw!H24,Rates_Raw!$L$5:$L$464,Rates_Raw!L24)=F24,"REPEATED SOURCE ROW","CONFLICTING KEY"))</x:f>
        <x:v>UNIQUE</x:v>
      </x:c>
      <x:c r="H24" t="str">
        <x:f>IF(F24&gt;1,"REVIEW","OK")</x:f>
        <x:v>OK</x:v>
      </x:c>
      <x:c r="I24" t="str">
        <x:f>Rates_Raw!H24</x:f>
        <x:v>0150C</x:v>
      </x:c>
      <x:c r="J24" t="str">
        <x:f>Rates_Raw!L24</x:f>
        <x:v>$125.3500</x:v>
      </x:c>
    </x:row>
    <x:row r="25">
      <x:c r="A25" t="n">
        <x:f>Rates_Raw!A25</x:f>
        <x:v>5</x:v>
      </x:c>
      <x:c r="B25" t="str">
        <x:f>Rates_Raw!AF25</x:f>
        <x:v>0150|SUPPRESSION|2014-07-01</x:v>
      </x:c>
      <x:c r="C25" t="str">
        <x:f>Rates_Raw!D25</x:f>
        <x:v>0150</x:v>
      </x:c>
      <x:c r="D25" t="str">
        <x:f>Rates_Raw!C25</x:f>
        <x:v>2014/07/01</x:v>
      </x:c>
      <x:c r="E25" t="str">
        <x:f>Rates_Raw!F25</x:f>
        <x:v>352</x:v>
      </x:c>
      <x:c r="F25" t="n">
        <x:f>COUNTIF(Rates_Raw!$AF$5:$AF$464,B25)</x:f>
        <x:v>1</x:v>
      </x:c>
      <x:c r="G25" t="str">
        <x:f>IF(F25=1,"UNIQUE",IF(COUNTIFS(Rates_Raw!$AF$5:$AF$464,B25,Rates_Raw!$H$5:$H$464,Rates_Raw!H25,Rates_Raw!$L$5:$L$464,Rates_Raw!L25)=F25,"REPEATED SOURCE ROW","CONFLICTING KEY"))</x:f>
        <x:v>UNIQUE</x:v>
      </x:c>
      <x:c r="H25" t="str">
        <x:f>IF(F25&gt;1,"REVIEW","OK")</x:f>
        <x:v>OK</x:v>
      </x:c>
      <x:c r="I25" t="str">
        <x:f>Rates_Raw!H25</x:f>
        <x:v>0150C</x:v>
      </x:c>
      <x:c r="J25" t="str">
        <x:f>Rates_Raw!L25</x:f>
        <x:v>$102.9569</x:v>
      </x:c>
    </x:row>
    <x:row r="26">
      <x:c r="A26" t="n">
        <x:f>Rates_Raw!A26</x:f>
        <x:v>15913</x:v>
      </x:c>
      <x:c r="B26" t="str">
        <x:f>Rates_Raw!AF26</x:f>
        <x:v>0150|COMMN|2020-07-01</x:v>
      </x:c>
      <x:c r="C26" t="str">
        <x:f>Rates_Raw!D26</x:f>
        <x:v>0150</x:v>
      </x:c>
      <x:c r="D26" t="str">
        <x:f>Rates_Raw!C26</x:f>
        <x:v>2020/07/01</x:v>
      </x:c>
      <x:c r="E26" t="str">
        <x:f>Rates_Raw!F26</x:f>
        <x:v>352</x:v>
      </x:c>
      <x:c r="F26" t="n">
        <x:f>COUNTIF(Rates_Raw!$AF$5:$AF$464,B26)</x:f>
        <x:v>1</x:v>
      </x:c>
      <x:c r="G26" t="str">
        <x:f>IF(F26=1,"UNIQUE",IF(COUNTIFS(Rates_Raw!$AF$5:$AF$464,B26,Rates_Raw!$H$5:$H$464,Rates_Raw!H26,Rates_Raw!$L$5:$L$464,Rates_Raw!L26)=F26,"REPEATED SOURCE ROW","CONFLICTING KEY"))</x:f>
        <x:v>UNIQUE</x:v>
      </x:c>
      <x:c r="H26" t="str">
        <x:f>IF(F26&gt;1,"REVIEW","OK")</x:f>
        <x:v>OK</x:v>
      </x:c>
      <x:c r="I26" t="str">
        <x:f>Rates_Raw!H26</x:f>
        <x:v>0150S</x:v>
      </x:c>
      <x:c r="J26" t="str">
        <x:f>Rates_Raw!L26</x:f>
        <x:v>$139.7500</x:v>
      </x:c>
    </x:row>
    <x:row r="27">
      <x:c r="A27" t="n">
        <x:f>Rates_Raw!A27</x:f>
        <x:v>26265</x:v>
      </x:c>
      <x:c r="B27" t="str">
        <x:f>Rates_Raw!AF27</x:f>
        <x:v>0150|COMMN|2024-01-06</x:v>
      </x:c>
      <x:c r="C27" t="str">
        <x:f>Rates_Raw!D27</x:f>
        <x:v>0150</x:v>
      </x:c>
      <x:c r="D27" t="str">
        <x:f>Rates_Raw!C27</x:f>
        <x:v>2024/01/06</x:v>
      </x:c>
      <x:c r="E27" t="str">
        <x:f>Rates_Raw!F27</x:f>
        <x:v>352</x:v>
      </x:c>
      <x:c r="F27" t="n">
        <x:f>COUNTIF(Rates_Raw!$AF$5:$AF$464,B27)</x:f>
        <x:v>1</x:v>
      </x:c>
      <x:c r="G27" t="str">
        <x:f>IF(F27=1,"UNIQUE",IF(COUNTIFS(Rates_Raw!$AF$5:$AF$464,B27,Rates_Raw!$H$5:$H$464,Rates_Raw!H27,Rates_Raw!$L$5:$L$464,Rates_Raw!L27)=F27,"REPEATED SOURCE ROW","CONFLICTING KEY"))</x:f>
        <x:v>UNIQUE</x:v>
      </x:c>
      <x:c r="H27" t="str">
        <x:f>IF(F27&gt;1,"REVIEW","OK")</x:f>
        <x:v>OK</x:v>
      </x:c>
      <x:c r="I27" t="str">
        <x:f>Rates_Raw!H27</x:f>
        <x:v>0150Y</x:v>
      </x:c>
      <x:c r="J27" t="str">
        <x:f>Rates_Raw!L27</x:f>
        <x:v>$160.0375</x:v>
      </x:c>
    </x:row>
    <x:row r="28">
      <x:c r="A28" t="n">
        <x:f>Rates_Raw!A28</x:f>
        <x:v>26266</x:v>
      </x:c>
      <x:c r="B28" t="str">
        <x:f>Rates_Raw!AF28</x:f>
        <x:v>0150|SUPPRESSION|2024-01-06</x:v>
      </x:c>
      <x:c r="C28" t="str">
        <x:f>Rates_Raw!D28</x:f>
        <x:v>0150</x:v>
      </x:c>
      <x:c r="D28" t="str">
        <x:f>Rates_Raw!C28</x:f>
        <x:v>2024/01/06</x:v>
      </x:c>
      <x:c r="E28" t="str">
        <x:f>Rates_Raw!F28</x:f>
        <x:v>352</x:v>
      </x:c>
      <x:c r="F28" t="n">
        <x:f>COUNTIF(Rates_Raw!$AF$5:$AF$464,B28)</x:f>
        <x:v>1</x:v>
      </x:c>
      <x:c r="G28" t="str">
        <x:f>IF(F28=1,"UNIQUE",IF(COUNTIFS(Rates_Raw!$AF$5:$AF$464,B28,Rates_Raw!$H$5:$H$464,Rates_Raw!H28,Rates_Raw!$L$5:$L$464,Rates_Raw!L28)=F28,"REPEATED SOURCE ROW","CONFLICTING KEY"))</x:f>
        <x:v>UNIQUE</x:v>
      </x:c>
      <x:c r="H28" t="str">
        <x:f>IF(F28&gt;1,"REVIEW","OK")</x:f>
        <x:v>OK</x:v>
      </x:c>
      <x:c r="I28" t="str">
        <x:f>Rates_Raw!H28</x:f>
        <x:v>0150Y</x:v>
      </x:c>
      <x:c r="J28" t="str">
        <x:f>Rates_Raw!L28</x:f>
        <x:v>$131.4476</x:v>
      </x:c>
    </x:row>
    <x:row r="29">
      <x:c r="A29" t="n">
        <x:f>Rates_Raw!A29</x:f>
        <x:v>28010</x:v>
      </x:c>
      <x:c r="B29" t="str">
        <x:f>Rates_Raw!AF29</x:f>
        <x:v>0150|COMMN|2024-07-01</x:v>
      </x:c>
      <x:c r="C29" t="str">
        <x:f>Rates_Raw!D29</x:f>
        <x:v>0150</x:v>
      </x:c>
      <x:c r="D29" t="str">
        <x:f>Rates_Raw!C29</x:f>
        <x:v>2024/07/01</x:v>
      </x:c>
      <x:c r="E29" t="str">
        <x:f>Rates_Raw!F29</x:f>
        <x:v>352</x:v>
      </x:c>
      <x:c r="F29" t="n">
        <x:f>COUNTIF(Rates_Raw!$AF$5:$AF$464,B29)</x:f>
        <x:v>1</x:v>
      </x:c>
      <x:c r="G29" t="str">
        <x:f>IF(F29=1,"UNIQUE",IF(COUNTIFS(Rates_Raw!$AF$5:$AF$464,B29,Rates_Raw!$H$5:$H$464,Rates_Raw!H29,Rates_Raw!$L$5:$L$464,Rates_Raw!L29)=F29,"REPEATED SOURCE ROW","CONFLICTING KEY"))</x:f>
        <x:v>UNIQUE</x:v>
      </x:c>
      <x:c r="H29" t="str">
        <x:f>IF(F29&gt;1,"REVIEW","OK")</x:f>
        <x:v>OK</x:v>
      </x:c>
      <x:c r="I29" t="str">
        <x:f>Rates_Raw!H29</x:f>
        <x:v>0150Z</x:v>
      </x:c>
      <x:c r="J29" t="str">
        <x:f>Rates_Raw!L29</x:f>
        <x:v>$160.0375</x:v>
      </x:c>
    </x:row>
    <x:row r="30">
      <x:c r="A30" t="n">
        <x:f>Rates_Raw!A30</x:f>
        <x:v>28011</x:v>
      </x:c>
      <x:c r="B30" t="str">
        <x:f>Rates_Raw!AF30</x:f>
        <x:v>0150|SUPPRESSION|2024-07-01</x:v>
      </x:c>
      <x:c r="C30" t="str">
        <x:f>Rates_Raw!D30</x:f>
        <x:v>0150</x:v>
      </x:c>
      <x:c r="D30" t="str">
        <x:f>Rates_Raw!C30</x:f>
        <x:v>2024/07/01</x:v>
      </x:c>
      <x:c r="E30" t="str">
        <x:f>Rates_Raw!F30</x:f>
        <x:v>352</x:v>
      </x:c>
      <x:c r="F30" t="n">
        <x:f>COUNTIF(Rates_Raw!$AF$5:$AF$464,B30)</x:f>
        <x:v>1</x:v>
      </x:c>
      <x:c r="G30" t="str">
        <x:f>IF(F30=1,"UNIQUE",IF(COUNTIFS(Rates_Raw!$AF$5:$AF$464,B30,Rates_Raw!$H$5:$H$464,Rates_Raw!H30,Rates_Raw!$L$5:$L$464,Rates_Raw!L30)=F30,"REPEATED SOURCE ROW","CONFLICTING KEY"))</x:f>
        <x:v>UNIQUE</x:v>
      </x:c>
      <x:c r="H30" t="str">
        <x:f>IF(F30&gt;1,"REVIEW","OK")</x:f>
        <x:v>OK</x:v>
      </x:c>
      <x:c r="I30" t="str">
        <x:f>Rates_Raw!H30</x:f>
        <x:v>0150Z</x:v>
      </x:c>
      <x:c r="J30" t="str">
        <x:f>Rates_Raw!L30</x:f>
        <x:v>$131.4476</x:v>
      </x:c>
    </x:row>
    <x:row r="31">
      <x:c r="A31" t="n">
        <x:f>Rates_Raw!A31</x:f>
        <x:v>29716</x:v>
      </x:c>
      <x:c r="B31" t="str">
        <x:f>Rates_Raw!AF31</x:f>
        <x:v>0150|COMMN|2025-01-04</x:v>
      </x:c>
      <x:c r="C31" t="str">
        <x:f>Rates_Raw!D31</x:f>
        <x:v>0150</x:v>
      </x:c>
      <x:c r="D31" t="str">
        <x:f>Rates_Raw!C31</x:f>
        <x:v>2025/01/04</x:v>
      </x:c>
      <x:c r="E31" t="str">
        <x:f>Rates_Raw!F31</x:f>
        <x:v>352</x:v>
      </x:c>
      <x:c r="F31" t="n">
        <x:f>COUNTIF(Rates_Raw!$AF$5:$AF$464,B31)</x:f>
        <x:v>1</x:v>
      </x:c>
      <x:c r="G31" t="str">
        <x:f>IF(F31=1,"UNIQUE",IF(COUNTIFS(Rates_Raw!$AF$5:$AF$464,B31,Rates_Raw!$H$5:$H$464,Rates_Raw!H31,Rates_Raw!$L$5:$L$464,Rates_Raw!L31)=F31,"REPEATED SOURCE ROW","CONFLICTING KEY"))</x:f>
        <x:v>UNIQUE</x:v>
      </x:c>
      <x:c r="H31" t="str">
        <x:f>IF(F31&gt;1,"REVIEW","OK")</x:f>
        <x:v>OK</x:v>
      </x:c>
      <x:c r="I31" t="str">
        <x:f>Rates_Raw!H31</x:f>
        <x:v>0150A</x:v>
      </x:c>
      <x:c r="J31" t="str">
        <x:f>Rates_Raw!L31</x:f>
        <x:v>$164.8375</x:v>
      </x:c>
    </x:row>
    <x:row r="32">
      <x:c r="A32" t="n">
        <x:f>Rates_Raw!A32</x:f>
        <x:v>29717</x:v>
      </x:c>
      <x:c r="B32" t="str">
        <x:f>Rates_Raw!AF32</x:f>
        <x:v>0150|SUPPRESSION|2025-01-04</x:v>
      </x:c>
      <x:c r="C32" t="str">
        <x:f>Rates_Raw!D32</x:f>
        <x:v>0150</x:v>
      </x:c>
      <x:c r="D32" t="str">
        <x:f>Rates_Raw!C32</x:f>
        <x:v>2025/01/04</x:v>
      </x:c>
      <x:c r="E32" t="str">
        <x:f>Rates_Raw!F32</x:f>
        <x:v>352</x:v>
      </x:c>
      <x:c r="F32" t="n">
        <x:f>COUNTIF(Rates_Raw!$AF$5:$AF$464,B32)</x:f>
        <x:v>1</x:v>
      </x:c>
      <x:c r="G32" t="str">
        <x:f>IF(F32=1,"UNIQUE",IF(COUNTIFS(Rates_Raw!$AF$5:$AF$464,B32,Rates_Raw!$H$5:$H$464,Rates_Raw!H32,Rates_Raw!$L$5:$L$464,Rates_Raw!L32)=F32,"REPEATED SOURCE ROW","CONFLICTING KEY"))</x:f>
        <x:v>UNIQUE</x:v>
      </x:c>
      <x:c r="H32" t="str">
        <x:f>IF(F32&gt;1,"REVIEW","OK")</x:f>
        <x:v>OK</x:v>
      </x:c>
      <x:c r="I32" t="str">
        <x:f>Rates_Raw!H32</x:f>
        <x:v>0150A</x:v>
      </x:c>
      <x:c r="J32" t="str">
        <x:f>Rates_Raw!L32</x:f>
        <x:v>$135.3901</x:v>
      </x:c>
    </x:row>
    <x:row r="33">
      <x:c r="A33" t="n">
        <x:f>Rates_Raw!A33</x:f>
        <x:v>31428</x:v>
      </x:c>
      <x:c r="B33" t="str">
        <x:f>Rates_Raw!AF33</x:f>
        <x:v>0150|COMMN|2025-07-01</x:v>
      </x:c>
      <x:c r="C33" t="str">
        <x:f>Rates_Raw!D33</x:f>
        <x:v>0150</x:v>
      </x:c>
      <x:c r="D33" t="str">
        <x:f>Rates_Raw!C33</x:f>
        <x:v>2025/07/01</x:v>
      </x:c>
      <x:c r="E33" t="str">
        <x:f>Rates_Raw!F33</x:f>
        <x:v>352</x:v>
      </x:c>
      <x:c r="F33" t="n">
        <x:f>COUNTIF(Rates_Raw!$AF$5:$AF$464,B33)</x:f>
        <x:v>1</x:v>
      </x:c>
      <x:c r="G33" t="str">
        <x:f>IF(F33=1,"UNIQUE",IF(COUNTIFS(Rates_Raw!$AF$5:$AF$464,B33,Rates_Raw!$H$5:$H$464,Rates_Raw!H33,Rates_Raw!$L$5:$L$464,Rates_Raw!L33)=F33,"REPEATED SOURCE ROW","CONFLICTING KEY"))</x:f>
        <x:v>UNIQUE</x:v>
      </x:c>
      <x:c r="H33" t="str">
        <x:f>IF(F33&gt;1,"REVIEW","OK")</x:f>
        <x:v>OK</x:v>
      </x:c>
      <x:c r="I33" t="str">
        <x:f>Rates_Raw!H33</x:f>
        <x:v>0150B</x:v>
      </x:c>
      <x:c r="J33" t="str">
        <x:f>Rates_Raw!L33</x:f>
        <x:v>$169.7875</x:v>
      </x:c>
    </x:row>
    <x:row r="34">
      <x:c r="A34" t="n">
        <x:f>Rates_Raw!A34</x:f>
        <x:v>31429</x:v>
      </x:c>
      <x:c r="B34" t="str">
        <x:f>Rates_Raw!AF34</x:f>
        <x:v>0150|SUPPRESSION|2025-07-01</x:v>
      </x:c>
      <x:c r="C34" t="str">
        <x:f>Rates_Raw!D34</x:f>
        <x:v>0150</x:v>
      </x:c>
      <x:c r="D34" t="str">
        <x:f>Rates_Raw!C34</x:f>
        <x:v>2025/07/01</x:v>
      </x:c>
      <x:c r="E34" t="str">
        <x:f>Rates_Raw!F34</x:f>
        <x:v>352</x:v>
      </x:c>
      <x:c r="F34" t="n">
        <x:f>COUNTIF(Rates_Raw!$AF$5:$AF$464,B34)</x:f>
        <x:v>1</x:v>
      </x:c>
      <x:c r="G34" t="str">
        <x:f>IF(F34=1,"UNIQUE",IF(COUNTIFS(Rates_Raw!$AF$5:$AF$464,B34,Rates_Raw!$H$5:$H$464,Rates_Raw!H34,Rates_Raw!$L$5:$L$464,Rates_Raw!L34)=F34,"REPEATED SOURCE ROW","CONFLICTING KEY"))</x:f>
        <x:v>UNIQUE</x:v>
      </x:c>
      <x:c r="H34" t="str">
        <x:f>IF(F34&gt;1,"REVIEW","OK")</x:f>
        <x:v>OK</x:v>
      </x:c>
      <x:c r="I34" t="str">
        <x:f>Rates_Raw!H34</x:f>
        <x:v>0150B</x:v>
      </x:c>
      <x:c r="J34" t="str">
        <x:f>Rates_Raw!L34</x:f>
        <x:v>$139.4559</x:v>
      </x:c>
    </x:row>
    <x:row r="35">
      <x:c r="A35" t="n">
        <x:f>Rates_Raw!A35</x:f>
        <x:v>26267</x:v>
      </x:c>
      <x:c r="B35" t="str">
        <x:f>Rates_Raw!AF35</x:f>
        <x:v>0380|COMMN|2024-01-06</x:v>
      </x:c>
      <x:c r="C35" t="str">
        <x:f>Rates_Raw!D35</x:f>
        <x:v>0380</x:v>
      </x:c>
      <x:c r="D35" t="str">
        <x:f>Rates_Raw!C35</x:f>
        <x:v>2024/01/06</x:v>
      </x:c>
      <x:c r="E35" t="str">
        <x:f>Rates_Raw!F35</x:f>
        <x:v>911</x:v>
      </x:c>
      <x:c r="F35" t="n">
        <x:f>COUNTIF(Rates_Raw!$AF$5:$AF$464,B35)</x:f>
        <x:v>1</x:v>
      </x:c>
      <x:c r="G35" t="str">
        <x:f>IF(F35=1,"UNIQUE",IF(COUNTIFS(Rates_Raw!$AF$5:$AF$464,B35,Rates_Raw!$H$5:$H$464,Rates_Raw!H35,Rates_Raw!$L$5:$L$464,Rates_Raw!L35)=F35,"REPEATED SOURCE ROW","CONFLICTING KEY"))</x:f>
        <x:v>UNIQUE</x:v>
      </x:c>
      <x:c r="H35" t="str">
        <x:f>IF(F35&gt;1,"REVIEW","OK")</x:f>
        <x:v>OK</x:v>
      </x:c>
      <x:c r="I35" t="str">
        <x:f>Rates_Raw!H35</x:f>
        <x:v>0380Y</x:v>
      </x:c>
      <x:c r="J35" t="str">
        <x:f>Rates_Raw!L35</x:f>
        <x:v>$79.9625</x:v>
      </x:c>
    </x:row>
    <x:row r="36">
      <x:c r="A36" t="n">
        <x:f>Rates_Raw!A36</x:f>
        <x:v>28012</x:v>
      </x:c>
      <x:c r="B36" t="str">
        <x:f>Rates_Raw!AF36</x:f>
        <x:v>0380|COMMN|2024-07-01</x:v>
      </x:c>
      <x:c r="C36" t="str">
        <x:f>Rates_Raw!D36</x:f>
        <x:v>0380</x:v>
      </x:c>
      <x:c r="D36" t="str">
        <x:f>Rates_Raw!C36</x:f>
        <x:v>2024/07/01</x:v>
      </x:c>
      <x:c r="E36" t="str">
        <x:f>Rates_Raw!F36</x:f>
        <x:v>911</x:v>
      </x:c>
      <x:c r="F36" t="n">
        <x:f>COUNTIF(Rates_Raw!$AF$5:$AF$464,B36)</x:f>
        <x:v>1</x:v>
      </x:c>
      <x:c r="G36" t="str">
        <x:f>IF(F36=1,"UNIQUE",IF(COUNTIFS(Rates_Raw!$AF$5:$AF$464,B36,Rates_Raw!$H$5:$H$464,Rates_Raw!H36,Rates_Raw!$L$5:$L$464,Rates_Raw!L36)=F36,"REPEATED SOURCE ROW","CONFLICTING KEY"))</x:f>
        <x:v>UNIQUE</x:v>
      </x:c>
      <x:c r="H36" t="str">
        <x:f>IF(F36&gt;1,"REVIEW","OK")</x:f>
        <x:v>OK</x:v>
      </x:c>
      <x:c r="I36" t="str">
        <x:f>Rates_Raw!H36</x:f>
        <x:v>0380Z</x:v>
      </x:c>
      <x:c r="J36" t="str">
        <x:f>Rates_Raw!L36</x:f>
        <x:v>$79.9625</x:v>
      </x:c>
    </x:row>
    <x:row r="37">
      <x:c r="A37" t="n">
        <x:f>Rates_Raw!A37</x:f>
        <x:v>29718</x:v>
      </x:c>
      <x:c r="B37" t="str">
        <x:f>Rates_Raw!AF37</x:f>
        <x:v>0380|COMMN|2025-01-04</x:v>
      </x:c>
      <x:c r="C37" t="str">
        <x:f>Rates_Raw!D37</x:f>
        <x:v>0380</x:v>
      </x:c>
      <x:c r="D37" t="str">
        <x:f>Rates_Raw!C37</x:f>
        <x:v>2025/01/04</x:v>
      </x:c>
      <x:c r="E37" t="str">
        <x:f>Rates_Raw!F37</x:f>
        <x:v>911</x:v>
      </x:c>
      <x:c r="F37" t="n">
        <x:f>COUNTIF(Rates_Raw!$AF$5:$AF$464,B37)</x:f>
        <x:v>1</x:v>
      </x:c>
      <x:c r="G37" t="str">
        <x:f>IF(F37=1,"UNIQUE",IF(COUNTIFS(Rates_Raw!$AF$5:$AF$464,B37,Rates_Raw!$H$5:$H$464,Rates_Raw!H37,Rates_Raw!$L$5:$L$464,Rates_Raw!L37)=F37,"REPEATED SOURCE ROW","CONFLICTING KEY"))</x:f>
        <x:v>UNIQUE</x:v>
      </x:c>
      <x:c r="H37" t="str">
        <x:f>IF(F37&gt;1,"REVIEW","OK")</x:f>
        <x:v>OK</x:v>
      </x:c>
      <x:c r="I37" t="str">
        <x:f>Rates_Raw!H37</x:f>
        <x:v>0380A</x:v>
      </x:c>
      <x:c r="J37" t="str">
        <x:f>Rates_Raw!L37</x:f>
        <x:v>$82.3625</x:v>
      </x:c>
    </x:row>
    <x:row r="38">
      <x:c r="A38" t="n">
        <x:f>Rates_Raw!A38</x:f>
        <x:v>31430</x:v>
      </x:c>
      <x:c r="B38" t="str">
        <x:f>Rates_Raw!AF38</x:f>
        <x:v>0380|COMMN|2025-07-01</x:v>
      </x:c>
      <x:c r="C38" t="str">
        <x:f>Rates_Raw!D38</x:f>
        <x:v>0380</x:v>
      </x:c>
      <x:c r="D38" t="str">
        <x:f>Rates_Raw!C38</x:f>
        <x:v>2025/07/01</x:v>
      </x:c>
      <x:c r="E38" t="str">
        <x:f>Rates_Raw!F38</x:f>
        <x:v>911</x:v>
      </x:c>
      <x:c r="F38" t="n">
        <x:f>COUNTIF(Rates_Raw!$AF$5:$AF$464,B38)</x:f>
        <x:v>1</x:v>
      </x:c>
      <x:c r="G38" t="str">
        <x:f>IF(F38=1,"UNIQUE",IF(COUNTIFS(Rates_Raw!$AF$5:$AF$464,B38,Rates_Raw!$H$5:$H$464,Rates_Raw!H38,Rates_Raw!$L$5:$L$464,Rates_Raw!L38)=F38,"REPEATED SOURCE ROW","CONFLICTING KEY"))</x:f>
        <x:v>UNIQUE</x:v>
      </x:c>
      <x:c r="H38" t="str">
        <x:f>IF(F38&gt;1,"REVIEW","OK")</x:f>
        <x:v>OK</x:v>
      </x:c>
      <x:c r="I38" t="str">
        <x:f>Rates_Raw!H38</x:f>
        <x:v>0380B</x:v>
      </x:c>
      <x:c r="J38" t="str">
        <x:f>Rates_Raw!L38</x:f>
        <x:v>$84.8375</x:v>
      </x:c>
    </x:row>
    <x:row r="39">
      <x:c r="A39" t="n">
        <x:f>Rates_Raw!A39</x:f>
        <x:v>15916</x:v>
      </x:c>
      <x:c r="B39" t="str">
        <x:f>Rates_Raw!AF39</x:f>
        <x:v>0381|COMMN|2020-07-01</x:v>
      </x:c>
      <x:c r="C39" t="str">
        <x:f>Rates_Raw!D39</x:f>
        <x:v>0381</x:v>
      </x:c>
      <x:c r="D39" t="str">
        <x:f>Rates_Raw!C39</x:f>
        <x:v>2020/07/01</x:v>
      </x:c>
      <x:c r="E39" t="str">
        <x:f>Rates_Raw!F39</x:f>
        <x:v>911</x:v>
      </x:c>
      <x:c r="F39" t="n">
        <x:f>COUNTIF(Rates_Raw!$AF$5:$AF$464,B39)</x:f>
        <x:v>1</x:v>
      </x:c>
      <x:c r="G39" t="str">
        <x:f>IF(F39=1,"UNIQUE",IF(COUNTIFS(Rates_Raw!$AF$5:$AF$464,B39,Rates_Raw!$H$5:$H$464,Rates_Raw!H39,Rates_Raw!$L$5:$L$464,Rates_Raw!L39)=F39,"REPEATED SOURCE ROW","CONFLICTING KEY"))</x:f>
        <x:v>UNIQUE</x:v>
      </x:c>
      <x:c r="H39" t="str">
        <x:f>IF(F39&gt;1,"REVIEW","OK")</x:f>
        <x:v>OK</x:v>
      </x:c>
      <x:c r="I39" t="str">
        <x:f>Rates_Raw!H39</x:f>
        <x:v>0381S</x:v>
      </x:c>
      <x:c r="J39" t="str">
        <x:f>Rates_Raw!L39</x:f>
        <x:v>$74.0125</x:v>
      </x:c>
    </x:row>
    <x:row r="40">
      <x:c r="A40" t="n">
        <x:f>Rates_Raw!A40</x:f>
        <x:v>26268</x:v>
      </x:c>
      <x:c r="B40" t="str">
        <x:f>Rates_Raw!AF40</x:f>
        <x:v>0381|COMMN|2024-01-06</x:v>
      </x:c>
      <x:c r="C40" t="str">
        <x:f>Rates_Raw!D40</x:f>
        <x:v>0381</x:v>
      </x:c>
      <x:c r="D40" t="str">
        <x:f>Rates_Raw!C40</x:f>
        <x:v>2024/01/06</x:v>
      </x:c>
      <x:c r="E40" t="str">
        <x:f>Rates_Raw!F40</x:f>
        <x:v>911</x:v>
      </x:c>
      <x:c r="F40" t="n">
        <x:f>COUNTIF(Rates_Raw!$AF$5:$AF$464,B40)</x:f>
        <x:v>1</x:v>
      </x:c>
      <x:c r="G40" t="str">
        <x:f>IF(F40=1,"UNIQUE",IF(COUNTIFS(Rates_Raw!$AF$5:$AF$464,B40,Rates_Raw!$H$5:$H$464,Rates_Raw!H40,Rates_Raw!$L$5:$L$464,Rates_Raw!L40)=F40,"REPEATED SOURCE ROW","CONFLICTING KEY"))</x:f>
        <x:v>UNIQUE</x:v>
      </x:c>
      <x:c r="H40" t="str">
        <x:f>IF(F40&gt;1,"REVIEW","OK")</x:f>
        <x:v>OK</x:v>
      </x:c>
      <x:c r="I40" t="str">
        <x:f>Rates_Raw!H40</x:f>
        <x:v>0381Y</x:v>
      </x:c>
      <x:c r="J40" t="str">
        <x:f>Rates_Raw!L40</x:f>
        <x:v>$84.7625</x:v>
      </x:c>
    </x:row>
    <x:row r="41">
      <x:c r="A41" t="n">
        <x:f>Rates_Raw!A41</x:f>
        <x:v>28013</x:v>
      </x:c>
      <x:c r="B41" t="str">
        <x:f>Rates_Raw!AF41</x:f>
        <x:v>0381|COMMN|2024-07-01</x:v>
      </x:c>
      <x:c r="C41" t="str">
        <x:f>Rates_Raw!D41</x:f>
        <x:v>0381</x:v>
      </x:c>
      <x:c r="D41" t="str">
        <x:f>Rates_Raw!C41</x:f>
        <x:v>2024/07/01</x:v>
      </x:c>
      <x:c r="E41" t="str">
        <x:f>Rates_Raw!F41</x:f>
        <x:v>911</x:v>
      </x:c>
      <x:c r="F41" t="n">
        <x:f>COUNTIF(Rates_Raw!$AF$5:$AF$464,B41)</x:f>
        <x:v>1</x:v>
      </x:c>
      <x:c r="G41" t="str">
        <x:f>IF(F41=1,"UNIQUE",IF(COUNTIFS(Rates_Raw!$AF$5:$AF$464,B41,Rates_Raw!$H$5:$H$464,Rates_Raw!H41,Rates_Raw!$L$5:$L$464,Rates_Raw!L41)=F41,"REPEATED SOURCE ROW","CONFLICTING KEY"))</x:f>
        <x:v>UNIQUE</x:v>
      </x:c>
      <x:c r="H41" t="str">
        <x:f>IF(F41&gt;1,"REVIEW","OK")</x:f>
        <x:v>OK</x:v>
      </x:c>
      <x:c r="I41" t="str">
        <x:f>Rates_Raw!H41</x:f>
        <x:v>0381Z</x:v>
      </x:c>
      <x:c r="J41" t="str">
        <x:f>Rates_Raw!L41</x:f>
        <x:v>$84.7625</x:v>
      </x:c>
    </x:row>
    <x:row r="42">
      <x:c r="A42" t="n">
        <x:f>Rates_Raw!A42</x:f>
        <x:v>29719</x:v>
      </x:c>
      <x:c r="B42" t="str">
        <x:f>Rates_Raw!AF42</x:f>
        <x:v>0381|COMMN|2025-01-04</x:v>
      </x:c>
      <x:c r="C42" t="str">
        <x:f>Rates_Raw!D42</x:f>
        <x:v>0381</x:v>
      </x:c>
      <x:c r="D42" t="str">
        <x:f>Rates_Raw!C42</x:f>
        <x:v>2025/01/04</x:v>
      </x:c>
      <x:c r="E42" t="str">
        <x:f>Rates_Raw!F42</x:f>
        <x:v>911</x:v>
      </x:c>
      <x:c r="F42" t="n">
        <x:f>COUNTIF(Rates_Raw!$AF$5:$AF$464,B42)</x:f>
        <x:v>1</x:v>
      </x:c>
      <x:c r="G42" t="str">
        <x:f>IF(F42=1,"UNIQUE",IF(COUNTIFS(Rates_Raw!$AF$5:$AF$464,B42,Rates_Raw!$H$5:$H$464,Rates_Raw!H42,Rates_Raw!$L$5:$L$464,Rates_Raw!L42)=F42,"REPEATED SOURCE ROW","CONFLICTING KEY"))</x:f>
        <x:v>UNIQUE</x:v>
      </x:c>
      <x:c r="H42" t="str">
        <x:f>IF(F42&gt;1,"REVIEW","OK")</x:f>
        <x:v>OK</x:v>
      </x:c>
      <x:c r="I42" t="str">
        <x:f>Rates_Raw!H42</x:f>
        <x:v>0381A</x:v>
      </x:c>
      <x:c r="J42" t="str">
        <x:f>Rates_Raw!L42</x:f>
        <x:v>$87.3000</x:v>
      </x:c>
    </x:row>
    <x:row r="43">
      <x:c r="A43" t="n">
        <x:f>Rates_Raw!A43</x:f>
        <x:v>31431</x:v>
      </x:c>
      <x:c r="B43" t="str">
        <x:f>Rates_Raw!AF43</x:f>
        <x:v>0381|COMMN|2025-07-01</x:v>
      </x:c>
      <x:c r="C43" t="str">
        <x:f>Rates_Raw!D43</x:f>
        <x:v>0381</x:v>
      </x:c>
      <x:c r="D43" t="str">
        <x:f>Rates_Raw!C43</x:f>
        <x:v>2025/07/01</x:v>
      </x:c>
      <x:c r="E43" t="str">
        <x:f>Rates_Raw!F43</x:f>
        <x:v>911</x:v>
      </x:c>
      <x:c r="F43" t="n">
        <x:f>COUNTIF(Rates_Raw!$AF$5:$AF$464,B43)</x:f>
        <x:v>1</x:v>
      </x:c>
      <x:c r="G43" t="str">
        <x:f>IF(F43=1,"UNIQUE",IF(COUNTIFS(Rates_Raw!$AF$5:$AF$464,B43,Rates_Raw!$H$5:$H$464,Rates_Raw!H43,Rates_Raw!$L$5:$L$464,Rates_Raw!L43)=F43,"REPEATED SOURCE ROW","CONFLICTING KEY"))</x:f>
        <x:v>UNIQUE</x:v>
      </x:c>
      <x:c r="H43" t="str">
        <x:f>IF(F43&gt;1,"REVIEW","OK")</x:f>
        <x:v>OK</x:v>
      </x:c>
      <x:c r="I43" t="str">
        <x:f>Rates_Raw!H43</x:f>
        <x:v>0381B</x:v>
      </x:c>
      <x:c r="J43" t="str">
        <x:f>Rates_Raw!L43</x:f>
        <x:v>$89.9250</x:v>
      </x:c>
    </x:row>
    <x:row r="44">
      <x:c r="A44" t="n">
        <x:f>Rates_Raw!A44</x:f>
        <x:v>15917</x:v>
      </x:c>
      <x:c r="B44" t="str">
        <x:f>Rates_Raw!AF44</x:f>
        <x:v>0382|COMMN|2020-07-01</x:v>
      </x:c>
      <x:c r="C44" t="str">
        <x:f>Rates_Raw!D44</x:f>
        <x:v>0382</x:v>
      </x:c>
      <x:c r="D44" t="str">
        <x:f>Rates_Raw!C44</x:f>
        <x:v>2020/07/01</x:v>
      </x:c>
      <x:c r="E44" t="str">
        <x:f>Rates_Raw!F44</x:f>
        <x:v>911</x:v>
      </x:c>
      <x:c r="F44" t="n">
        <x:f>COUNTIF(Rates_Raw!$AF$5:$AF$464,B44)</x:f>
        <x:v>1</x:v>
      </x:c>
      <x:c r="G44" t="str">
        <x:f>IF(F44=1,"UNIQUE",IF(COUNTIFS(Rates_Raw!$AF$5:$AF$464,B44,Rates_Raw!$H$5:$H$464,Rates_Raw!H44,Rates_Raw!$L$5:$L$464,Rates_Raw!L44)=F44,"REPEATED SOURCE ROW","CONFLICTING KEY"))</x:f>
        <x:v>UNIQUE</x:v>
      </x:c>
      <x:c r="H44" t="str">
        <x:f>IF(F44&gt;1,"REVIEW","OK")</x:f>
        <x:v>OK</x:v>
      </x:c>
      <x:c r="I44" t="str">
        <x:f>Rates_Raw!H44</x:f>
        <x:v>0382S</x:v>
      </x:c>
      <x:c r="J44" t="str">
        <x:f>Rates_Raw!L44</x:f>
        <x:v>$75.4250</x:v>
      </x:c>
    </x:row>
    <x:row r="45">
      <x:c r="A45" t="n">
        <x:f>Rates_Raw!A45</x:f>
        <x:v>26269</x:v>
      </x:c>
      <x:c r="B45" t="str">
        <x:f>Rates_Raw!AF45</x:f>
        <x:v>0382|COMMN|2024-01-06</x:v>
      </x:c>
      <x:c r="C45" t="str">
        <x:f>Rates_Raw!D45</x:f>
        <x:v>0382</x:v>
      </x:c>
      <x:c r="D45" t="str">
        <x:f>Rates_Raw!C45</x:f>
        <x:v>2024/01/06</x:v>
      </x:c>
      <x:c r="E45" t="str">
        <x:f>Rates_Raw!F45</x:f>
        <x:v>911</x:v>
      </x:c>
      <x:c r="F45" t="n">
        <x:f>COUNTIF(Rates_Raw!$AF$5:$AF$464,B45)</x:f>
        <x:v>1</x:v>
      </x:c>
      <x:c r="G45" t="str">
        <x:f>IF(F45=1,"UNIQUE",IF(COUNTIFS(Rates_Raw!$AF$5:$AF$464,B45,Rates_Raw!$H$5:$H$464,Rates_Raw!H45,Rates_Raw!$L$5:$L$464,Rates_Raw!L45)=F45,"REPEATED SOURCE ROW","CONFLICTING KEY"))</x:f>
        <x:v>UNIQUE</x:v>
      </x:c>
      <x:c r="H45" t="str">
        <x:f>IF(F45&gt;1,"REVIEW","OK")</x:f>
        <x:v>OK</x:v>
      </x:c>
      <x:c r="I45" t="str">
        <x:f>Rates_Raw!H45</x:f>
        <x:v>0382Y</x:v>
      </x:c>
      <x:c r="J45" t="str">
        <x:f>Rates_Raw!L45</x:f>
        <x:v>$86.3750</x:v>
      </x:c>
    </x:row>
    <x:row r="46">
      <x:c r="A46" t="n">
        <x:f>Rates_Raw!A46</x:f>
        <x:v>28014</x:v>
      </x:c>
      <x:c r="B46" t="str">
        <x:f>Rates_Raw!AF46</x:f>
        <x:v>0382|COMMN|2024-07-01</x:v>
      </x:c>
      <x:c r="C46" t="str">
        <x:f>Rates_Raw!D46</x:f>
        <x:v>0382</x:v>
      </x:c>
      <x:c r="D46" t="str">
        <x:f>Rates_Raw!C46</x:f>
        <x:v>2024/07/01</x:v>
      </x:c>
      <x:c r="E46" t="str">
        <x:f>Rates_Raw!F46</x:f>
        <x:v>911</x:v>
      </x:c>
      <x:c r="F46" t="n">
        <x:f>COUNTIF(Rates_Raw!$AF$5:$AF$464,B46)</x:f>
        <x:v>1</x:v>
      </x:c>
      <x:c r="G46" t="str">
        <x:f>IF(F46=1,"UNIQUE",IF(COUNTIFS(Rates_Raw!$AF$5:$AF$464,B46,Rates_Raw!$H$5:$H$464,Rates_Raw!H46,Rates_Raw!$L$5:$L$464,Rates_Raw!L46)=F46,"REPEATED SOURCE ROW","CONFLICTING KEY"))</x:f>
        <x:v>UNIQUE</x:v>
      </x:c>
      <x:c r="H46" t="str">
        <x:f>IF(F46&gt;1,"REVIEW","OK")</x:f>
        <x:v>OK</x:v>
      </x:c>
      <x:c r="I46" t="str">
        <x:f>Rates_Raw!H46</x:f>
        <x:v>0382Z</x:v>
      </x:c>
      <x:c r="J46" t="str">
        <x:f>Rates_Raw!L46</x:f>
        <x:v>$86.3750</x:v>
      </x:c>
    </x:row>
    <x:row r="47">
      <x:c r="A47" t="n">
        <x:f>Rates_Raw!A47</x:f>
        <x:v>29720</x:v>
      </x:c>
      <x:c r="B47" t="str">
        <x:f>Rates_Raw!AF47</x:f>
        <x:v>0382|COMMN|2025-01-04</x:v>
      </x:c>
      <x:c r="C47" t="str">
        <x:f>Rates_Raw!D47</x:f>
        <x:v>0382</x:v>
      </x:c>
      <x:c r="D47" t="str">
        <x:f>Rates_Raw!C47</x:f>
        <x:v>2025/01/04</x:v>
      </x:c>
      <x:c r="E47" t="str">
        <x:f>Rates_Raw!F47</x:f>
        <x:v>911</x:v>
      </x:c>
      <x:c r="F47" t="n">
        <x:f>COUNTIF(Rates_Raw!$AF$5:$AF$464,B47)</x:f>
        <x:v>1</x:v>
      </x:c>
      <x:c r="G47" t="str">
        <x:f>IF(F47=1,"UNIQUE",IF(COUNTIFS(Rates_Raw!$AF$5:$AF$464,B47,Rates_Raw!$H$5:$H$464,Rates_Raw!H47,Rates_Raw!$L$5:$L$464,Rates_Raw!L47)=F47,"REPEATED SOURCE ROW","CONFLICTING KEY"))</x:f>
        <x:v>UNIQUE</x:v>
      </x:c>
      <x:c r="H47" t="str">
        <x:f>IF(F47&gt;1,"REVIEW","OK")</x:f>
        <x:v>OK</x:v>
      </x:c>
      <x:c r="I47" t="str">
        <x:f>Rates_Raw!H47</x:f>
        <x:v>0382A</x:v>
      </x:c>
      <x:c r="J47" t="str">
        <x:f>Rates_Raw!L47</x:f>
        <x:v>$88.9625</x:v>
      </x:c>
    </x:row>
    <x:row r="48">
      <x:c r="A48" t="n">
        <x:f>Rates_Raw!A48</x:f>
        <x:v>31432</x:v>
      </x:c>
      <x:c r="B48" t="str">
        <x:f>Rates_Raw!AF48</x:f>
        <x:v>0382|COMMN|2025-07-01</x:v>
      </x:c>
      <x:c r="C48" t="str">
        <x:f>Rates_Raw!D48</x:f>
        <x:v>0382</x:v>
      </x:c>
      <x:c r="D48" t="str">
        <x:f>Rates_Raw!C48</x:f>
        <x:v>2025/07/01</x:v>
      </x:c>
      <x:c r="E48" t="str">
        <x:f>Rates_Raw!F48</x:f>
        <x:v>911</x:v>
      </x:c>
      <x:c r="F48" t="n">
        <x:f>COUNTIF(Rates_Raw!$AF$5:$AF$464,B48)</x:f>
        <x:v>1</x:v>
      </x:c>
      <x:c r="G48" t="str">
        <x:f>IF(F48=1,"UNIQUE",IF(COUNTIFS(Rates_Raw!$AF$5:$AF$464,B48,Rates_Raw!$H$5:$H$464,Rates_Raw!H48,Rates_Raw!$L$5:$L$464,Rates_Raw!L48)=F48,"REPEATED SOURCE ROW","CONFLICTING KEY"))</x:f>
        <x:v>UNIQUE</x:v>
      </x:c>
      <x:c r="H48" t="str">
        <x:f>IF(F48&gt;1,"REVIEW","OK")</x:f>
        <x:v>OK</x:v>
      </x:c>
      <x:c r="I48" t="str">
        <x:f>Rates_Raw!H48</x:f>
        <x:v>0382B</x:v>
      </x:c>
      <x:c r="J48" t="str">
        <x:f>Rates_Raw!L48</x:f>
        <x:v>$91.6375</x:v>
      </x:c>
    </x:row>
    <x:row r="49">
      <x:c r="A49" t="n">
        <x:f>Rates_Raw!A49</x:f>
        <x:v>31433</x:v>
      </x:c>
      <x:c r="B49" t="str">
        <x:f>Rates_Raw!AF49</x:f>
        <x:v>0385|COMMN|2025-07-01</x:v>
      </x:c>
      <x:c r="C49" t="str">
        <x:f>Rates_Raw!D49</x:f>
        <x:v>0385</x:v>
      </x:c>
      <x:c r="D49" t="str">
        <x:f>Rates_Raw!C49</x:f>
        <x:v>2025/07/01</x:v>
      </x:c>
      <x:c r="E49" t="str">
        <x:f>Rates_Raw!F49</x:f>
        <x:v>353</x:v>
      </x:c>
      <x:c r="F49" t="n">
        <x:f>COUNTIF(Rates_Raw!$AF$5:$AF$464,B49)</x:f>
        <x:v>1</x:v>
      </x:c>
      <x:c r="G49" t="str">
        <x:f>IF(F49=1,"UNIQUE",IF(COUNTIFS(Rates_Raw!$AF$5:$AF$464,B49,Rates_Raw!$H$5:$H$464,Rates_Raw!H49,Rates_Raw!$L$5:$L$464,Rates_Raw!L49)=F49,"REPEATED SOURCE ROW","CONFLICTING KEY"))</x:f>
        <x:v>UNIQUE</x:v>
      </x:c>
      <x:c r="H49" t="str">
        <x:f>IF(F49&gt;1,"REVIEW","OK")</x:f>
        <x:v>OK</x:v>
      </x:c>
      <x:c r="I49" t="str">
        <x:f>Rates_Raw!H49</x:f>
        <x:v>0385B</x:v>
      </x:c>
      <x:c r="J49" t="str">
        <x:f>Rates_Raw!L49</x:f>
        <x:v>$200.2125</x:v>
      </x:c>
    </x:row>
    <x:row r="50">
      <x:c r="A50" t="n">
        <x:f>Rates_Raw!A50</x:f>
        <x:v>15921</x:v>
      </x:c>
      <x:c r="B50" t="str">
        <x:f>Rates_Raw!AF50</x:f>
        <x:v>0390|COMMN|2020-07-01</x:v>
      </x:c>
      <x:c r="C50" t="str">
        <x:f>Rates_Raw!D50</x:f>
        <x:v>0390</x:v>
      </x:c>
      <x:c r="D50" t="str">
        <x:f>Rates_Raw!C50</x:f>
        <x:v>2020/07/01</x:v>
      </x:c>
      <x:c r="E50" t="str">
        <x:f>Rates_Raw!F50</x:f>
        <x:v>353</x:v>
      </x:c>
      <x:c r="F50" t="n">
        <x:f>COUNTIF(Rates_Raw!$AF$5:$AF$464,B50)</x:f>
        <x:v>1</x:v>
      </x:c>
      <x:c r="G50" t="str">
        <x:f>IF(F50=1,"UNIQUE",IF(COUNTIFS(Rates_Raw!$AF$5:$AF$464,B50,Rates_Raw!$H$5:$H$464,Rates_Raw!H50,Rates_Raw!$L$5:$L$464,Rates_Raw!L50)=F50,"REPEATED SOURCE ROW","CONFLICTING KEY"))</x:f>
        <x:v>UNIQUE</x:v>
      </x:c>
      <x:c r="H50" t="str">
        <x:f>IF(F50&gt;1,"REVIEW","OK")</x:f>
        <x:v>OK</x:v>
      </x:c>
      <x:c r="I50" t="str">
        <x:f>Rates_Raw!H50</x:f>
        <x:v>0390S</x:v>
      </x:c>
      <x:c r="J50" t="str">
        <x:f>Rates_Raw!L50</x:f>
        <x:v>$164.7875</x:v>
      </x:c>
    </x:row>
    <x:row r="51">
      <x:c r="A51" t="n">
        <x:f>Rates_Raw!A51</x:f>
        <x:v>26273</x:v>
      </x:c>
      <x:c r="B51" t="str">
        <x:f>Rates_Raw!AF51</x:f>
        <x:v>0390|COMMN|2024-01-06</x:v>
      </x:c>
      <x:c r="C51" t="str">
        <x:f>Rates_Raw!D51</x:f>
        <x:v>0390</x:v>
      </x:c>
      <x:c r="D51" t="str">
        <x:f>Rates_Raw!C51</x:f>
        <x:v>2024/01/06</x:v>
      </x:c>
      <x:c r="E51" t="str">
        <x:f>Rates_Raw!F51</x:f>
        <x:v>353</x:v>
      </x:c>
      <x:c r="F51" t="n">
        <x:f>COUNTIF(Rates_Raw!$AF$5:$AF$464,B51)</x:f>
        <x:v>1</x:v>
      </x:c>
      <x:c r="G51" t="str">
        <x:f>IF(F51=1,"UNIQUE",IF(COUNTIFS(Rates_Raw!$AF$5:$AF$464,B51,Rates_Raw!$H$5:$H$464,Rates_Raw!H51,Rates_Raw!$L$5:$L$464,Rates_Raw!L51)=F51,"REPEATED SOURCE ROW","CONFLICTING KEY"))</x:f>
        <x:v>UNIQUE</x:v>
      </x:c>
      <x:c r="H51" t="str">
        <x:f>IF(F51&gt;1,"REVIEW","OK")</x:f>
        <x:v>OK</x:v>
      </x:c>
      <x:c r="I51" t="str">
        <x:f>Rates_Raw!H51</x:f>
        <x:v>0390Y</x:v>
      </x:c>
      <x:c r="J51" t="str">
        <x:f>Rates_Raw!L51</x:f>
        <x:v>$188.7125</x:v>
      </x:c>
    </x:row>
    <x:row r="52">
      <x:c r="A52" t="n">
        <x:f>Rates_Raw!A52</x:f>
        <x:v>28015</x:v>
      </x:c>
      <x:c r="B52" t="str">
        <x:f>Rates_Raw!AF52</x:f>
        <x:v>0390|COMMN|2024-07-01</x:v>
      </x:c>
      <x:c r="C52" t="str">
        <x:f>Rates_Raw!D52</x:f>
        <x:v>0390</x:v>
      </x:c>
      <x:c r="D52" t="str">
        <x:f>Rates_Raw!C52</x:f>
        <x:v>2024/07/01</x:v>
      </x:c>
      <x:c r="E52" t="str">
        <x:f>Rates_Raw!F52</x:f>
        <x:v>353</x:v>
      </x:c>
      <x:c r="F52" t="n">
        <x:f>COUNTIF(Rates_Raw!$AF$5:$AF$464,B52)</x:f>
        <x:v>1</x:v>
      </x:c>
      <x:c r="G52" t="str">
        <x:f>IF(F52=1,"UNIQUE",IF(COUNTIFS(Rates_Raw!$AF$5:$AF$464,B52,Rates_Raw!$H$5:$H$464,Rates_Raw!H52,Rates_Raw!$L$5:$L$464,Rates_Raw!L52)=F52,"REPEATED SOURCE ROW","CONFLICTING KEY"))</x:f>
        <x:v>UNIQUE</x:v>
      </x:c>
      <x:c r="H52" t="str">
        <x:f>IF(F52&gt;1,"REVIEW","OK")</x:f>
        <x:v>OK</x:v>
      </x:c>
      <x:c r="I52" t="str">
        <x:f>Rates_Raw!H52</x:f>
        <x:v>0390Z</x:v>
      </x:c>
      <x:c r="J52" t="str">
        <x:f>Rates_Raw!L52</x:f>
        <x:v>$188.7125</x:v>
      </x:c>
    </x:row>
    <x:row r="53">
      <x:c r="A53" t="n">
        <x:f>Rates_Raw!A53</x:f>
        <x:v>29721</x:v>
      </x:c>
      <x:c r="B53" t="str">
        <x:f>Rates_Raw!AF53</x:f>
        <x:v>0390|COMMN|2025-01-04</x:v>
      </x:c>
      <x:c r="C53" t="str">
        <x:f>Rates_Raw!D53</x:f>
        <x:v>0390</x:v>
      </x:c>
      <x:c r="D53" t="str">
        <x:f>Rates_Raw!C53</x:f>
        <x:v>2025/01/04</x:v>
      </x:c>
      <x:c r="E53" t="str">
        <x:f>Rates_Raw!F53</x:f>
        <x:v>353</x:v>
      </x:c>
      <x:c r="F53" t="n">
        <x:f>COUNTIF(Rates_Raw!$AF$5:$AF$464,B53)</x:f>
        <x:v>1</x:v>
      </x:c>
      <x:c r="G53" t="str">
        <x:f>IF(F53=1,"UNIQUE",IF(COUNTIFS(Rates_Raw!$AF$5:$AF$464,B53,Rates_Raw!$H$5:$H$464,Rates_Raw!H53,Rates_Raw!$L$5:$L$464,Rates_Raw!L53)=F53,"REPEATED SOURCE ROW","CONFLICTING KEY"))</x:f>
        <x:v>UNIQUE</x:v>
      </x:c>
      <x:c r="H53" t="str">
        <x:f>IF(F53&gt;1,"REVIEW","OK")</x:f>
        <x:v>OK</x:v>
      </x:c>
      <x:c r="I53" t="str">
        <x:f>Rates_Raw!H53</x:f>
        <x:v>0390A</x:v>
      </x:c>
      <x:c r="J53" t="str">
        <x:f>Rates_Raw!L53</x:f>
        <x:v>$194.3750</x:v>
      </x:c>
    </x:row>
    <x:row r="54">
      <x:c r="A54" t="n">
        <x:f>Rates_Raw!A54</x:f>
        <x:v>31434</x:v>
      </x:c>
      <x:c r="B54" t="str">
        <x:f>Rates_Raw!AF54</x:f>
        <x:v>0390|COMMN|2025-07-01</x:v>
      </x:c>
      <x:c r="C54" t="str">
        <x:f>Rates_Raw!D54</x:f>
        <x:v>0390</x:v>
      </x:c>
      <x:c r="D54" t="str">
        <x:f>Rates_Raw!C54</x:f>
        <x:v>2025/07/01</x:v>
      </x:c>
      <x:c r="E54" t="str">
        <x:f>Rates_Raw!F54</x:f>
        <x:v>353</x:v>
      </x:c>
      <x:c r="F54" t="n">
        <x:f>COUNTIF(Rates_Raw!$AF$5:$AF$464,B54)</x:f>
        <x:v>1</x:v>
      </x:c>
      <x:c r="G54" t="str">
        <x:f>IF(F54=1,"UNIQUE",IF(COUNTIFS(Rates_Raw!$AF$5:$AF$464,B54,Rates_Raw!$H$5:$H$464,Rates_Raw!H54,Rates_Raw!$L$5:$L$464,Rates_Raw!L54)=F54,"REPEATED SOURCE ROW","CONFLICTING KEY"))</x:f>
        <x:v>UNIQUE</x:v>
      </x:c>
      <x:c r="H54" t="str">
        <x:f>IF(F54&gt;1,"REVIEW","OK")</x:f>
        <x:v>OK</x:v>
      </x:c>
      <x:c r="I54" t="str">
        <x:f>Rates_Raw!H54</x:f>
        <x:v>0390B</x:v>
      </x:c>
      <x:c r="J54" t="str">
        <x:f>Rates_Raw!L54</x:f>
        <x:v>$200.2125</x:v>
      </x:c>
    </x:row>
    <x:row r="55">
      <x:c r="A55" t="n">
        <x:f>Rates_Raw!A55</x:f>
        <x:v>26274</x:v>
      </x:c>
      <x:c r="B55" t="str">
        <x:f>Rates_Raw!AF55</x:f>
        <x:v>0395|COMMN|2024-01-06</x:v>
      </x:c>
      <x:c r="C55" t="str">
        <x:f>Rates_Raw!D55</x:f>
        <x:v>0395</x:v>
      </x:c>
      <x:c r="D55" t="str">
        <x:f>Rates_Raw!C55</x:f>
        <x:v>2024/01/06</x:v>
      </x:c>
      <x:c r="E55" t="str">
        <x:f>Rates_Raw!F55</x:f>
        <x:v>353</x:v>
      </x:c>
      <x:c r="F55" t="n">
        <x:f>COUNTIF(Rates_Raw!$AF$5:$AF$464,B55)</x:f>
        <x:v>1</x:v>
      </x:c>
      <x:c r="G55" t="str">
        <x:f>IF(F55=1,"UNIQUE",IF(COUNTIFS(Rates_Raw!$AF$5:$AF$464,B55,Rates_Raw!$H$5:$H$464,Rates_Raw!H55,Rates_Raw!$L$5:$L$464,Rates_Raw!L55)=F55,"REPEATED SOURCE ROW","CONFLICTING KEY"))</x:f>
        <x:v>UNIQUE</x:v>
      </x:c>
      <x:c r="H55" t="str">
        <x:f>IF(F55&gt;1,"REVIEW","OK")</x:f>
        <x:v>OK</x:v>
      </x:c>
      <x:c r="I55" t="str">
        <x:f>Rates_Raw!H55</x:f>
        <x:v>0395Y</x:v>
      </x:c>
      <x:c r="J55" t="str">
        <x:f>Rates_Raw!L55</x:f>
        <x:v>$173.9750</x:v>
      </x:c>
    </x:row>
    <x:row r="56">
      <x:c r="A56" t="n">
        <x:f>Rates_Raw!A56</x:f>
        <x:v>28016</x:v>
      </x:c>
      <x:c r="B56" t="str">
        <x:f>Rates_Raw!AF56</x:f>
        <x:v>0395|COMMN|2024-07-01</x:v>
      </x:c>
      <x:c r="C56" t="str">
        <x:f>Rates_Raw!D56</x:f>
        <x:v>0395</x:v>
      </x:c>
      <x:c r="D56" t="str">
        <x:f>Rates_Raw!C56</x:f>
        <x:v>2024/07/01</x:v>
      </x:c>
      <x:c r="E56" t="str">
        <x:f>Rates_Raw!F56</x:f>
        <x:v>353</x:v>
      </x:c>
      <x:c r="F56" t="n">
        <x:f>COUNTIF(Rates_Raw!$AF$5:$AF$464,B56)</x:f>
        <x:v>1</x:v>
      </x:c>
      <x:c r="G56" t="str">
        <x:f>IF(F56=1,"UNIQUE",IF(COUNTIFS(Rates_Raw!$AF$5:$AF$464,B56,Rates_Raw!$H$5:$H$464,Rates_Raw!H56,Rates_Raw!$L$5:$L$464,Rates_Raw!L56)=F56,"REPEATED SOURCE ROW","CONFLICTING KEY"))</x:f>
        <x:v>UNIQUE</x:v>
      </x:c>
      <x:c r="H56" t="str">
        <x:f>IF(F56&gt;1,"REVIEW","OK")</x:f>
        <x:v>OK</x:v>
      </x:c>
      <x:c r="I56" t="str">
        <x:f>Rates_Raw!H56</x:f>
        <x:v>0395Z</x:v>
      </x:c>
      <x:c r="J56" t="str">
        <x:f>Rates_Raw!L56</x:f>
        <x:v>$173.9750</x:v>
      </x:c>
    </x:row>
    <x:row r="57">
      <x:c r="A57" t="n">
        <x:f>Rates_Raw!A57</x:f>
        <x:v>29722</x:v>
      </x:c>
      <x:c r="B57" t="str">
        <x:f>Rates_Raw!AF57</x:f>
        <x:v>0395|COMMN|2025-01-04</x:v>
      </x:c>
      <x:c r="C57" t="str">
        <x:f>Rates_Raw!D57</x:f>
        <x:v>0395</x:v>
      </x:c>
      <x:c r="D57" t="str">
        <x:f>Rates_Raw!C57</x:f>
        <x:v>2025/01/04</x:v>
      </x:c>
      <x:c r="E57" t="str">
        <x:f>Rates_Raw!F57</x:f>
        <x:v>353</x:v>
      </x:c>
      <x:c r="F57" t="n">
        <x:f>COUNTIF(Rates_Raw!$AF$5:$AF$464,B57)</x:f>
        <x:v>1</x:v>
      </x:c>
      <x:c r="G57" t="str">
        <x:f>IF(F57=1,"UNIQUE",IF(COUNTIFS(Rates_Raw!$AF$5:$AF$464,B57,Rates_Raw!$H$5:$H$464,Rates_Raw!H57,Rates_Raw!$L$5:$L$464,Rates_Raw!L57)=F57,"REPEATED SOURCE ROW","CONFLICTING KEY"))</x:f>
        <x:v>UNIQUE</x:v>
      </x:c>
      <x:c r="H57" t="str">
        <x:f>IF(F57&gt;1,"REVIEW","OK")</x:f>
        <x:v>OK</x:v>
      </x:c>
      <x:c r="I57" t="str">
        <x:f>Rates_Raw!H57</x:f>
        <x:v>0395A</x:v>
      </x:c>
      <x:c r="J57" t="str">
        <x:f>Rates_Raw!L57</x:f>
        <x:v>$179.2000</x:v>
      </x:c>
    </x:row>
    <x:row r="58">
      <x:c r="A58" t="n">
        <x:f>Rates_Raw!A58</x:f>
        <x:v>31435</x:v>
      </x:c>
      <x:c r="B58" t="str">
        <x:f>Rates_Raw!AF58</x:f>
        <x:v>0395|COMMN|2025-07-01</x:v>
      </x:c>
      <x:c r="C58" t="str">
        <x:f>Rates_Raw!D58</x:f>
        <x:v>0395</x:v>
      </x:c>
      <x:c r="D58" t="str">
        <x:f>Rates_Raw!C58</x:f>
        <x:v>2025/07/01</x:v>
      </x:c>
      <x:c r="E58" t="str">
        <x:f>Rates_Raw!F58</x:f>
        <x:v>353</x:v>
      </x:c>
      <x:c r="F58" t="n">
        <x:f>COUNTIF(Rates_Raw!$AF$5:$AF$464,B58)</x:f>
        <x:v>1</x:v>
      </x:c>
      <x:c r="G58" t="str">
        <x:f>IF(F58=1,"UNIQUE",IF(COUNTIFS(Rates_Raw!$AF$5:$AF$464,B58,Rates_Raw!$H$5:$H$464,Rates_Raw!H58,Rates_Raw!$L$5:$L$464,Rates_Raw!L58)=F58,"REPEATED SOURCE ROW","CONFLICTING KEY"))</x:f>
        <x:v>UNIQUE</x:v>
      </x:c>
      <x:c r="H58" t="str">
        <x:f>IF(F58&gt;1,"REVIEW","OK")</x:f>
        <x:v>OK</x:v>
      </x:c>
      <x:c r="I58" t="str">
        <x:f>Rates_Raw!H58</x:f>
        <x:v>0395B</x:v>
      </x:c>
      <x:c r="J58" t="str">
        <x:f>Rates_Raw!L58</x:f>
        <x:v>$184.5750</x:v>
      </x:c>
    </x:row>
    <x:row r="59">
      <x:c r="A59" t="n">
        <x:f>Rates_Raw!A59</x:f>
        <x:v>26275</x:v>
      </x:c>
      <x:c r="B59" t="str">
        <x:f>Rates_Raw!AF59</x:f>
        <x:v>0400|COMMN|2024-01-06</x:v>
      </x:c>
      <x:c r="C59" t="str">
        <x:f>Rates_Raw!D59</x:f>
        <x:v>0400</x:v>
      </x:c>
      <x:c r="D59" t="str">
        <x:f>Rates_Raw!C59</x:f>
        <x:v>2024/01/06</x:v>
      </x:c>
      <x:c r="E59" t="str">
        <x:f>Rates_Raw!F59</x:f>
        <x:v>353</x:v>
      </x:c>
      <x:c r="F59" t="n">
        <x:f>COUNTIF(Rates_Raw!$AF$5:$AF$464,B59)</x:f>
        <x:v>1</x:v>
      </x:c>
      <x:c r="G59" t="str">
        <x:f>IF(F59=1,"UNIQUE",IF(COUNTIFS(Rates_Raw!$AF$5:$AF$464,B59,Rates_Raw!$H$5:$H$464,Rates_Raw!H59,Rates_Raw!$L$5:$L$464,Rates_Raw!L59)=F59,"REPEATED SOURCE ROW","CONFLICTING KEY"))</x:f>
        <x:v>UNIQUE</x:v>
      </x:c>
      <x:c r="H59" t="str">
        <x:f>IF(F59&gt;1,"REVIEW","OK")</x:f>
        <x:v>OK</x:v>
      </x:c>
      <x:c r="I59" t="str">
        <x:f>Rates_Raw!H59</x:f>
        <x:v>0400Y</x:v>
      </x:c>
      <x:c r="J59" t="str">
        <x:f>Rates_Raw!L59</x:f>
        <x:v>$155.5500</x:v>
      </x:c>
    </x:row>
    <x:row r="60">
      <x:c r="A60" t="n">
        <x:f>Rates_Raw!A60</x:f>
        <x:v>28017</x:v>
      </x:c>
      <x:c r="B60" t="str">
        <x:f>Rates_Raw!AF60</x:f>
        <x:v>0400|COMMN|2024-07-01</x:v>
      </x:c>
      <x:c r="C60" t="str">
        <x:f>Rates_Raw!D60</x:f>
        <x:v>0400</x:v>
      </x:c>
      <x:c r="D60" t="str">
        <x:f>Rates_Raw!C60</x:f>
        <x:v>2024/07/01</x:v>
      </x:c>
      <x:c r="E60" t="str">
        <x:f>Rates_Raw!F60</x:f>
        <x:v>353</x:v>
      </x:c>
      <x:c r="F60" t="n">
        <x:f>COUNTIF(Rates_Raw!$AF$5:$AF$464,B60)</x:f>
        <x:v>1</x:v>
      </x:c>
      <x:c r="G60" t="str">
        <x:f>IF(F60=1,"UNIQUE",IF(COUNTIFS(Rates_Raw!$AF$5:$AF$464,B60,Rates_Raw!$H$5:$H$464,Rates_Raw!H60,Rates_Raw!$L$5:$L$464,Rates_Raw!L60)=F60,"REPEATED SOURCE ROW","CONFLICTING KEY"))</x:f>
        <x:v>UNIQUE</x:v>
      </x:c>
      <x:c r="H60" t="str">
        <x:f>IF(F60&gt;1,"REVIEW","OK")</x:f>
        <x:v>OK</x:v>
      </x:c>
      <x:c r="I60" t="str">
        <x:f>Rates_Raw!H60</x:f>
        <x:v>0400Z</x:v>
      </x:c>
      <x:c r="J60" t="str">
        <x:f>Rates_Raw!L60</x:f>
        <x:v>$155.5500</x:v>
      </x:c>
    </x:row>
    <x:row r="61">
      <x:c r="A61" t="n">
        <x:f>Rates_Raw!A61</x:f>
        <x:v>29723</x:v>
      </x:c>
      <x:c r="B61" t="str">
        <x:f>Rates_Raw!AF61</x:f>
        <x:v>0400|COMMN|2025-01-04</x:v>
      </x:c>
      <x:c r="C61" t="str">
        <x:f>Rates_Raw!D61</x:f>
        <x:v>0400</x:v>
      </x:c>
      <x:c r="D61" t="str">
        <x:f>Rates_Raw!C61</x:f>
        <x:v>2025/01/04</x:v>
      </x:c>
      <x:c r="E61" t="str">
        <x:f>Rates_Raw!F61</x:f>
        <x:v>353</x:v>
      </x:c>
      <x:c r="F61" t="n">
        <x:f>COUNTIF(Rates_Raw!$AF$5:$AF$464,B61)</x:f>
        <x:v>1</x:v>
      </x:c>
      <x:c r="G61" t="str">
        <x:f>IF(F61=1,"UNIQUE",IF(COUNTIFS(Rates_Raw!$AF$5:$AF$464,B61,Rates_Raw!$H$5:$H$464,Rates_Raw!H61,Rates_Raw!$L$5:$L$464,Rates_Raw!L61)=F61,"REPEATED SOURCE ROW","CONFLICTING KEY"))</x:f>
        <x:v>UNIQUE</x:v>
      </x:c>
      <x:c r="H61" t="str">
        <x:f>IF(F61&gt;1,"REVIEW","OK")</x:f>
        <x:v>OK</x:v>
      </x:c>
      <x:c r="I61" t="str">
        <x:f>Rates_Raw!H61</x:f>
        <x:v>0400A</x:v>
      </x:c>
      <x:c r="J61" t="str">
        <x:f>Rates_Raw!L61</x:f>
        <x:v>$160.2125</x:v>
      </x:c>
    </x:row>
    <x:row r="62">
      <x:c r="A62" t="n">
        <x:f>Rates_Raw!A62</x:f>
        <x:v>31436</x:v>
      </x:c>
      <x:c r="B62" t="str">
        <x:f>Rates_Raw!AF62</x:f>
        <x:v>0400|COMMN|2025-07-01</x:v>
      </x:c>
      <x:c r="C62" t="str">
        <x:f>Rates_Raw!D62</x:f>
        <x:v>0400</x:v>
      </x:c>
      <x:c r="D62" t="str">
        <x:f>Rates_Raw!C62</x:f>
        <x:v>2025/07/01</x:v>
      </x:c>
      <x:c r="E62" t="str">
        <x:f>Rates_Raw!F62</x:f>
        <x:v>353</x:v>
      </x:c>
      <x:c r="F62" t="n">
        <x:f>COUNTIF(Rates_Raw!$AF$5:$AF$464,B62)</x:f>
        <x:v>1</x:v>
      </x:c>
      <x:c r="G62" t="str">
        <x:f>IF(F62=1,"UNIQUE",IF(COUNTIFS(Rates_Raw!$AF$5:$AF$464,B62,Rates_Raw!$H$5:$H$464,Rates_Raw!H62,Rates_Raw!$L$5:$L$464,Rates_Raw!L62)=F62,"REPEATED SOURCE ROW","CONFLICTING KEY"))</x:f>
        <x:v>UNIQUE</x:v>
      </x:c>
      <x:c r="H62" t="str">
        <x:f>IF(F62&gt;1,"REVIEW","OK")</x:f>
        <x:v>OK</x:v>
      </x:c>
      <x:c r="I62" t="str">
        <x:f>Rates_Raw!H62</x:f>
        <x:v>0400B</x:v>
      </x:c>
      <x:c r="J62" t="str">
        <x:f>Rates_Raw!L62</x:f>
        <x:v>$165.0250</x:v>
      </x:c>
    </x:row>
    <x:row r="63">
      <x:c r="A63" t="n">
        <x:f>Rates_Raw!A63</x:f>
        <x:v>26276</x:v>
      </x:c>
      <x:c r="B63" t="str">
        <x:f>Rates_Raw!AF63</x:f>
        <x:v>0401|COMMN|2024-01-06</x:v>
      </x:c>
      <x:c r="C63" t="str">
        <x:f>Rates_Raw!D63</x:f>
        <x:v>0401</x:v>
      </x:c>
      <x:c r="D63" t="str">
        <x:f>Rates_Raw!C63</x:f>
        <x:v>2024/01/06</x:v>
      </x:c>
      <x:c r="E63" t="str">
        <x:f>Rates_Raw!F63</x:f>
        <x:v>353</x:v>
      </x:c>
      <x:c r="F63" t="n">
        <x:f>COUNTIF(Rates_Raw!$AF$5:$AF$464,B63)</x:f>
        <x:v>1</x:v>
      </x:c>
      <x:c r="G63" t="str">
        <x:f>IF(F63=1,"UNIQUE",IF(COUNTIFS(Rates_Raw!$AF$5:$AF$464,B63,Rates_Raw!$H$5:$H$464,Rates_Raw!H63,Rates_Raw!$L$5:$L$464,Rates_Raw!L63)=F63,"REPEATED SOURCE ROW","CONFLICTING KEY"))</x:f>
        <x:v>UNIQUE</x:v>
      </x:c>
      <x:c r="H63" t="str">
        <x:f>IF(F63&gt;1,"REVIEW","OK")</x:f>
        <x:v>OK</x:v>
      </x:c>
      <x:c r="I63" t="str">
        <x:f>Rates_Raw!H63</x:f>
        <x:v>0401Y</x:v>
      </x:c>
      <x:c r="J63" t="str">
        <x:f>Rates_Raw!L63</x:f>
        <x:v>$164.9125</x:v>
      </x:c>
    </x:row>
    <x:row r="64">
      <x:c r="A64" t="n">
        <x:f>Rates_Raw!A64</x:f>
        <x:v>28018</x:v>
      </x:c>
      <x:c r="B64" t="str">
        <x:f>Rates_Raw!AF64</x:f>
        <x:v>0401|COMMN|2024-07-01</x:v>
      </x:c>
      <x:c r="C64" t="str">
        <x:f>Rates_Raw!D64</x:f>
        <x:v>0401</x:v>
      </x:c>
      <x:c r="D64" t="str">
        <x:f>Rates_Raw!C64</x:f>
        <x:v>2024/07/01</x:v>
      </x:c>
      <x:c r="E64" t="str">
        <x:f>Rates_Raw!F64</x:f>
        <x:v>353</x:v>
      </x:c>
      <x:c r="F64" t="n">
        <x:f>COUNTIF(Rates_Raw!$AF$5:$AF$464,B64)</x:f>
        <x:v>1</x:v>
      </x:c>
      <x:c r="G64" t="str">
        <x:f>IF(F64=1,"UNIQUE",IF(COUNTIFS(Rates_Raw!$AF$5:$AF$464,B64,Rates_Raw!$H$5:$H$464,Rates_Raw!H64,Rates_Raw!$L$5:$L$464,Rates_Raw!L64)=F64,"REPEATED SOURCE ROW","CONFLICTING KEY"))</x:f>
        <x:v>UNIQUE</x:v>
      </x:c>
      <x:c r="H64" t="str">
        <x:f>IF(F64&gt;1,"REVIEW","OK")</x:f>
        <x:v>OK</x:v>
      </x:c>
      <x:c r="I64" t="str">
        <x:f>Rates_Raw!H64</x:f>
        <x:v>0401Z</x:v>
      </x:c>
      <x:c r="J64" t="str">
        <x:f>Rates_Raw!L64</x:f>
        <x:v>$164.9125</x:v>
      </x:c>
    </x:row>
    <x:row r="65">
      <x:c r="A65" t="n">
        <x:f>Rates_Raw!A65</x:f>
        <x:v>29724</x:v>
      </x:c>
      <x:c r="B65" t="str">
        <x:f>Rates_Raw!AF65</x:f>
        <x:v>0401|COMMN|2025-01-04</x:v>
      </x:c>
      <x:c r="C65" t="str">
        <x:f>Rates_Raw!D65</x:f>
        <x:v>0401</x:v>
      </x:c>
      <x:c r="D65" t="str">
        <x:f>Rates_Raw!C65</x:f>
        <x:v>2025/01/04</x:v>
      </x:c>
      <x:c r="E65" t="str">
        <x:f>Rates_Raw!F65</x:f>
        <x:v>353</x:v>
      </x:c>
      <x:c r="F65" t="n">
        <x:f>COUNTIF(Rates_Raw!$AF$5:$AF$464,B65)</x:f>
        <x:v>1</x:v>
      </x:c>
      <x:c r="G65" t="str">
        <x:f>IF(F65=1,"UNIQUE",IF(COUNTIFS(Rates_Raw!$AF$5:$AF$464,B65,Rates_Raw!$H$5:$H$464,Rates_Raw!H65,Rates_Raw!$L$5:$L$464,Rates_Raw!L65)=F65,"REPEATED SOURCE ROW","CONFLICTING KEY"))</x:f>
        <x:v>UNIQUE</x:v>
      </x:c>
      <x:c r="H65" t="str">
        <x:f>IF(F65&gt;1,"REVIEW","OK")</x:f>
        <x:v>OK</x:v>
      </x:c>
      <x:c r="I65" t="str">
        <x:f>Rates_Raw!H65</x:f>
        <x:v>0401A</x:v>
      </x:c>
      <x:c r="J65" t="str">
        <x:f>Rates_Raw!L65</x:f>
        <x:v>$169.8625</x:v>
      </x:c>
    </x:row>
    <x:row r="66">
      <x:c r="A66" t="n">
        <x:f>Rates_Raw!A66</x:f>
        <x:v>31437</x:v>
      </x:c>
      <x:c r="B66" t="str">
        <x:f>Rates_Raw!AF66</x:f>
        <x:v>0401|COMMN|2025-07-01</x:v>
      </x:c>
      <x:c r="C66" t="str">
        <x:f>Rates_Raw!D66</x:f>
        <x:v>0401</x:v>
      </x:c>
      <x:c r="D66" t="str">
        <x:f>Rates_Raw!C66</x:f>
        <x:v>2025/07/01</x:v>
      </x:c>
      <x:c r="E66" t="str">
        <x:f>Rates_Raw!F66</x:f>
        <x:v>353</x:v>
      </x:c>
      <x:c r="F66" t="n">
        <x:f>COUNTIF(Rates_Raw!$AF$5:$AF$464,B66)</x:f>
        <x:v>1</x:v>
      </x:c>
      <x:c r="G66" t="str">
        <x:f>IF(F66=1,"UNIQUE",IF(COUNTIFS(Rates_Raw!$AF$5:$AF$464,B66,Rates_Raw!$H$5:$H$464,Rates_Raw!H66,Rates_Raw!$L$5:$L$464,Rates_Raw!L66)=F66,"REPEATED SOURCE ROW","CONFLICTING KEY"))</x:f>
        <x:v>UNIQUE</x:v>
      </x:c>
      <x:c r="H66" t="str">
        <x:f>IF(F66&gt;1,"REVIEW","OK")</x:f>
        <x:v>OK</x:v>
      </x:c>
      <x:c r="I66" t="str">
        <x:f>Rates_Raw!H66</x:f>
        <x:v>0401B</x:v>
      </x:c>
      <x:c r="J66" t="str">
        <x:f>Rates_Raw!L66</x:f>
        <x:v>$174.9625</x:v>
      </x:c>
    </x:row>
    <x:row r="67">
      <x:c r="A67" t="n">
        <x:f>Rates_Raw!A67</x:f>
        <x:v>26277</x:v>
      </x:c>
      <x:c r="B67" t="str">
        <x:f>Rates_Raw!AF67</x:f>
        <x:v>0402|COMMN|2024-01-06</x:v>
      </x:c>
      <x:c r="C67" t="str">
        <x:f>Rates_Raw!D67</x:f>
        <x:v>0402</x:v>
      </x:c>
      <x:c r="D67" t="str">
        <x:f>Rates_Raw!C67</x:f>
        <x:v>2024/01/06</x:v>
      </x:c>
      <x:c r="E67" t="str">
        <x:f>Rates_Raw!F67</x:f>
        <x:v>353</x:v>
      </x:c>
      <x:c r="F67" t="n">
        <x:f>COUNTIF(Rates_Raw!$AF$5:$AF$464,B67)</x:f>
        <x:v>1</x:v>
      </x:c>
      <x:c r="G67" t="str">
        <x:f>IF(F67=1,"UNIQUE",IF(COUNTIFS(Rates_Raw!$AF$5:$AF$464,B67,Rates_Raw!$H$5:$H$464,Rates_Raw!H67,Rates_Raw!$L$5:$L$464,Rates_Raw!L67)=F67,"REPEATED SOURCE ROW","CONFLICTING KEY"))</x:f>
        <x:v>UNIQUE</x:v>
      </x:c>
      <x:c r="H67" t="str">
        <x:f>IF(F67&gt;1,"REVIEW","OK")</x:f>
        <x:v>OK</x:v>
      </x:c>
      <x:c r="I67" t="str">
        <x:f>Rates_Raw!H67</x:f>
        <x:v>0402Y</x:v>
      </x:c>
      <x:c r="J67" t="str">
        <x:f>Rates_Raw!L67</x:f>
        <x:v>$168.0375</x:v>
      </x:c>
    </x:row>
    <x:row r="68">
      <x:c r="A68" t="n">
        <x:f>Rates_Raw!A68</x:f>
        <x:v>28019</x:v>
      </x:c>
      <x:c r="B68" t="str">
        <x:f>Rates_Raw!AF68</x:f>
        <x:v>0402|COMMN|2024-07-01</x:v>
      </x:c>
      <x:c r="C68" t="str">
        <x:f>Rates_Raw!D68</x:f>
        <x:v>0402</x:v>
      </x:c>
      <x:c r="D68" t="str">
        <x:f>Rates_Raw!C68</x:f>
        <x:v>2024/07/01</x:v>
      </x:c>
      <x:c r="E68" t="str">
        <x:f>Rates_Raw!F68</x:f>
        <x:v>353</x:v>
      </x:c>
      <x:c r="F68" t="n">
        <x:f>COUNTIF(Rates_Raw!$AF$5:$AF$464,B68)</x:f>
        <x:v>1</x:v>
      </x:c>
      <x:c r="G68" t="str">
        <x:f>IF(F68=1,"UNIQUE",IF(COUNTIFS(Rates_Raw!$AF$5:$AF$464,B68,Rates_Raw!$H$5:$H$464,Rates_Raw!H68,Rates_Raw!$L$5:$L$464,Rates_Raw!L68)=F68,"REPEATED SOURCE ROW","CONFLICTING KEY"))</x:f>
        <x:v>UNIQUE</x:v>
      </x:c>
      <x:c r="H68" t="str">
        <x:f>IF(F68&gt;1,"REVIEW","OK")</x:f>
        <x:v>OK</x:v>
      </x:c>
      <x:c r="I68" t="str">
        <x:f>Rates_Raw!H68</x:f>
        <x:v>0402Z</x:v>
      </x:c>
      <x:c r="J68" t="str">
        <x:f>Rates_Raw!L68</x:f>
        <x:v>$168.0375</x:v>
      </x:c>
    </x:row>
    <x:row r="69">
      <x:c r="A69" t="n">
        <x:f>Rates_Raw!A69</x:f>
        <x:v>29725</x:v>
      </x:c>
      <x:c r="B69" t="str">
        <x:f>Rates_Raw!AF69</x:f>
        <x:v>0402|COMMN|2025-01-04</x:v>
      </x:c>
      <x:c r="C69" t="str">
        <x:f>Rates_Raw!D69</x:f>
        <x:v>0402</x:v>
      </x:c>
      <x:c r="D69" t="str">
        <x:f>Rates_Raw!C69</x:f>
        <x:v>2025/01/04</x:v>
      </x:c>
      <x:c r="E69" t="str">
        <x:f>Rates_Raw!F69</x:f>
        <x:v>353</x:v>
      </x:c>
      <x:c r="F69" t="n">
        <x:f>COUNTIF(Rates_Raw!$AF$5:$AF$464,B69)</x:f>
        <x:v>1</x:v>
      </x:c>
      <x:c r="G69" t="str">
        <x:f>IF(F69=1,"UNIQUE",IF(COUNTIFS(Rates_Raw!$AF$5:$AF$464,B69,Rates_Raw!$H$5:$H$464,Rates_Raw!H69,Rates_Raw!$L$5:$L$464,Rates_Raw!L69)=F69,"REPEATED SOURCE ROW","CONFLICTING KEY"))</x:f>
        <x:v>UNIQUE</x:v>
      </x:c>
      <x:c r="H69" t="str">
        <x:f>IF(F69&gt;1,"REVIEW","OK")</x:f>
        <x:v>OK</x:v>
      </x:c>
      <x:c r="I69" t="str">
        <x:f>Rates_Raw!H69</x:f>
        <x:v>0402A</x:v>
      </x:c>
      <x:c r="J69" t="str">
        <x:f>Rates_Raw!L69</x:f>
        <x:v>$173.0750</x:v>
      </x:c>
    </x:row>
    <x:row r="70">
      <x:c r="A70" t="n">
        <x:f>Rates_Raw!A70</x:f>
        <x:v>31438</x:v>
      </x:c>
      <x:c r="B70" t="str">
        <x:f>Rates_Raw!AF70</x:f>
        <x:v>0402|COMMN|2025-07-01</x:v>
      </x:c>
      <x:c r="C70" t="str">
        <x:f>Rates_Raw!D70</x:f>
        <x:v>0402</x:v>
      </x:c>
      <x:c r="D70" t="str">
        <x:f>Rates_Raw!C70</x:f>
        <x:v>2025/07/01</x:v>
      </x:c>
      <x:c r="E70" t="str">
        <x:f>Rates_Raw!F70</x:f>
        <x:v>353</x:v>
      </x:c>
      <x:c r="F70" t="n">
        <x:f>COUNTIF(Rates_Raw!$AF$5:$AF$464,B70)</x:f>
        <x:v>1</x:v>
      </x:c>
      <x:c r="G70" t="str">
        <x:f>IF(F70=1,"UNIQUE",IF(COUNTIFS(Rates_Raw!$AF$5:$AF$464,B70,Rates_Raw!$H$5:$H$464,Rates_Raw!H70,Rates_Raw!$L$5:$L$464,Rates_Raw!L70)=F70,"REPEATED SOURCE ROW","CONFLICTING KEY"))</x:f>
        <x:v>UNIQUE</x:v>
      </x:c>
      <x:c r="H70" t="str">
        <x:f>IF(F70&gt;1,"REVIEW","OK")</x:f>
        <x:v>OK</x:v>
      </x:c>
      <x:c r="I70" t="str">
        <x:f>Rates_Raw!H70</x:f>
        <x:v>0402B</x:v>
      </x:c>
      <x:c r="J70" t="str">
        <x:f>Rates_Raw!L70</x:f>
        <x:v>$178.2625</x:v>
      </x:c>
    </x:row>
    <x:row r="71">
      <x:c r="A71" t="n">
        <x:f>Rates_Raw!A71</x:f>
        <x:v>26278</x:v>
      </x:c>
      <x:c r="B71" t="str">
        <x:f>Rates_Raw!AF71</x:f>
        <x:v>0488|COMMN|2024-01-06</x:v>
      </x:c>
      <x:c r="C71" t="str">
        <x:f>Rates_Raw!D71</x:f>
        <x:v>0488</x:v>
      </x:c>
      <x:c r="D71" t="str">
        <x:f>Rates_Raw!C71</x:f>
        <x:v>2024/01/06</x:v>
      </x:c>
      <x:c r="E71" t="str">
        <x:f>Rates_Raw!F71</x:f>
        <x:v>353</x:v>
      </x:c>
      <x:c r="F71" t="n">
        <x:f>COUNTIF(Rates_Raw!$AF$5:$AF$464,B71)</x:f>
        <x:v>1</x:v>
      </x:c>
      <x:c r="G71" t="str">
        <x:f>IF(F71=1,"UNIQUE",IF(COUNTIFS(Rates_Raw!$AF$5:$AF$464,B71,Rates_Raw!$H$5:$H$464,Rates_Raw!H71,Rates_Raw!$L$5:$L$464,Rates_Raw!L71)=F71,"REPEATED SOURCE ROW","CONFLICTING KEY"))</x:f>
        <x:v>UNIQUE</x:v>
      </x:c>
      <x:c r="H71" t="str">
        <x:f>IF(F71&gt;1,"REVIEW","OK")</x:f>
        <x:v>OK</x:v>
      </x:c>
      <x:c r="I71" t="str">
        <x:f>Rates_Raw!H71</x:f>
        <x:v>0488Y</x:v>
      </x:c>
      <x:c r="J71" t="str">
        <x:f>Rates_Raw!L71</x:f>
        <x:v>$126.4125</x:v>
      </x:c>
    </x:row>
    <x:row r="72">
      <x:c r="A72" t="n">
        <x:f>Rates_Raw!A72</x:f>
        <x:v>28020</x:v>
      </x:c>
      <x:c r="B72" t="str">
        <x:f>Rates_Raw!AF72</x:f>
        <x:v>0488|COMMN|2024-07-01</x:v>
      </x:c>
      <x:c r="C72" t="str">
        <x:f>Rates_Raw!D72</x:f>
        <x:v>0488</x:v>
      </x:c>
      <x:c r="D72" t="str">
        <x:f>Rates_Raw!C72</x:f>
        <x:v>2024/07/01</x:v>
      </x:c>
      <x:c r="E72" t="str">
        <x:f>Rates_Raw!F72</x:f>
        <x:v>353</x:v>
      </x:c>
      <x:c r="F72" t="n">
        <x:f>COUNTIF(Rates_Raw!$AF$5:$AF$464,B72)</x:f>
        <x:v>1</x:v>
      </x:c>
      <x:c r="G72" t="str">
        <x:f>IF(F72=1,"UNIQUE",IF(COUNTIFS(Rates_Raw!$AF$5:$AF$464,B72,Rates_Raw!$H$5:$H$464,Rates_Raw!H72,Rates_Raw!$L$5:$L$464,Rates_Raw!L72)=F72,"REPEATED SOURCE ROW","CONFLICTING KEY"))</x:f>
        <x:v>UNIQUE</x:v>
      </x:c>
      <x:c r="H72" t="str">
        <x:f>IF(F72&gt;1,"REVIEW","OK")</x:f>
        <x:v>OK</x:v>
      </x:c>
      <x:c r="I72" t="str">
        <x:f>Rates_Raw!H72</x:f>
        <x:v>0488Z</x:v>
      </x:c>
      <x:c r="J72" t="str">
        <x:f>Rates_Raw!L72</x:f>
        <x:v>$128.9375</x:v>
      </x:c>
    </x:row>
    <x:row r="73">
      <x:c r="A73" t="n">
        <x:f>Rates_Raw!A73</x:f>
        <x:v>29726</x:v>
      </x:c>
      <x:c r="B73" t="str">
        <x:f>Rates_Raw!AF73</x:f>
        <x:v>0488|COMMN|2025-01-04</x:v>
      </x:c>
      <x:c r="C73" t="str">
        <x:f>Rates_Raw!D73</x:f>
        <x:v>0488</x:v>
      </x:c>
      <x:c r="D73" t="str">
        <x:f>Rates_Raw!C73</x:f>
        <x:v>2025/01/04</x:v>
      </x:c>
      <x:c r="E73" t="str">
        <x:f>Rates_Raw!F73</x:f>
        <x:v>353</x:v>
      </x:c>
      <x:c r="F73" t="n">
        <x:f>COUNTIF(Rates_Raw!$AF$5:$AF$464,B73)</x:f>
        <x:v>1</x:v>
      </x:c>
      <x:c r="G73" t="str">
        <x:f>IF(F73=1,"UNIQUE",IF(COUNTIFS(Rates_Raw!$AF$5:$AF$464,B73,Rates_Raw!$H$5:$H$464,Rates_Raw!H73,Rates_Raw!$L$5:$L$464,Rates_Raw!L73)=F73,"REPEATED SOURCE ROW","CONFLICTING KEY"))</x:f>
        <x:v>UNIQUE</x:v>
      </x:c>
      <x:c r="H73" t="str">
        <x:f>IF(F73&gt;1,"REVIEW","OK")</x:f>
        <x:v>OK</x:v>
      </x:c>
      <x:c r="I73" t="str">
        <x:f>Rates_Raw!H73</x:f>
        <x:v>0488A</x:v>
      </x:c>
      <x:c r="J73" t="str">
        <x:f>Rates_Raw!L73</x:f>
        <x:v>$132.8000</x:v>
      </x:c>
    </x:row>
    <x:row r="74">
      <x:c r="A74" t="n">
        <x:f>Rates_Raw!A74</x:f>
        <x:v>31439</x:v>
      </x:c>
      <x:c r="B74" t="str">
        <x:f>Rates_Raw!AF74</x:f>
        <x:v>0488|COMMN|2025-07-01</x:v>
      </x:c>
      <x:c r="C74" t="str">
        <x:f>Rates_Raw!D74</x:f>
        <x:v>0488</x:v>
      </x:c>
      <x:c r="D74" t="str">
        <x:f>Rates_Raw!C74</x:f>
        <x:v>2025/07/01</x:v>
      </x:c>
      <x:c r="E74" t="str">
        <x:f>Rates_Raw!F74</x:f>
        <x:v>353</x:v>
      </x:c>
      <x:c r="F74" t="n">
        <x:f>COUNTIF(Rates_Raw!$AF$5:$AF$464,B74)</x:f>
        <x:v>1</x:v>
      </x:c>
      <x:c r="G74" t="str">
        <x:f>IF(F74=1,"UNIQUE",IF(COUNTIFS(Rates_Raw!$AF$5:$AF$464,B74,Rates_Raw!$H$5:$H$464,Rates_Raw!H74,Rates_Raw!$L$5:$L$464,Rates_Raw!L74)=F74,"REPEATED SOURCE ROW","CONFLICTING KEY"))</x:f>
        <x:v>UNIQUE</x:v>
      </x:c>
      <x:c r="H74" t="str">
        <x:f>IF(F74&gt;1,"REVIEW","OK")</x:f>
        <x:v>OK</x:v>
      </x:c>
      <x:c r="I74" t="str">
        <x:f>Rates_Raw!H74</x:f>
        <x:v>0488B</x:v>
      </x:c>
      <x:c r="J74" t="str">
        <x:f>Rates_Raw!L74</x:f>
        <x:v>$136.7875</x:v>
      </x:c>
    </x:row>
    <x:row r="75">
      <x:c r="A75" t="n">
        <x:f>Rates_Raw!A75</x:f>
        <x:v>33126</x:v>
      </x:c>
      <x:c r="B75" t="str">
        <x:f>Rates_Raw!AF75</x:f>
        <x:v>0488|COMMN|2026-01-03</x:v>
      </x:c>
      <x:c r="C75" t="str">
        <x:f>Rates_Raw!D75</x:f>
        <x:v>0488</x:v>
      </x:c>
      <x:c r="D75" t="str">
        <x:f>Rates_Raw!C75</x:f>
        <x:v>2026/01/03</x:v>
      </x:c>
      <x:c r="E75" t="str">
        <x:f>Rates_Raw!F75</x:f>
        <x:v>353</x:v>
      </x:c>
      <x:c r="F75" t="n">
        <x:f>COUNTIF(Rates_Raw!$AF$5:$AF$464,B75)</x:f>
        <x:v>1</x:v>
      </x:c>
      <x:c r="G75" t="str">
        <x:f>IF(F75=1,"UNIQUE",IF(COUNTIFS(Rates_Raw!$AF$5:$AF$464,B75,Rates_Raw!$H$5:$H$464,Rates_Raw!H75,Rates_Raw!$L$5:$L$464,Rates_Raw!L75)=F75,"REPEATED SOURCE ROW","CONFLICTING KEY"))</x:f>
        <x:v>UNIQUE</x:v>
      </x:c>
      <x:c r="H75" t="str">
        <x:f>IF(F75&gt;1,"REVIEW","OK")</x:f>
        <x:v>OK</x:v>
      </x:c>
      <x:c r="I75" t="str">
        <x:f>Rates_Raw!H75</x:f>
        <x:v>0488C</x:v>
      </x:c>
      <x:c r="J75" t="str">
        <x:f>Rates_Raw!L75</x:f>
        <x:v>$140.8875</x:v>
      </x:c>
    </x:row>
    <x:row r="76">
      <x:c r="A76" t="n">
        <x:f>Rates_Raw!A76</x:f>
        <x:v>26279</x:v>
      </x:c>
      <x:c r="B76" t="str">
        <x:f>Rates_Raw!AF76</x:f>
        <x:v>0489|COMMN|2024-01-06</x:v>
      </x:c>
      <x:c r="C76" t="str">
        <x:f>Rates_Raw!D76</x:f>
        <x:v>0489</x:v>
      </x:c>
      <x:c r="D76" t="str">
        <x:f>Rates_Raw!C76</x:f>
        <x:v>2024/01/06</x:v>
      </x:c>
      <x:c r="E76" t="str">
        <x:f>Rates_Raw!F76</x:f>
        <x:v>353</x:v>
      </x:c>
      <x:c r="F76" t="n">
        <x:f>COUNTIF(Rates_Raw!$AF$5:$AF$464,B76)</x:f>
        <x:v>1</x:v>
      </x:c>
      <x:c r="G76" t="str">
        <x:f>IF(F76=1,"UNIQUE",IF(COUNTIFS(Rates_Raw!$AF$5:$AF$464,B76,Rates_Raw!$H$5:$H$464,Rates_Raw!H76,Rates_Raw!$L$5:$L$464,Rates_Raw!L76)=F76,"REPEATED SOURCE ROW","CONFLICTING KEY"))</x:f>
        <x:v>UNIQUE</x:v>
      </x:c>
      <x:c r="H76" t="str">
        <x:f>IF(F76&gt;1,"REVIEW","OK")</x:f>
        <x:v>OK</x:v>
      </x:c>
      <x:c r="I76" t="str">
        <x:f>Rates_Raw!H76</x:f>
        <x:v>0489Y</x:v>
      </x:c>
      <x:c r="J76" t="str">
        <x:f>Rates_Raw!L76</x:f>
        <x:v>$134.0250</x:v>
      </x:c>
    </x:row>
    <x:row r="77">
      <x:c r="A77" t="n">
        <x:f>Rates_Raw!A77</x:f>
        <x:v>28021</x:v>
      </x:c>
      <x:c r="B77" t="str">
        <x:f>Rates_Raw!AF77</x:f>
        <x:v>0489|COMMN|2024-07-01</x:v>
      </x:c>
      <x:c r="C77" t="str">
        <x:f>Rates_Raw!D77</x:f>
        <x:v>0489</x:v>
      </x:c>
      <x:c r="D77" t="str">
        <x:f>Rates_Raw!C77</x:f>
        <x:v>2024/07/01</x:v>
      </x:c>
      <x:c r="E77" t="str">
        <x:f>Rates_Raw!F77</x:f>
        <x:v>353</x:v>
      </x:c>
      <x:c r="F77" t="n">
        <x:f>COUNTIF(Rates_Raw!$AF$5:$AF$464,B77)</x:f>
        <x:v>1</x:v>
      </x:c>
      <x:c r="G77" t="str">
        <x:f>IF(F77=1,"UNIQUE",IF(COUNTIFS(Rates_Raw!$AF$5:$AF$464,B77,Rates_Raw!$H$5:$H$464,Rates_Raw!H77,Rates_Raw!$L$5:$L$464,Rates_Raw!L77)=F77,"REPEATED SOURCE ROW","CONFLICTING KEY"))</x:f>
        <x:v>UNIQUE</x:v>
      </x:c>
      <x:c r="H77" t="str">
        <x:f>IF(F77&gt;1,"REVIEW","OK")</x:f>
        <x:v>OK</x:v>
      </x:c>
      <x:c r="I77" t="str">
        <x:f>Rates_Raw!H77</x:f>
        <x:v>0489Z</x:v>
      </x:c>
      <x:c r="J77" t="str">
        <x:f>Rates_Raw!L77</x:f>
        <x:v>$136.7000</x:v>
      </x:c>
    </x:row>
    <x:row r="78">
      <x:c r="A78" t="n">
        <x:f>Rates_Raw!A78</x:f>
        <x:v>29727</x:v>
      </x:c>
      <x:c r="B78" t="str">
        <x:f>Rates_Raw!AF78</x:f>
        <x:v>0489|COMMN|2025-01-04</x:v>
      </x:c>
      <x:c r="C78" t="str">
        <x:f>Rates_Raw!D78</x:f>
        <x:v>0489</x:v>
      </x:c>
      <x:c r="D78" t="str">
        <x:f>Rates_Raw!C78</x:f>
        <x:v>2025/01/04</x:v>
      </x:c>
      <x:c r="E78" t="str">
        <x:f>Rates_Raw!F78</x:f>
        <x:v>353</x:v>
      </x:c>
      <x:c r="F78" t="n">
        <x:f>COUNTIF(Rates_Raw!$AF$5:$AF$464,B78)</x:f>
        <x:v>1</x:v>
      </x:c>
      <x:c r="G78" t="str">
        <x:f>IF(F78=1,"UNIQUE",IF(COUNTIFS(Rates_Raw!$AF$5:$AF$464,B78,Rates_Raw!$H$5:$H$464,Rates_Raw!H78,Rates_Raw!$L$5:$L$464,Rates_Raw!L78)=F78,"REPEATED SOURCE ROW","CONFLICTING KEY"))</x:f>
        <x:v>UNIQUE</x:v>
      </x:c>
      <x:c r="H78" t="str">
        <x:f>IF(F78&gt;1,"REVIEW","OK")</x:f>
        <x:v>OK</x:v>
      </x:c>
      <x:c r="I78" t="str">
        <x:f>Rates_Raw!H78</x:f>
        <x:v>0489A</x:v>
      </x:c>
      <x:c r="J78" t="str">
        <x:f>Rates_Raw!L78</x:f>
        <x:v>$140.8000</x:v>
      </x:c>
    </x:row>
    <x:row r="79">
      <x:c r="A79" t="n">
        <x:f>Rates_Raw!A79</x:f>
        <x:v>31440</x:v>
      </x:c>
      <x:c r="B79" t="str">
        <x:f>Rates_Raw!AF79</x:f>
        <x:v>0489|COMMN|2025-07-01</x:v>
      </x:c>
      <x:c r="C79" t="str">
        <x:f>Rates_Raw!D79</x:f>
        <x:v>0489</x:v>
      </x:c>
      <x:c r="D79" t="str">
        <x:f>Rates_Raw!C79</x:f>
        <x:v>2025/07/01</x:v>
      </x:c>
      <x:c r="E79" t="str">
        <x:f>Rates_Raw!F79</x:f>
        <x:v>353</x:v>
      </x:c>
      <x:c r="F79" t="n">
        <x:f>COUNTIF(Rates_Raw!$AF$5:$AF$464,B79)</x:f>
        <x:v>1</x:v>
      </x:c>
      <x:c r="G79" t="str">
        <x:f>IF(F79=1,"UNIQUE",IF(COUNTIFS(Rates_Raw!$AF$5:$AF$464,B79,Rates_Raw!$H$5:$H$464,Rates_Raw!H79,Rates_Raw!$L$5:$L$464,Rates_Raw!L79)=F79,"REPEATED SOURCE ROW","CONFLICTING KEY"))</x:f>
        <x:v>UNIQUE</x:v>
      </x:c>
      <x:c r="H79" t="str">
        <x:f>IF(F79&gt;1,"REVIEW","OK")</x:f>
        <x:v>OK</x:v>
      </x:c>
      <x:c r="I79" t="str">
        <x:f>Rates_Raw!H79</x:f>
        <x:v>0489B</x:v>
      </x:c>
      <x:c r="J79" t="str">
        <x:f>Rates_Raw!L79</x:f>
        <x:v>$145.0250</x:v>
      </x:c>
    </x:row>
    <x:row r="80">
      <x:c r="A80" t="n">
        <x:f>Rates_Raw!A80</x:f>
        <x:v>33127</x:v>
      </x:c>
      <x:c r="B80" t="str">
        <x:f>Rates_Raw!AF80</x:f>
        <x:v>0489|COMMN|2026-01-03</x:v>
      </x:c>
      <x:c r="C80" t="str">
        <x:f>Rates_Raw!D80</x:f>
        <x:v>0489</x:v>
      </x:c>
      <x:c r="D80" t="str">
        <x:f>Rates_Raw!C80</x:f>
        <x:v>2026/01/03</x:v>
      </x:c>
      <x:c r="E80" t="str">
        <x:f>Rates_Raw!F80</x:f>
        <x:v>353</x:v>
      </x:c>
      <x:c r="F80" t="n">
        <x:f>COUNTIF(Rates_Raw!$AF$5:$AF$464,B80)</x:f>
        <x:v>1</x:v>
      </x:c>
      <x:c r="G80" t="str">
        <x:f>IF(F80=1,"UNIQUE",IF(COUNTIFS(Rates_Raw!$AF$5:$AF$464,B80,Rates_Raw!$H$5:$H$464,Rates_Raw!H80,Rates_Raw!$L$5:$L$464,Rates_Raw!L80)=F80,"REPEATED SOURCE ROW","CONFLICTING KEY"))</x:f>
        <x:v>UNIQUE</x:v>
      </x:c>
      <x:c r="H80" t="str">
        <x:f>IF(F80&gt;1,"REVIEW","OK")</x:f>
        <x:v>OK</x:v>
      </x:c>
      <x:c r="I80" t="str">
        <x:f>Rates_Raw!H80</x:f>
        <x:v>0489C</x:v>
      </x:c>
      <x:c r="J80" t="str">
        <x:f>Rates_Raw!L80</x:f>
        <x:v>$149.3750</x:v>
      </x:c>
    </x:row>
    <x:row r="81">
      <x:c r="A81" t="n">
        <x:f>Rates_Raw!A81</x:f>
        <x:v>26280</x:v>
      </x:c>
      <x:c r="B81" t="str">
        <x:f>Rates_Raw!AF81</x:f>
        <x:v>0490|COMMN|2024-01-06</x:v>
      </x:c>
      <x:c r="C81" t="str">
        <x:f>Rates_Raw!D81</x:f>
        <x:v>0490</x:v>
      </x:c>
      <x:c r="D81" t="str">
        <x:f>Rates_Raw!C81</x:f>
        <x:v>2024/01/06</x:v>
      </x:c>
      <x:c r="E81" t="str">
        <x:f>Rates_Raw!F81</x:f>
        <x:v>353</x:v>
      </x:c>
      <x:c r="F81" t="n">
        <x:f>COUNTIF(Rates_Raw!$AF$5:$AF$464,B81)</x:f>
        <x:v>1</x:v>
      </x:c>
      <x:c r="G81" t="str">
        <x:f>IF(F81=1,"UNIQUE",IF(COUNTIFS(Rates_Raw!$AF$5:$AF$464,B81,Rates_Raw!$H$5:$H$464,Rates_Raw!H81,Rates_Raw!$L$5:$L$464,Rates_Raw!L81)=F81,"REPEATED SOURCE ROW","CONFLICTING KEY"))</x:f>
        <x:v>UNIQUE</x:v>
      </x:c>
      <x:c r="H81" t="str">
        <x:f>IF(F81&gt;1,"REVIEW","OK")</x:f>
        <x:v>OK</x:v>
      </x:c>
      <x:c r="I81" t="str">
        <x:f>Rates_Raw!H81</x:f>
        <x:v>0490Y</x:v>
      </x:c>
      <x:c r="J81" t="str">
        <x:f>Rates_Raw!L81</x:f>
        <x:v>$136.5625</x:v>
      </x:c>
    </x:row>
    <x:row r="82">
      <x:c r="A82" t="n">
        <x:f>Rates_Raw!A82</x:f>
        <x:v>28022</x:v>
      </x:c>
      <x:c r="B82" t="str">
        <x:f>Rates_Raw!AF82</x:f>
        <x:v>0490|COMMN|2024-07-01</x:v>
      </x:c>
      <x:c r="C82" t="str">
        <x:f>Rates_Raw!D82</x:f>
        <x:v>0490</x:v>
      </x:c>
      <x:c r="D82" t="str">
        <x:f>Rates_Raw!C82</x:f>
        <x:v>2024/07/01</x:v>
      </x:c>
      <x:c r="E82" t="str">
        <x:f>Rates_Raw!F82</x:f>
        <x:v>353</x:v>
      </x:c>
      <x:c r="F82" t="n">
        <x:f>COUNTIF(Rates_Raw!$AF$5:$AF$464,B82)</x:f>
        <x:v>1</x:v>
      </x:c>
      <x:c r="G82" t="str">
        <x:f>IF(F82=1,"UNIQUE",IF(COUNTIFS(Rates_Raw!$AF$5:$AF$464,B82,Rates_Raw!$H$5:$H$464,Rates_Raw!H82,Rates_Raw!$L$5:$L$464,Rates_Raw!L82)=F82,"REPEATED SOURCE ROW","CONFLICTING KEY"))</x:f>
        <x:v>UNIQUE</x:v>
      </x:c>
      <x:c r="H82" t="str">
        <x:f>IF(F82&gt;1,"REVIEW","OK")</x:f>
        <x:v>OK</x:v>
      </x:c>
      <x:c r="I82" t="str">
        <x:f>Rates_Raw!H82</x:f>
        <x:v>0490Z</x:v>
      </x:c>
      <x:c r="J82" t="str">
        <x:f>Rates_Raw!L82</x:f>
        <x:v>$139.3000</x:v>
      </x:c>
    </x:row>
    <x:row r="83">
      <x:c r="A83" t="n">
        <x:f>Rates_Raw!A83</x:f>
        <x:v>29728</x:v>
      </x:c>
      <x:c r="B83" t="str">
        <x:f>Rates_Raw!AF83</x:f>
        <x:v>0490|COMMN|2025-01-04</x:v>
      </x:c>
      <x:c r="C83" t="str">
        <x:f>Rates_Raw!D83</x:f>
        <x:v>0490</x:v>
      </x:c>
      <x:c r="D83" t="str">
        <x:f>Rates_Raw!C83</x:f>
        <x:v>2025/01/04</x:v>
      </x:c>
      <x:c r="E83" t="str">
        <x:f>Rates_Raw!F83</x:f>
        <x:v>353</x:v>
      </x:c>
      <x:c r="F83" t="n">
        <x:f>COUNTIF(Rates_Raw!$AF$5:$AF$464,B83)</x:f>
        <x:v>1</x:v>
      </x:c>
      <x:c r="G83" t="str">
        <x:f>IF(F83=1,"UNIQUE",IF(COUNTIFS(Rates_Raw!$AF$5:$AF$464,B83,Rates_Raw!$H$5:$H$464,Rates_Raw!H83,Rates_Raw!$L$5:$L$464,Rates_Raw!L83)=F83,"REPEATED SOURCE ROW","CONFLICTING KEY"))</x:f>
        <x:v>UNIQUE</x:v>
      </x:c>
      <x:c r="H83" t="str">
        <x:f>IF(F83&gt;1,"REVIEW","OK")</x:f>
        <x:v>OK</x:v>
      </x:c>
      <x:c r="I83" t="str">
        <x:f>Rates_Raw!H83</x:f>
        <x:v>0490A</x:v>
      </x:c>
      <x:c r="J83" t="str">
        <x:f>Rates_Raw!L83</x:f>
        <x:v>$143.4750</x:v>
      </x:c>
    </x:row>
    <x:row r="84">
      <x:c r="A84" t="n">
        <x:f>Rates_Raw!A84</x:f>
        <x:v>31441</x:v>
      </x:c>
      <x:c r="B84" t="str">
        <x:f>Rates_Raw!AF84</x:f>
        <x:v>0490|COMMN|2025-07-01</x:v>
      </x:c>
      <x:c r="C84" t="str">
        <x:f>Rates_Raw!D84</x:f>
        <x:v>0490</x:v>
      </x:c>
      <x:c r="D84" t="str">
        <x:f>Rates_Raw!C84</x:f>
        <x:v>2025/07/01</x:v>
      </x:c>
      <x:c r="E84" t="str">
        <x:f>Rates_Raw!F84</x:f>
        <x:v>353</x:v>
      </x:c>
      <x:c r="F84" t="n">
        <x:f>COUNTIF(Rates_Raw!$AF$5:$AF$464,B84)</x:f>
        <x:v>1</x:v>
      </x:c>
      <x:c r="G84" t="str">
        <x:f>IF(F84=1,"UNIQUE",IF(COUNTIFS(Rates_Raw!$AF$5:$AF$464,B84,Rates_Raw!$H$5:$H$464,Rates_Raw!H84,Rates_Raw!$L$5:$L$464,Rates_Raw!L84)=F84,"REPEATED SOURCE ROW","CONFLICTING KEY"))</x:f>
        <x:v>UNIQUE</x:v>
      </x:c>
      <x:c r="H84" t="str">
        <x:f>IF(F84&gt;1,"REVIEW","OK")</x:f>
        <x:v>OK</x:v>
      </x:c>
      <x:c r="I84" t="str">
        <x:f>Rates_Raw!H84</x:f>
        <x:v>0490B</x:v>
      </x:c>
      <x:c r="J84" t="str">
        <x:f>Rates_Raw!L84</x:f>
        <x:v>$147.7750</x:v>
      </x:c>
    </x:row>
    <x:row r="85">
      <x:c r="A85" t="n">
        <x:f>Rates_Raw!A85</x:f>
        <x:v>33128</x:v>
      </x:c>
      <x:c r="B85" t="str">
        <x:f>Rates_Raw!AF85</x:f>
        <x:v>0490|COMMN|2026-01-03</x:v>
      </x:c>
      <x:c r="C85" t="str">
        <x:f>Rates_Raw!D85</x:f>
        <x:v>0490</x:v>
      </x:c>
      <x:c r="D85" t="str">
        <x:f>Rates_Raw!C85</x:f>
        <x:v>2026/01/03</x:v>
      </x:c>
      <x:c r="E85" t="str">
        <x:f>Rates_Raw!F85</x:f>
        <x:v>353</x:v>
      </x:c>
      <x:c r="F85" t="n">
        <x:f>COUNTIF(Rates_Raw!$AF$5:$AF$464,B85)</x:f>
        <x:v>1</x:v>
      </x:c>
      <x:c r="G85" t="str">
        <x:f>IF(F85=1,"UNIQUE",IF(COUNTIFS(Rates_Raw!$AF$5:$AF$464,B85,Rates_Raw!$H$5:$H$464,Rates_Raw!H85,Rates_Raw!$L$5:$L$464,Rates_Raw!L85)=F85,"REPEATED SOURCE ROW","CONFLICTING KEY"))</x:f>
        <x:v>UNIQUE</x:v>
      </x:c>
      <x:c r="H85" t="str">
        <x:f>IF(F85&gt;1,"REVIEW","OK")</x:f>
        <x:v>OK</x:v>
      </x:c>
      <x:c r="I85" t="str">
        <x:f>Rates_Raw!H85</x:f>
        <x:v>0490C</x:v>
      </x:c>
      <x:c r="J85" t="str">
        <x:f>Rates_Raw!L85</x:f>
        <x:v>$152.2125</x:v>
      </x:c>
    </x:row>
    <x:row r="86">
      <x:c r="A86" t="n">
        <x:f>Rates_Raw!A86</x:f>
        <x:v>26281</x:v>
      </x:c>
      <x:c r="B86" t="str">
        <x:f>Rates_Raw!AF86</x:f>
        <x:v>0720|COMMN|2024-01-06</x:v>
      </x:c>
      <x:c r="C86" t="str">
        <x:f>Rates_Raw!D86</x:f>
        <x:v>0720</x:v>
      </x:c>
      <x:c r="D86" t="str">
        <x:f>Rates_Raw!C86</x:f>
        <x:v>2024/01/06</x:v>
      </x:c>
      <x:c r="E86" t="str">
        <x:f>Rates_Raw!F86</x:f>
        <x:v>257</x:v>
      </x:c>
      <x:c r="F86" t="n">
        <x:f>COUNTIF(Rates_Raw!$AF$5:$AF$464,B86)</x:f>
        <x:v>1</x:v>
      </x:c>
      <x:c r="G86" t="str">
        <x:f>IF(F86=1,"UNIQUE",IF(COUNTIFS(Rates_Raw!$AF$5:$AF$464,B86,Rates_Raw!$H$5:$H$464,Rates_Raw!H86,Rates_Raw!$L$5:$L$464,Rates_Raw!L86)=F86,"REPEATED SOURCE ROW","CONFLICTING KEY"))</x:f>
        <x:v>UNIQUE</x:v>
      </x:c>
      <x:c r="H86" t="str">
        <x:f>IF(F86&gt;1,"REVIEW","OK")</x:f>
        <x:v>OK</x:v>
      </x:c>
      <x:c r="I86" t="str">
        <x:f>Rates_Raw!H86</x:f>
        <x:v>0720Y</x:v>
      </x:c>
      <x:c r="J86" t="str">
        <x:f>Rates_Raw!L86</x:f>
        <x:v>$78.7875</x:v>
      </x:c>
    </x:row>
    <x:row r="87">
      <x:c r="A87" t="n">
        <x:f>Rates_Raw!A87</x:f>
        <x:v>28023</x:v>
      </x:c>
      <x:c r="B87" t="str">
        <x:f>Rates_Raw!AF87</x:f>
        <x:v>0720|COMMN|2024-07-01</x:v>
      </x:c>
      <x:c r="C87" t="str">
        <x:f>Rates_Raw!D87</x:f>
        <x:v>0720</x:v>
      </x:c>
      <x:c r="D87" t="str">
        <x:f>Rates_Raw!C87</x:f>
        <x:v>2024/07/01</x:v>
      </x:c>
      <x:c r="E87" t="str">
        <x:f>Rates_Raw!F87</x:f>
        <x:v>257</x:v>
      </x:c>
      <x:c r="F87" t="n">
        <x:f>COUNTIF(Rates_Raw!$AF$5:$AF$464,B87)</x:f>
        <x:v>1</x:v>
      </x:c>
      <x:c r="G87" t="str">
        <x:f>IF(F87=1,"UNIQUE",IF(COUNTIFS(Rates_Raw!$AF$5:$AF$464,B87,Rates_Raw!$H$5:$H$464,Rates_Raw!H87,Rates_Raw!$L$5:$L$464,Rates_Raw!L87)=F87,"REPEATED SOURCE ROW","CONFLICTING KEY"))</x:f>
        <x:v>UNIQUE</x:v>
      </x:c>
      <x:c r="H87" t="str">
        <x:f>IF(F87&gt;1,"REVIEW","OK")</x:f>
        <x:v>OK</x:v>
      </x:c>
      <x:c r="I87" t="str">
        <x:f>Rates_Raw!H87</x:f>
        <x:v>0720Z</x:v>
      </x:c>
      <x:c r="J87" t="str">
        <x:f>Rates_Raw!L87</x:f>
        <x:v>$81.9375</x:v>
      </x:c>
    </x:row>
    <x:row r="88">
      <x:c r="A88" t="n">
        <x:f>Rates_Raw!A88</x:f>
        <x:v>29729</x:v>
      </x:c>
      <x:c r="B88" t="str">
        <x:f>Rates_Raw!AF88</x:f>
        <x:v>0720|COMMN|2025-01-04</x:v>
      </x:c>
      <x:c r="C88" t="str">
        <x:f>Rates_Raw!D88</x:f>
        <x:v>0720</x:v>
      </x:c>
      <x:c r="D88" t="str">
        <x:f>Rates_Raw!C88</x:f>
        <x:v>2025/01/04</x:v>
      </x:c>
      <x:c r="E88" t="str">
        <x:f>Rates_Raw!F88</x:f>
        <x:v>257</x:v>
      </x:c>
      <x:c r="F88" t="n">
        <x:f>COUNTIF(Rates_Raw!$AF$5:$AF$464,B88)</x:f>
        <x:v>1</x:v>
      </x:c>
      <x:c r="G88" t="str">
        <x:f>IF(F88=1,"UNIQUE",IF(COUNTIFS(Rates_Raw!$AF$5:$AF$464,B88,Rates_Raw!$H$5:$H$464,Rates_Raw!H88,Rates_Raw!$L$5:$L$464,Rates_Raw!L88)=F88,"REPEATED SOURCE ROW","CONFLICTING KEY"))</x:f>
        <x:v>UNIQUE</x:v>
      </x:c>
      <x:c r="H88" t="str">
        <x:f>IF(F88&gt;1,"REVIEW","OK")</x:f>
        <x:v>OK</x:v>
      </x:c>
      <x:c r="I88" t="str">
        <x:f>Rates_Raw!H88</x:f>
        <x:v>0720A</x:v>
      </x:c>
      <x:c r="J88" t="str">
        <x:f>Rates_Raw!L88</x:f>
        <x:v>$81.9375</x:v>
      </x:c>
    </x:row>
    <x:row r="89">
      <x:c r="A89" t="n">
        <x:f>Rates_Raw!A89</x:f>
        <x:v>31442</x:v>
      </x:c>
      <x:c r="B89" t="str">
        <x:f>Rates_Raw!AF89</x:f>
        <x:v>0720|COMMN|2025-07-01</x:v>
      </x:c>
      <x:c r="C89" t="str">
        <x:f>Rates_Raw!D89</x:f>
        <x:v>0720</x:v>
      </x:c>
      <x:c r="D89" t="str">
        <x:f>Rates_Raw!C89</x:f>
        <x:v>2025/07/01</x:v>
      </x:c>
      <x:c r="E89" t="str">
        <x:f>Rates_Raw!F89</x:f>
        <x:v>257</x:v>
      </x:c>
      <x:c r="F89" t="n">
        <x:f>COUNTIF(Rates_Raw!$AF$5:$AF$464,B89)</x:f>
        <x:v>1</x:v>
      </x:c>
      <x:c r="G89" t="str">
        <x:f>IF(F89=1,"UNIQUE",IF(COUNTIFS(Rates_Raw!$AF$5:$AF$464,B89,Rates_Raw!$H$5:$H$464,Rates_Raw!H89,Rates_Raw!$L$5:$L$464,Rates_Raw!L89)=F89,"REPEATED SOURCE ROW","CONFLICTING KEY"))</x:f>
        <x:v>UNIQUE</x:v>
      </x:c>
      <x:c r="H89" t="str">
        <x:f>IF(F89&gt;1,"REVIEW","OK")</x:f>
        <x:v>OK</x:v>
      </x:c>
      <x:c r="I89" t="str">
        <x:f>Rates_Raw!H89</x:f>
        <x:v>0720B</x:v>
      </x:c>
      <x:c r="J89" t="str">
        <x:f>Rates_Raw!L89</x:f>
        <x:v>$84.3125</x:v>
      </x:c>
    </x:row>
    <x:row r="90">
      <x:c r="A90" t="n">
        <x:f>Rates_Raw!A90</x:f>
        <x:v>26282</x:v>
      </x:c>
      <x:c r="B90" t="str">
        <x:f>Rates_Raw!AF90</x:f>
        <x:v>0881|COMMN|2024-01-06</x:v>
      </x:c>
      <x:c r="C90" t="str">
        <x:f>Rates_Raw!D90</x:f>
        <x:v>0881</x:v>
      </x:c>
      <x:c r="D90" t="str">
        <x:f>Rates_Raw!C90</x:f>
        <x:v>2024/01/06</x:v>
      </x:c>
      <x:c r="E90" t="str">
        <x:f>Rates_Raw!F90</x:f>
        <x:v>002</x:v>
      </x:c>
      <x:c r="F90" t="n">
        <x:f>COUNTIF(Rates_Raw!$AF$5:$AF$464,B90)</x:f>
        <x:v>1</x:v>
      </x:c>
      <x:c r="G90" t="str">
        <x:f>IF(F90=1,"UNIQUE",IF(COUNTIFS(Rates_Raw!$AF$5:$AF$464,B90,Rates_Raw!$H$5:$H$464,Rates_Raw!H90,Rates_Raw!$L$5:$L$464,Rates_Raw!L90)=F90,"REPEATED SOURCE ROW","CONFLICTING KEY"))</x:f>
        <x:v>UNIQUE</x:v>
      </x:c>
      <x:c r="H90" t="str">
        <x:f>IF(F90&gt;1,"REVIEW","OK")</x:f>
        <x:v>OK</x:v>
      </x:c>
      <x:c r="I90" t="str">
        <x:f>Rates_Raw!H90</x:f>
        <x:v>0881Y</x:v>
      </x:c>
      <x:c r="J90" t="str">
        <x:f>Rates_Raw!L90</x:f>
        <x:v>$26.0125</x:v>
      </x:c>
    </x:row>
    <x:row r="91">
      <x:c r="A91" t="n">
        <x:f>Rates_Raw!A91</x:f>
        <x:v>28024</x:v>
      </x:c>
      <x:c r="B91" t="str">
        <x:f>Rates_Raw!AF91</x:f>
        <x:v>0881|COMMN|2024-07-01</x:v>
      </x:c>
      <x:c r="C91" t="str">
        <x:f>Rates_Raw!D91</x:f>
        <x:v>0881</x:v>
      </x:c>
      <x:c r="D91" t="str">
        <x:f>Rates_Raw!C91</x:f>
        <x:v>2024/07/01</x:v>
      </x:c>
      <x:c r="E91" t="str">
        <x:f>Rates_Raw!F91</x:f>
        <x:v>002</x:v>
      </x:c>
      <x:c r="F91" t="n">
        <x:f>COUNTIF(Rates_Raw!$AF$5:$AF$464,B91)</x:f>
        <x:v>1</x:v>
      </x:c>
      <x:c r="G91" t="str">
        <x:f>IF(F91=1,"UNIQUE",IF(COUNTIFS(Rates_Raw!$AF$5:$AF$464,B91,Rates_Raw!$H$5:$H$464,Rates_Raw!H91,Rates_Raw!$L$5:$L$464,Rates_Raw!L91)=F91,"REPEATED SOURCE ROW","CONFLICTING KEY"))</x:f>
        <x:v>UNIQUE</x:v>
      </x:c>
      <x:c r="H91" t="str">
        <x:f>IF(F91&gt;1,"REVIEW","OK")</x:f>
        <x:v>OK</x:v>
      </x:c>
      <x:c r="I91" t="str">
        <x:f>Rates_Raw!H91</x:f>
        <x:v>0881Z</x:v>
      </x:c>
      <x:c r="J91" t="str">
        <x:f>Rates_Raw!L91</x:f>
        <x:v>$26.4000</x:v>
      </x:c>
    </x:row>
    <x:row r="92">
      <x:c r="A92" t="n">
        <x:f>Rates_Raw!A92</x:f>
        <x:v>29730</x:v>
      </x:c>
      <x:c r="B92" t="str">
        <x:f>Rates_Raw!AF92</x:f>
        <x:v>0881|COMMN|2025-01-04</x:v>
      </x:c>
      <x:c r="C92" t="str">
        <x:f>Rates_Raw!D92</x:f>
        <x:v>0881</x:v>
      </x:c>
      <x:c r="D92" t="str">
        <x:f>Rates_Raw!C92</x:f>
        <x:v>2025/01/04</x:v>
      </x:c>
      <x:c r="E92" t="str">
        <x:f>Rates_Raw!F92</x:f>
        <x:v>002</x:v>
      </x:c>
      <x:c r="F92" t="n">
        <x:f>COUNTIF(Rates_Raw!$AF$5:$AF$464,B92)</x:f>
        <x:v>1</x:v>
      </x:c>
      <x:c r="G92" t="str">
        <x:f>IF(F92=1,"UNIQUE",IF(COUNTIFS(Rates_Raw!$AF$5:$AF$464,B92,Rates_Raw!$H$5:$H$464,Rates_Raw!H92,Rates_Raw!$L$5:$L$464,Rates_Raw!L92)=F92,"REPEATED SOURCE ROW","CONFLICTING KEY"))</x:f>
        <x:v>UNIQUE</x:v>
      </x:c>
      <x:c r="H92" t="str">
        <x:f>IF(F92&gt;1,"REVIEW","OK")</x:f>
        <x:v>OK</x:v>
      </x:c>
      <x:c r="I92" t="str">
        <x:f>Rates_Raw!H92</x:f>
        <x:v>0881A</x:v>
      </x:c>
      <x:c r="J92" t="str">
        <x:f>Rates_Raw!L92</x:f>
        <x:v>$26.8000</x:v>
      </x:c>
    </x:row>
    <x:row r="93">
      <x:c r="A93" t="n">
        <x:f>Rates_Raw!A93</x:f>
        <x:v>31443</x:v>
      </x:c>
      <x:c r="B93" t="str">
        <x:f>Rates_Raw!AF93</x:f>
        <x:v>0881|COMMN|2025-07-01</x:v>
      </x:c>
      <x:c r="C93" t="str">
        <x:f>Rates_Raw!D93</x:f>
        <x:v>0881</x:v>
      </x:c>
      <x:c r="D93" t="str">
        <x:f>Rates_Raw!C93</x:f>
        <x:v>2025/07/01</x:v>
      </x:c>
      <x:c r="E93" t="str">
        <x:f>Rates_Raw!F93</x:f>
        <x:v>002</x:v>
      </x:c>
      <x:c r="F93" t="n">
        <x:f>COUNTIF(Rates_Raw!$AF$5:$AF$464,B93)</x:f>
        <x:v>1</x:v>
      </x:c>
      <x:c r="G93" t="str">
        <x:f>IF(F93=1,"UNIQUE",IF(COUNTIFS(Rates_Raw!$AF$5:$AF$464,B93,Rates_Raw!$H$5:$H$464,Rates_Raw!H93,Rates_Raw!$L$5:$L$464,Rates_Raw!L93)=F93,"REPEATED SOURCE ROW","CONFLICTING KEY"))</x:f>
        <x:v>UNIQUE</x:v>
      </x:c>
      <x:c r="H93" t="str">
        <x:f>IF(F93&gt;1,"REVIEW","OK")</x:f>
        <x:v>OK</x:v>
      </x:c>
      <x:c r="I93" t="str">
        <x:f>Rates_Raw!H93</x:f>
        <x:v>0881B</x:v>
      </x:c>
      <x:c r="J93" t="str">
        <x:f>Rates_Raw!L93</x:f>
        <x:v>$27.3375</x:v>
      </x:c>
    </x:row>
    <x:row r="94">
      <x:c r="A94" t="n">
        <x:f>Rates_Raw!A94</x:f>
        <x:v>33129</x:v>
      </x:c>
      <x:c r="B94" t="str">
        <x:f>Rates_Raw!AF94</x:f>
        <x:v>0881|COMMN|2026-01-03</x:v>
      </x:c>
      <x:c r="C94" t="str">
        <x:f>Rates_Raw!D94</x:f>
        <x:v>0881</x:v>
      </x:c>
      <x:c r="D94" t="str">
        <x:f>Rates_Raw!C94</x:f>
        <x:v>2026/01/03</x:v>
      </x:c>
      <x:c r="E94" t="str">
        <x:f>Rates_Raw!F94</x:f>
        <x:v>002</x:v>
      </x:c>
      <x:c r="F94" t="n">
        <x:f>COUNTIF(Rates_Raw!$AF$5:$AF$464,B94)</x:f>
        <x:v>1</x:v>
      </x:c>
      <x:c r="G94" t="str">
        <x:f>IF(F94=1,"UNIQUE",IF(COUNTIFS(Rates_Raw!$AF$5:$AF$464,B94,Rates_Raw!$H$5:$H$464,Rates_Raw!H94,Rates_Raw!$L$5:$L$464,Rates_Raw!L94)=F94,"REPEATED SOURCE ROW","CONFLICTING KEY"))</x:f>
        <x:v>UNIQUE</x:v>
      </x:c>
      <x:c r="H94" t="str">
        <x:f>IF(F94&gt;1,"REVIEW","OK")</x:f>
        <x:v>OK</x:v>
      </x:c>
      <x:c r="I94" t="str">
        <x:f>Rates_Raw!H94</x:f>
        <x:v>0881C</x:v>
      </x:c>
      <x:c r="J94" t="str">
        <x:f>Rates_Raw!L94</x:f>
        <x:v>$27.7500</x:v>
      </x:c>
    </x:row>
    <x:row r="95">
      <x:c r="A95" t="n">
        <x:f>Rates_Raw!A95</x:f>
        <x:v>26283</x:v>
      </x:c>
      <x:c r="B95" t="str">
        <x:f>Rates_Raw!AF95</x:f>
        <x:v>0882|COMMN|2024-01-06</x:v>
      </x:c>
      <x:c r="C95" t="str">
        <x:f>Rates_Raw!D95</x:f>
        <x:v>0882</x:v>
      </x:c>
      <x:c r="D95" t="str">
        <x:f>Rates_Raw!C95</x:f>
        <x:v>2024/01/06</x:v>
      </x:c>
      <x:c r="E95" t="str">
        <x:f>Rates_Raw!F95</x:f>
        <x:v>002</x:v>
      </x:c>
      <x:c r="F95" t="n">
        <x:f>COUNTIF(Rates_Raw!$AF$5:$AF$464,B95)</x:f>
        <x:v>1</x:v>
      </x:c>
      <x:c r="G95" t="str">
        <x:f>IF(F95=1,"UNIQUE",IF(COUNTIFS(Rates_Raw!$AF$5:$AF$464,B95,Rates_Raw!$H$5:$H$464,Rates_Raw!H95,Rates_Raw!$L$5:$L$464,Rates_Raw!L95)=F95,"REPEATED SOURCE ROW","CONFLICTING KEY"))</x:f>
        <x:v>UNIQUE</x:v>
      </x:c>
      <x:c r="H95" t="str">
        <x:f>IF(F95&gt;1,"REVIEW","OK")</x:f>
        <x:v>OK</x:v>
      </x:c>
      <x:c r="I95" t="str">
        <x:f>Rates_Raw!H95</x:f>
        <x:v>0882Y</x:v>
      </x:c>
      <x:c r="J95" t="str">
        <x:f>Rates_Raw!L95</x:f>
        <x:v>$27.9625</x:v>
      </x:c>
    </x:row>
    <x:row r="96">
      <x:c r="A96" t="n">
        <x:f>Rates_Raw!A96</x:f>
        <x:v>28025</x:v>
      </x:c>
      <x:c r="B96" t="str">
        <x:f>Rates_Raw!AF96</x:f>
        <x:v>0882|COMMN|2024-07-01</x:v>
      </x:c>
      <x:c r="C96" t="str">
        <x:f>Rates_Raw!D96</x:f>
        <x:v>0882</x:v>
      </x:c>
      <x:c r="D96" t="str">
        <x:f>Rates_Raw!C96</x:f>
        <x:v>2024/07/01</x:v>
      </x:c>
      <x:c r="E96" t="str">
        <x:f>Rates_Raw!F96</x:f>
        <x:v>002</x:v>
      </x:c>
      <x:c r="F96" t="n">
        <x:f>COUNTIF(Rates_Raw!$AF$5:$AF$464,B96)</x:f>
        <x:v>1</x:v>
      </x:c>
      <x:c r="G96" t="str">
        <x:f>IF(F96=1,"UNIQUE",IF(COUNTIFS(Rates_Raw!$AF$5:$AF$464,B96,Rates_Raw!$H$5:$H$464,Rates_Raw!H96,Rates_Raw!$L$5:$L$464,Rates_Raw!L96)=F96,"REPEATED SOURCE ROW","CONFLICTING KEY"))</x:f>
        <x:v>UNIQUE</x:v>
      </x:c>
      <x:c r="H96" t="str">
        <x:f>IF(F96&gt;1,"REVIEW","OK")</x:f>
        <x:v>OK</x:v>
      </x:c>
      <x:c r="I96" t="str">
        <x:f>Rates_Raw!H96</x:f>
        <x:v>0882Z</x:v>
      </x:c>
      <x:c r="J96" t="str">
        <x:f>Rates_Raw!L96</x:f>
        <x:v>$28.3875</x:v>
      </x:c>
    </x:row>
    <x:row r="97">
      <x:c r="A97" t="n">
        <x:f>Rates_Raw!A97</x:f>
        <x:v>29731</x:v>
      </x:c>
      <x:c r="B97" t="str">
        <x:f>Rates_Raw!AF97</x:f>
        <x:v>0882|COMMN|2025-01-04</x:v>
      </x:c>
      <x:c r="C97" t="str">
        <x:f>Rates_Raw!D97</x:f>
        <x:v>0882</x:v>
      </x:c>
      <x:c r="D97" t="str">
        <x:f>Rates_Raw!C97</x:f>
        <x:v>2025/01/04</x:v>
      </x:c>
      <x:c r="E97" t="str">
        <x:f>Rates_Raw!F97</x:f>
        <x:v>002</x:v>
      </x:c>
      <x:c r="F97" t="n">
        <x:f>COUNTIF(Rates_Raw!$AF$5:$AF$464,B97)</x:f>
        <x:v>1</x:v>
      </x:c>
      <x:c r="G97" t="str">
        <x:f>IF(F97=1,"UNIQUE",IF(COUNTIFS(Rates_Raw!$AF$5:$AF$464,B97,Rates_Raw!$H$5:$H$464,Rates_Raw!H97,Rates_Raw!$L$5:$L$464,Rates_Raw!L97)=F97,"REPEATED SOURCE ROW","CONFLICTING KEY"))</x:f>
        <x:v>UNIQUE</x:v>
      </x:c>
      <x:c r="H97" t="str">
        <x:f>IF(F97&gt;1,"REVIEW","OK")</x:f>
        <x:v>OK</x:v>
      </x:c>
      <x:c r="I97" t="str">
        <x:f>Rates_Raw!H97</x:f>
        <x:v>0882A</x:v>
      </x:c>
      <x:c r="J97" t="str">
        <x:f>Rates_Raw!L97</x:f>
        <x:v>$28.8125</x:v>
      </x:c>
    </x:row>
    <x:row r="98">
      <x:c r="A98" t="n">
        <x:f>Rates_Raw!A98</x:f>
        <x:v>31444</x:v>
      </x:c>
      <x:c r="B98" t="str">
        <x:f>Rates_Raw!AF98</x:f>
        <x:v>0882|COMMN|2025-07-01</x:v>
      </x:c>
      <x:c r="C98" t="str">
        <x:f>Rates_Raw!D98</x:f>
        <x:v>0882</x:v>
      </x:c>
      <x:c r="D98" t="str">
        <x:f>Rates_Raw!C98</x:f>
        <x:v>2025/07/01</x:v>
      </x:c>
      <x:c r="E98" t="str">
        <x:f>Rates_Raw!F98</x:f>
        <x:v>002</x:v>
      </x:c>
      <x:c r="F98" t="n">
        <x:f>COUNTIF(Rates_Raw!$AF$5:$AF$464,B98)</x:f>
        <x:v>1</x:v>
      </x:c>
      <x:c r="G98" t="str">
        <x:f>IF(F98=1,"UNIQUE",IF(COUNTIFS(Rates_Raw!$AF$5:$AF$464,B98,Rates_Raw!$H$5:$H$464,Rates_Raw!H98,Rates_Raw!$L$5:$L$464,Rates_Raw!L98)=F98,"REPEATED SOURCE ROW","CONFLICTING KEY"))</x:f>
        <x:v>UNIQUE</x:v>
      </x:c>
      <x:c r="H98" t="str">
        <x:f>IF(F98&gt;1,"REVIEW","OK")</x:f>
        <x:v>OK</x:v>
      </x:c>
      <x:c r="I98" t="str">
        <x:f>Rates_Raw!H98</x:f>
        <x:v>0882B</x:v>
      </x:c>
      <x:c r="J98" t="str">
        <x:f>Rates_Raw!L98</x:f>
        <x:v>$29.3875</x:v>
      </x:c>
    </x:row>
    <x:row r="99">
      <x:c r="A99" t="n">
        <x:f>Rates_Raw!A99</x:f>
        <x:v>33130</x:v>
      </x:c>
      <x:c r="B99" t="str">
        <x:f>Rates_Raw!AF99</x:f>
        <x:v>0882|COMMN|2026-01-03</x:v>
      </x:c>
      <x:c r="C99" t="str">
        <x:f>Rates_Raw!D99</x:f>
        <x:v>0882</x:v>
      </x:c>
      <x:c r="D99" t="str">
        <x:f>Rates_Raw!C99</x:f>
        <x:v>2026/01/03</x:v>
      </x:c>
      <x:c r="E99" t="str">
        <x:f>Rates_Raw!F99</x:f>
        <x:v>002</x:v>
      </x:c>
      <x:c r="F99" t="n">
        <x:f>COUNTIF(Rates_Raw!$AF$5:$AF$464,B99)</x:f>
        <x:v>1</x:v>
      </x:c>
      <x:c r="G99" t="str">
        <x:f>IF(F99=1,"UNIQUE",IF(COUNTIFS(Rates_Raw!$AF$5:$AF$464,B99,Rates_Raw!$H$5:$H$464,Rates_Raw!H99,Rates_Raw!$L$5:$L$464,Rates_Raw!L99)=F99,"REPEATED SOURCE ROW","CONFLICTING KEY"))</x:f>
        <x:v>UNIQUE</x:v>
      </x:c>
      <x:c r="H99" t="str">
        <x:f>IF(F99&gt;1,"REVIEW","OK")</x:f>
        <x:v>OK</x:v>
      </x:c>
      <x:c r="I99" t="str">
        <x:f>Rates_Raw!H99</x:f>
        <x:v>0882C</x:v>
      </x:c>
      <x:c r="J99" t="str">
        <x:f>Rates_Raw!L99</x:f>
        <x:v>$29.8250</x:v>
      </x:c>
    </x:row>
    <x:row r="100">
      <x:c r="A100" t="n">
        <x:f>Rates_Raw!A100</x:f>
        <x:v>26284</x:v>
      </x:c>
      <x:c r="B100" t="str">
        <x:f>Rates_Raw!AF100</x:f>
        <x:v>0883|COMMN|2024-01-06</x:v>
      </x:c>
      <x:c r="C100" t="str">
        <x:f>Rates_Raw!D100</x:f>
        <x:v>0883</x:v>
      </x:c>
      <x:c r="D100" t="str">
        <x:f>Rates_Raw!C100</x:f>
        <x:v>2024/01/06</x:v>
      </x:c>
      <x:c r="E100" t="str">
        <x:f>Rates_Raw!F100</x:f>
        <x:v>002</x:v>
      </x:c>
      <x:c r="F100" t="n">
        <x:f>COUNTIF(Rates_Raw!$AF$5:$AF$464,B100)</x:f>
        <x:v>1</x:v>
      </x:c>
      <x:c r="G100" t="str">
        <x:f>IF(F100=1,"UNIQUE",IF(COUNTIFS(Rates_Raw!$AF$5:$AF$464,B100,Rates_Raw!$H$5:$H$464,Rates_Raw!H100,Rates_Raw!$L$5:$L$464,Rates_Raw!L100)=F100,"REPEATED SOURCE ROW","CONFLICTING KEY"))</x:f>
        <x:v>UNIQUE</x:v>
      </x:c>
      <x:c r="H100" t="str">
        <x:f>IF(F100&gt;1,"REVIEW","OK")</x:f>
        <x:v>OK</x:v>
      </x:c>
      <x:c r="I100" t="str">
        <x:f>Rates_Raw!H100</x:f>
        <x:v>0883Y</x:v>
      </x:c>
      <x:c r="J100" t="str">
        <x:f>Rates_Raw!L100</x:f>
        <x:v>$30.0750</x:v>
      </x:c>
    </x:row>
    <x:row r="101">
      <x:c r="A101" t="n">
        <x:f>Rates_Raw!A101</x:f>
        <x:v>28026</x:v>
      </x:c>
      <x:c r="B101" t="str">
        <x:f>Rates_Raw!AF101</x:f>
        <x:v>0883|COMMN|2024-07-01</x:v>
      </x:c>
      <x:c r="C101" t="str">
        <x:f>Rates_Raw!D101</x:f>
        <x:v>0883</x:v>
      </x:c>
      <x:c r="D101" t="str">
        <x:f>Rates_Raw!C101</x:f>
        <x:v>2024/07/01</x:v>
      </x:c>
      <x:c r="E101" t="str">
        <x:f>Rates_Raw!F101</x:f>
        <x:v>002</x:v>
      </x:c>
      <x:c r="F101" t="n">
        <x:f>COUNTIF(Rates_Raw!$AF$5:$AF$464,B101)</x:f>
        <x:v>1</x:v>
      </x:c>
      <x:c r="G101" t="str">
        <x:f>IF(F101=1,"UNIQUE",IF(COUNTIFS(Rates_Raw!$AF$5:$AF$464,B101,Rates_Raw!$H$5:$H$464,Rates_Raw!H101,Rates_Raw!$L$5:$L$464,Rates_Raw!L101)=F101,"REPEATED SOURCE ROW","CONFLICTING KEY"))</x:f>
        <x:v>UNIQUE</x:v>
      </x:c>
      <x:c r="H101" t="str">
        <x:f>IF(F101&gt;1,"REVIEW","OK")</x:f>
        <x:v>OK</x:v>
      </x:c>
      <x:c r="I101" t="str">
        <x:f>Rates_Raw!H101</x:f>
        <x:v>0883Z</x:v>
      </x:c>
      <x:c r="J101" t="str">
        <x:f>Rates_Raw!L101</x:f>
        <x:v>$30.5250</x:v>
      </x:c>
    </x:row>
    <x:row r="102">
      <x:c r="A102" t="n">
        <x:f>Rates_Raw!A102</x:f>
        <x:v>29732</x:v>
      </x:c>
      <x:c r="B102" t="str">
        <x:f>Rates_Raw!AF102</x:f>
        <x:v>0883|COMMN|2025-01-04</x:v>
      </x:c>
      <x:c r="C102" t="str">
        <x:f>Rates_Raw!D102</x:f>
        <x:v>0883</x:v>
      </x:c>
      <x:c r="D102" t="str">
        <x:f>Rates_Raw!C102</x:f>
        <x:v>2025/01/04</x:v>
      </x:c>
      <x:c r="E102" t="str">
        <x:f>Rates_Raw!F102</x:f>
        <x:v>002</x:v>
      </x:c>
      <x:c r="F102" t="n">
        <x:f>COUNTIF(Rates_Raw!$AF$5:$AF$464,B102)</x:f>
        <x:v>1</x:v>
      </x:c>
      <x:c r="G102" t="str">
        <x:f>IF(F102=1,"UNIQUE",IF(COUNTIFS(Rates_Raw!$AF$5:$AF$464,B102,Rates_Raw!$H$5:$H$464,Rates_Raw!H102,Rates_Raw!$L$5:$L$464,Rates_Raw!L102)=F102,"REPEATED SOURCE ROW","CONFLICTING KEY"))</x:f>
        <x:v>UNIQUE</x:v>
      </x:c>
      <x:c r="H102" t="str">
        <x:f>IF(F102&gt;1,"REVIEW","OK")</x:f>
        <x:v>OK</x:v>
      </x:c>
      <x:c r="I102" t="str">
        <x:f>Rates_Raw!H102</x:f>
        <x:v>0883A</x:v>
      </x:c>
      <x:c r="J102" t="str">
        <x:f>Rates_Raw!L102</x:f>
        <x:v>$30.9875</x:v>
      </x:c>
    </x:row>
    <x:row r="103">
      <x:c r="A103" t="n">
        <x:f>Rates_Raw!A103</x:f>
        <x:v>31445</x:v>
      </x:c>
      <x:c r="B103" t="str">
        <x:f>Rates_Raw!AF103</x:f>
        <x:v>0883|COMMN|2025-07-01</x:v>
      </x:c>
      <x:c r="C103" t="str">
        <x:f>Rates_Raw!D103</x:f>
        <x:v>0883</x:v>
      </x:c>
      <x:c r="D103" t="str">
        <x:f>Rates_Raw!C103</x:f>
        <x:v>2025/07/01</x:v>
      </x:c>
      <x:c r="E103" t="str">
        <x:f>Rates_Raw!F103</x:f>
        <x:v>002</x:v>
      </x:c>
      <x:c r="F103" t="n">
        <x:f>COUNTIF(Rates_Raw!$AF$5:$AF$464,B103)</x:f>
        <x:v>1</x:v>
      </x:c>
      <x:c r="G103" t="str">
        <x:f>IF(F103=1,"UNIQUE",IF(COUNTIFS(Rates_Raw!$AF$5:$AF$464,B103,Rates_Raw!$H$5:$H$464,Rates_Raw!H103,Rates_Raw!$L$5:$L$464,Rates_Raw!L103)=F103,"REPEATED SOURCE ROW","CONFLICTING KEY"))</x:f>
        <x:v>UNIQUE</x:v>
      </x:c>
      <x:c r="H103" t="str">
        <x:f>IF(F103&gt;1,"REVIEW","OK")</x:f>
        <x:v>OK</x:v>
      </x:c>
      <x:c r="I103" t="str">
        <x:f>Rates_Raw!H103</x:f>
        <x:v>0883B</x:v>
      </x:c>
      <x:c r="J103" t="str">
        <x:f>Rates_Raw!L103</x:f>
        <x:v>$31.6125</x:v>
      </x:c>
    </x:row>
    <x:row r="104">
      <x:c r="A104" t="n">
        <x:f>Rates_Raw!A104</x:f>
        <x:v>33131</x:v>
      </x:c>
      <x:c r="B104" t="str">
        <x:f>Rates_Raw!AF104</x:f>
        <x:v>0883|COMMN|2026-01-03</x:v>
      </x:c>
      <x:c r="C104" t="str">
        <x:f>Rates_Raw!D104</x:f>
        <x:v>0883</x:v>
      </x:c>
      <x:c r="D104" t="str">
        <x:f>Rates_Raw!C104</x:f>
        <x:v>2026/01/03</x:v>
      </x:c>
      <x:c r="E104" t="str">
        <x:f>Rates_Raw!F104</x:f>
        <x:v>002</x:v>
      </x:c>
      <x:c r="F104" t="n">
        <x:f>COUNTIF(Rates_Raw!$AF$5:$AF$464,B104)</x:f>
        <x:v>1</x:v>
      </x:c>
      <x:c r="G104" t="str">
        <x:f>IF(F104=1,"UNIQUE",IF(COUNTIFS(Rates_Raw!$AF$5:$AF$464,B104,Rates_Raw!$H$5:$H$464,Rates_Raw!H104,Rates_Raw!$L$5:$L$464,Rates_Raw!L104)=F104,"REPEATED SOURCE ROW","CONFLICTING KEY"))</x:f>
        <x:v>UNIQUE</x:v>
      </x:c>
      <x:c r="H104" t="str">
        <x:f>IF(F104&gt;1,"REVIEW","OK")</x:f>
        <x:v>OK</x:v>
      </x:c>
      <x:c r="I104" t="str">
        <x:f>Rates_Raw!H104</x:f>
        <x:v>0883C</x:v>
      </x:c>
      <x:c r="J104" t="str">
        <x:f>Rates_Raw!L104</x:f>
        <x:v>$32.0875</x:v>
      </x:c>
    </x:row>
    <x:row r="105">
      <x:c r="A105" t="n">
        <x:f>Rates_Raw!A105</x:f>
        <x:v>26285</x:v>
      </x:c>
      <x:c r="B105" t="str">
        <x:f>Rates_Raw!AF105</x:f>
        <x:v>0884|COMMN|2024-01-06</x:v>
      </x:c>
      <x:c r="C105" t="str">
        <x:f>Rates_Raw!D105</x:f>
        <x:v>0884</x:v>
      </x:c>
      <x:c r="D105" t="str">
        <x:f>Rates_Raw!C105</x:f>
        <x:v>2024/01/06</x:v>
      </x:c>
      <x:c r="E105" t="str">
        <x:f>Rates_Raw!F105</x:f>
        <x:v>002</x:v>
      </x:c>
      <x:c r="F105" t="n">
        <x:f>COUNTIF(Rates_Raw!$AF$5:$AF$464,B105)</x:f>
        <x:v>1</x:v>
      </x:c>
      <x:c r="G105" t="str">
        <x:f>IF(F105=1,"UNIQUE",IF(COUNTIFS(Rates_Raw!$AF$5:$AF$464,B105,Rates_Raw!$H$5:$H$464,Rates_Raw!H105,Rates_Raw!$L$5:$L$464,Rates_Raw!L105)=F105,"REPEATED SOURCE ROW","CONFLICTING KEY"))</x:f>
        <x:v>UNIQUE</x:v>
      </x:c>
      <x:c r="H105" t="str">
        <x:f>IF(F105&gt;1,"REVIEW","OK")</x:f>
        <x:v>OK</x:v>
      </x:c>
      <x:c r="I105" t="str">
        <x:f>Rates_Raw!H105</x:f>
        <x:v>0884Y</x:v>
      </x:c>
      <x:c r="J105" t="str">
        <x:f>Rates_Raw!L105</x:f>
        <x:v>$32.3875</x:v>
      </x:c>
    </x:row>
    <x:row r="106">
      <x:c r="A106" t="n">
        <x:f>Rates_Raw!A106</x:f>
        <x:v>28027</x:v>
      </x:c>
      <x:c r="B106" t="str">
        <x:f>Rates_Raw!AF106</x:f>
        <x:v>0884|COMMN|2024-07-01</x:v>
      </x:c>
      <x:c r="C106" t="str">
        <x:f>Rates_Raw!D106</x:f>
        <x:v>0884</x:v>
      </x:c>
      <x:c r="D106" t="str">
        <x:f>Rates_Raw!C106</x:f>
        <x:v>2024/07/01</x:v>
      </x:c>
      <x:c r="E106" t="str">
        <x:f>Rates_Raw!F106</x:f>
        <x:v>002</x:v>
      </x:c>
      <x:c r="F106" t="n">
        <x:f>COUNTIF(Rates_Raw!$AF$5:$AF$464,B106)</x:f>
        <x:v>1</x:v>
      </x:c>
      <x:c r="G106" t="str">
        <x:f>IF(F106=1,"UNIQUE",IF(COUNTIFS(Rates_Raw!$AF$5:$AF$464,B106,Rates_Raw!$H$5:$H$464,Rates_Raw!H106,Rates_Raw!$L$5:$L$464,Rates_Raw!L106)=F106,"REPEATED SOURCE ROW","CONFLICTING KEY"))</x:f>
        <x:v>UNIQUE</x:v>
      </x:c>
      <x:c r="H106" t="str">
        <x:f>IF(F106&gt;1,"REVIEW","OK")</x:f>
        <x:v>OK</x:v>
      </x:c>
      <x:c r="I106" t="str">
        <x:f>Rates_Raw!H106</x:f>
        <x:v>0884Z</x:v>
      </x:c>
      <x:c r="J106" t="str">
        <x:f>Rates_Raw!L106</x:f>
        <x:v>$32.8750</x:v>
      </x:c>
    </x:row>
    <x:row r="107">
      <x:c r="A107" t="n">
        <x:f>Rates_Raw!A107</x:f>
        <x:v>29733</x:v>
      </x:c>
      <x:c r="B107" t="str">
        <x:f>Rates_Raw!AF107</x:f>
        <x:v>0884|COMMN|2025-01-04</x:v>
      </x:c>
      <x:c r="C107" t="str">
        <x:f>Rates_Raw!D107</x:f>
        <x:v>0884</x:v>
      </x:c>
      <x:c r="D107" t="str">
        <x:f>Rates_Raw!C107</x:f>
        <x:v>2025/01/04</x:v>
      </x:c>
      <x:c r="E107" t="str">
        <x:f>Rates_Raw!F107</x:f>
        <x:v>002</x:v>
      </x:c>
      <x:c r="F107" t="n">
        <x:f>COUNTIF(Rates_Raw!$AF$5:$AF$464,B107)</x:f>
        <x:v>1</x:v>
      </x:c>
      <x:c r="G107" t="str">
        <x:f>IF(F107=1,"UNIQUE",IF(COUNTIFS(Rates_Raw!$AF$5:$AF$464,B107,Rates_Raw!$H$5:$H$464,Rates_Raw!H107,Rates_Raw!$L$5:$L$464,Rates_Raw!L107)=F107,"REPEATED SOURCE ROW","CONFLICTING KEY"))</x:f>
        <x:v>UNIQUE</x:v>
      </x:c>
      <x:c r="H107" t="str">
        <x:f>IF(F107&gt;1,"REVIEW","OK")</x:f>
        <x:v>OK</x:v>
      </x:c>
      <x:c r="I107" t="str">
        <x:f>Rates_Raw!H107</x:f>
        <x:v>0884A</x:v>
      </x:c>
      <x:c r="J107" t="str">
        <x:f>Rates_Raw!L107</x:f>
        <x:v>$33.3625</x:v>
      </x:c>
    </x:row>
    <x:row r="108">
      <x:c r="A108" t="n">
        <x:f>Rates_Raw!A108</x:f>
        <x:v>31446</x:v>
      </x:c>
      <x:c r="B108" t="str">
        <x:f>Rates_Raw!AF108</x:f>
        <x:v>0884|COMMN|2025-07-01</x:v>
      </x:c>
      <x:c r="C108" t="str">
        <x:f>Rates_Raw!D108</x:f>
        <x:v>0884</x:v>
      </x:c>
      <x:c r="D108" t="str">
        <x:f>Rates_Raw!C108</x:f>
        <x:v>2025/07/01</x:v>
      </x:c>
      <x:c r="E108" t="str">
        <x:f>Rates_Raw!F108</x:f>
        <x:v>002</x:v>
      </x:c>
      <x:c r="F108" t="n">
        <x:f>COUNTIF(Rates_Raw!$AF$5:$AF$464,B108)</x:f>
        <x:v>1</x:v>
      </x:c>
      <x:c r="G108" t="str">
        <x:f>IF(F108=1,"UNIQUE",IF(COUNTIFS(Rates_Raw!$AF$5:$AF$464,B108,Rates_Raw!$H$5:$H$464,Rates_Raw!H108,Rates_Raw!$L$5:$L$464,Rates_Raw!L108)=F108,"REPEATED SOURCE ROW","CONFLICTING KEY"))</x:f>
        <x:v>UNIQUE</x:v>
      </x:c>
      <x:c r="H108" t="str">
        <x:f>IF(F108&gt;1,"REVIEW","OK")</x:f>
        <x:v>OK</x:v>
      </x:c>
      <x:c r="I108" t="str">
        <x:f>Rates_Raw!H108</x:f>
        <x:v>0884B</x:v>
      </x:c>
      <x:c r="J108" t="str">
        <x:f>Rates_Raw!L108</x:f>
        <x:v>$34.0375</x:v>
      </x:c>
    </x:row>
    <x:row r="109">
      <x:c r="A109" t="n">
        <x:f>Rates_Raw!A109</x:f>
        <x:v>33132</x:v>
      </x:c>
      <x:c r="B109" t="str">
        <x:f>Rates_Raw!AF109</x:f>
        <x:v>0884|COMMN|2026-01-03</x:v>
      </x:c>
      <x:c r="C109" t="str">
        <x:f>Rates_Raw!D109</x:f>
        <x:v>0884</x:v>
      </x:c>
      <x:c r="D109" t="str">
        <x:f>Rates_Raw!C109</x:f>
        <x:v>2026/01/03</x:v>
      </x:c>
      <x:c r="E109" t="str">
        <x:f>Rates_Raw!F109</x:f>
        <x:v>002</x:v>
      </x:c>
      <x:c r="F109" t="n">
        <x:f>COUNTIF(Rates_Raw!$AF$5:$AF$464,B109)</x:f>
        <x:v>1</x:v>
      </x:c>
      <x:c r="G109" t="str">
        <x:f>IF(F109=1,"UNIQUE",IF(COUNTIFS(Rates_Raw!$AF$5:$AF$464,B109,Rates_Raw!$H$5:$H$464,Rates_Raw!H109,Rates_Raw!$L$5:$L$464,Rates_Raw!L109)=F109,"REPEATED SOURCE ROW","CONFLICTING KEY"))</x:f>
        <x:v>UNIQUE</x:v>
      </x:c>
      <x:c r="H109" t="str">
        <x:f>IF(F109&gt;1,"REVIEW","OK")</x:f>
        <x:v>OK</x:v>
      </x:c>
      <x:c r="I109" t="str">
        <x:f>Rates_Raw!H109</x:f>
        <x:v>0884C</x:v>
      </x:c>
      <x:c r="J109" t="str">
        <x:f>Rates_Raw!L109</x:f>
        <x:v>$34.5500</x:v>
      </x:c>
    </x:row>
    <x:row r="110">
      <x:c r="A110" t="n">
        <x:f>Rates_Raw!A110</x:f>
        <x:v>26286</x:v>
      </x:c>
      <x:c r="B110" t="str">
        <x:f>Rates_Raw!AF110</x:f>
        <x:v>0885|COMMN|2024-01-06</x:v>
      </x:c>
      <x:c r="C110" t="str">
        <x:f>Rates_Raw!D110</x:f>
        <x:v>0885</x:v>
      </x:c>
      <x:c r="D110" t="str">
        <x:f>Rates_Raw!C110</x:f>
        <x:v>2024/01/06</x:v>
      </x:c>
      <x:c r="E110" t="str">
        <x:f>Rates_Raw!F110</x:f>
        <x:v>002</x:v>
      </x:c>
      <x:c r="F110" t="n">
        <x:f>COUNTIF(Rates_Raw!$AF$5:$AF$464,B110)</x:f>
        <x:v>1</x:v>
      </x:c>
      <x:c r="G110" t="str">
        <x:f>IF(F110=1,"UNIQUE",IF(COUNTIFS(Rates_Raw!$AF$5:$AF$464,B110,Rates_Raw!$H$5:$H$464,Rates_Raw!H110,Rates_Raw!$L$5:$L$464,Rates_Raw!L110)=F110,"REPEATED SOURCE ROW","CONFLICTING KEY"))</x:f>
        <x:v>UNIQUE</x:v>
      </x:c>
      <x:c r="H110" t="str">
        <x:f>IF(F110&gt;1,"REVIEW","OK")</x:f>
        <x:v>OK</x:v>
      </x:c>
      <x:c r="I110" t="str">
        <x:f>Rates_Raw!H110</x:f>
        <x:v>0885Y</x:v>
      </x:c>
      <x:c r="J110" t="str">
        <x:f>Rates_Raw!L110</x:f>
        <x:v>$33.8125</x:v>
      </x:c>
    </x:row>
    <x:row r="111">
      <x:c r="A111" t="n">
        <x:f>Rates_Raw!A111</x:f>
        <x:v>28028</x:v>
      </x:c>
      <x:c r="B111" t="str">
        <x:f>Rates_Raw!AF111</x:f>
        <x:v>0885|COMMN|2024-07-01</x:v>
      </x:c>
      <x:c r="C111" t="str">
        <x:f>Rates_Raw!D111</x:f>
        <x:v>0885</x:v>
      </x:c>
      <x:c r="D111" t="str">
        <x:f>Rates_Raw!C111</x:f>
        <x:v>2024/07/01</x:v>
      </x:c>
      <x:c r="E111" t="str">
        <x:f>Rates_Raw!F111</x:f>
        <x:v>002</x:v>
      </x:c>
      <x:c r="F111" t="n">
        <x:f>COUNTIF(Rates_Raw!$AF$5:$AF$464,B111)</x:f>
        <x:v>1</x:v>
      </x:c>
      <x:c r="G111" t="str">
        <x:f>IF(F111=1,"UNIQUE",IF(COUNTIFS(Rates_Raw!$AF$5:$AF$464,B111,Rates_Raw!$H$5:$H$464,Rates_Raw!H111,Rates_Raw!$L$5:$L$464,Rates_Raw!L111)=F111,"REPEATED SOURCE ROW","CONFLICTING KEY"))</x:f>
        <x:v>UNIQUE</x:v>
      </x:c>
      <x:c r="H111" t="str">
        <x:f>IF(F111&gt;1,"REVIEW","OK")</x:f>
        <x:v>OK</x:v>
      </x:c>
      <x:c r="I111" t="str">
        <x:f>Rates_Raw!H111</x:f>
        <x:v>0885Z</x:v>
      </x:c>
      <x:c r="J111" t="str">
        <x:f>Rates_Raw!L111</x:f>
        <x:v>$34.3250</x:v>
      </x:c>
    </x:row>
    <x:row r="112">
      <x:c r="A112" t="n">
        <x:f>Rates_Raw!A112</x:f>
        <x:v>29734</x:v>
      </x:c>
      <x:c r="B112" t="str">
        <x:f>Rates_Raw!AF112</x:f>
        <x:v>0885|COMMN|2025-01-04</x:v>
      </x:c>
      <x:c r="C112" t="str">
        <x:f>Rates_Raw!D112</x:f>
        <x:v>0885</x:v>
      </x:c>
      <x:c r="D112" t="str">
        <x:f>Rates_Raw!C112</x:f>
        <x:v>2025/01/04</x:v>
      </x:c>
      <x:c r="E112" t="str">
        <x:f>Rates_Raw!F112</x:f>
        <x:v>002</x:v>
      </x:c>
      <x:c r="F112" t="n">
        <x:f>COUNTIF(Rates_Raw!$AF$5:$AF$464,B112)</x:f>
        <x:v>1</x:v>
      </x:c>
      <x:c r="G112" t="str">
        <x:f>IF(F112=1,"UNIQUE",IF(COUNTIFS(Rates_Raw!$AF$5:$AF$464,B112,Rates_Raw!$H$5:$H$464,Rates_Raw!H112,Rates_Raw!$L$5:$L$464,Rates_Raw!L112)=F112,"REPEATED SOURCE ROW","CONFLICTING KEY"))</x:f>
        <x:v>UNIQUE</x:v>
      </x:c>
      <x:c r="H112" t="str">
        <x:f>IF(F112&gt;1,"REVIEW","OK")</x:f>
        <x:v>OK</x:v>
      </x:c>
      <x:c r="I112" t="str">
        <x:f>Rates_Raw!H112</x:f>
        <x:v>0885A</x:v>
      </x:c>
      <x:c r="J112" t="str">
        <x:f>Rates_Raw!L112</x:f>
        <x:v>$34.8375</x:v>
      </x:c>
    </x:row>
    <x:row r="113">
      <x:c r="A113" t="n">
        <x:f>Rates_Raw!A113</x:f>
        <x:v>31447</x:v>
      </x:c>
      <x:c r="B113" t="str">
        <x:f>Rates_Raw!AF113</x:f>
        <x:v>0885|COMMN|2025-07-01</x:v>
      </x:c>
      <x:c r="C113" t="str">
        <x:f>Rates_Raw!D113</x:f>
        <x:v>0885</x:v>
      </x:c>
      <x:c r="D113" t="str">
        <x:f>Rates_Raw!C113</x:f>
        <x:v>2025/07/01</x:v>
      </x:c>
      <x:c r="E113" t="str">
        <x:f>Rates_Raw!F113</x:f>
        <x:v>002</x:v>
      </x:c>
      <x:c r="F113" t="n">
        <x:f>COUNTIF(Rates_Raw!$AF$5:$AF$464,B113)</x:f>
        <x:v>1</x:v>
      </x:c>
      <x:c r="G113" t="str">
        <x:f>IF(F113=1,"UNIQUE",IF(COUNTIFS(Rates_Raw!$AF$5:$AF$464,B113,Rates_Raw!$H$5:$H$464,Rates_Raw!H113,Rates_Raw!$L$5:$L$464,Rates_Raw!L113)=F113,"REPEATED SOURCE ROW","CONFLICTING KEY"))</x:f>
        <x:v>UNIQUE</x:v>
      </x:c>
      <x:c r="H113" t="str">
        <x:f>IF(F113&gt;1,"REVIEW","OK")</x:f>
        <x:v>OK</x:v>
      </x:c>
      <x:c r="I113" t="str">
        <x:f>Rates_Raw!H113</x:f>
        <x:v>0885B</x:v>
      </x:c>
      <x:c r="J113" t="str">
        <x:f>Rates_Raw!L113</x:f>
        <x:v>$35.5375</x:v>
      </x:c>
    </x:row>
    <x:row r="114">
      <x:c r="A114" t="n">
        <x:f>Rates_Raw!A114</x:f>
        <x:v>33133</x:v>
      </x:c>
      <x:c r="B114" t="str">
        <x:f>Rates_Raw!AF114</x:f>
        <x:v>0885|COMMN|2026-01-03</x:v>
      </x:c>
      <x:c r="C114" t="str">
        <x:f>Rates_Raw!D114</x:f>
        <x:v>0885</x:v>
      </x:c>
      <x:c r="D114" t="str">
        <x:f>Rates_Raw!C114</x:f>
        <x:v>2026/01/03</x:v>
      </x:c>
      <x:c r="E114" t="str">
        <x:f>Rates_Raw!F114</x:f>
        <x:v>002</x:v>
      </x:c>
      <x:c r="F114" t="n">
        <x:f>COUNTIF(Rates_Raw!$AF$5:$AF$464,B114)</x:f>
        <x:v>1</x:v>
      </x:c>
      <x:c r="G114" t="str">
        <x:f>IF(F114=1,"UNIQUE",IF(COUNTIFS(Rates_Raw!$AF$5:$AF$464,B114,Rates_Raw!$H$5:$H$464,Rates_Raw!H114,Rates_Raw!$L$5:$L$464,Rates_Raw!L114)=F114,"REPEATED SOURCE ROW","CONFLICTING KEY"))</x:f>
        <x:v>UNIQUE</x:v>
      </x:c>
      <x:c r="H114" t="str">
        <x:f>IF(F114&gt;1,"REVIEW","OK")</x:f>
        <x:v>OK</x:v>
      </x:c>
      <x:c r="I114" t="str">
        <x:f>Rates_Raw!H114</x:f>
        <x:v>0885C</x:v>
      </x:c>
      <x:c r="J114" t="str">
        <x:f>Rates_Raw!L114</x:f>
        <x:v>$36.0750</x:v>
      </x:c>
    </x:row>
    <x:row r="115">
      <x:c r="A115" t="n">
        <x:f>Rates_Raw!A115</x:f>
        <x:v>26287</x:v>
      </x:c>
      <x:c r="B115" t="str">
        <x:f>Rates_Raw!AF115</x:f>
        <x:v>0886|COMMN|2024-01-06</x:v>
      </x:c>
      <x:c r="C115" t="str">
        <x:f>Rates_Raw!D115</x:f>
        <x:v>0886</x:v>
      </x:c>
      <x:c r="D115" t="str">
        <x:f>Rates_Raw!C115</x:f>
        <x:v>2024/01/06</x:v>
      </x:c>
      <x:c r="E115" t="str">
        <x:f>Rates_Raw!F115</x:f>
        <x:v>002</x:v>
      </x:c>
      <x:c r="F115" t="n">
        <x:f>COUNTIF(Rates_Raw!$AF$5:$AF$464,B115)</x:f>
        <x:v>1</x:v>
      </x:c>
      <x:c r="G115" t="str">
        <x:f>IF(F115=1,"UNIQUE",IF(COUNTIFS(Rates_Raw!$AF$5:$AF$464,B115,Rates_Raw!$H$5:$H$464,Rates_Raw!H115,Rates_Raw!$L$5:$L$464,Rates_Raw!L115)=F115,"REPEATED SOURCE ROW","CONFLICTING KEY"))</x:f>
        <x:v>UNIQUE</x:v>
      </x:c>
      <x:c r="H115" t="str">
        <x:f>IF(F115&gt;1,"REVIEW","OK")</x:f>
        <x:v>OK</x:v>
      </x:c>
      <x:c r="I115" t="str">
        <x:f>Rates_Raw!H115</x:f>
        <x:v>0886Y</x:v>
      </x:c>
      <x:c r="J115" t="str">
        <x:f>Rates_Raw!L115</x:f>
        <x:v>$36.2125</x:v>
      </x:c>
    </x:row>
    <x:row r="116">
      <x:c r="A116" t="n">
        <x:f>Rates_Raw!A116</x:f>
        <x:v>28029</x:v>
      </x:c>
      <x:c r="B116" t="str">
        <x:f>Rates_Raw!AF116</x:f>
        <x:v>0886|COMMN|2024-07-01</x:v>
      </x:c>
      <x:c r="C116" t="str">
        <x:f>Rates_Raw!D116</x:f>
        <x:v>0886</x:v>
      </x:c>
      <x:c r="D116" t="str">
        <x:f>Rates_Raw!C116</x:f>
        <x:v>2024/07/01</x:v>
      </x:c>
      <x:c r="E116" t="str">
        <x:f>Rates_Raw!F116</x:f>
        <x:v>002</x:v>
      </x:c>
      <x:c r="F116" t="n">
        <x:f>COUNTIF(Rates_Raw!$AF$5:$AF$464,B116)</x:f>
        <x:v>1</x:v>
      </x:c>
      <x:c r="G116" t="str">
        <x:f>IF(F116=1,"UNIQUE",IF(COUNTIFS(Rates_Raw!$AF$5:$AF$464,B116,Rates_Raw!$H$5:$H$464,Rates_Raw!H116,Rates_Raw!$L$5:$L$464,Rates_Raw!L116)=F116,"REPEATED SOURCE ROW","CONFLICTING KEY"))</x:f>
        <x:v>UNIQUE</x:v>
      </x:c>
      <x:c r="H116" t="str">
        <x:f>IF(F116&gt;1,"REVIEW","OK")</x:f>
        <x:v>OK</x:v>
      </x:c>
      <x:c r="I116" t="str">
        <x:f>Rates_Raw!H116</x:f>
        <x:v>0886Z</x:v>
      </x:c>
      <x:c r="J116" t="str">
        <x:f>Rates_Raw!L116</x:f>
        <x:v>$36.7500</x:v>
      </x:c>
    </x:row>
    <x:row r="117">
      <x:c r="A117" t="n">
        <x:f>Rates_Raw!A117</x:f>
        <x:v>29735</x:v>
      </x:c>
      <x:c r="B117" t="str">
        <x:f>Rates_Raw!AF117</x:f>
        <x:v>0886|COMMN|2025-01-04</x:v>
      </x:c>
      <x:c r="C117" t="str">
        <x:f>Rates_Raw!D117</x:f>
        <x:v>0886</x:v>
      </x:c>
      <x:c r="D117" t="str">
        <x:f>Rates_Raw!C117</x:f>
        <x:v>2025/01/04</x:v>
      </x:c>
      <x:c r="E117" t="str">
        <x:f>Rates_Raw!F117</x:f>
        <x:v>002</x:v>
      </x:c>
      <x:c r="F117" t="n">
        <x:f>COUNTIF(Rates_Raw!$AF$5:$AF$464,B117)</x:f>
        <x:v>1</x:v>
      </x:c>
      <x:c r="G117" t="str">
        <x:f>IF(F117=1,"UNIQUE",IF(COUNTIFS(Rates_Raw!$AF$5:$AF$464,B117,Rates_Raw!$H$5:$H$464,Rates_Raw!H117,Rates_Raw!$L$5:$L$464,Rates_Raw!L117)=F117,"REPEATED SOURCE ROW","CONFLICTING KEY"))</x:f>
        <x:v>UNIQUE</x:v>
      </x:c>
      <x:c r="H117" t="str">
        <x:f>IF(F117&gt;1,"REVIEW","OK")</x:f>
        <x:v>OK</x:v>
      </x:c>
      <x:c r="I117" t="str">
        <x:f>Rates_Raw!H117</x:f>
        <x:v>0886A</x:v>
      </x:c>
      <x:c r="J117" t="str">
        <x:f>Rates_Raw!L117</x:f>
        <x:v>$37.3000</x:v>
      </x:c>
    </x:row>
    <x:row r="118">
      <x:c r="A118" t="n">
        <x:f>Rates_Raw!A118</x:f>
        <x:v>31448</x:v>
      </x:c>
      <x:c r="B118" t="str">
        <x:f>Rates_Raw!AF118</x:f>
        <x:v>0886|COMMN|2025-07-01</x:v>
      </x:c>
      <x:c r="C118" t="str">
        <x:f>Rates_Raw!D118</x:f>
        <x:v>0886</x:v>
      </x:c>
      <x:c r="D118" t="str">
        <x:f>Rates_Raw!C118</x:f>
        <x:v>2025/07/01</x:v>
      </x:c>
      <x:c r="E118" t="str">
        <x:f>Rates_Raw!F118</x:f>
        <x:v>002</x:v>
      </x:c>
      <x:c r="F118" t="n">
        <x:f>COUNTIF(Rates_Raw!$AF$5:$AF$464,B118)</x:f>
        <x:v>1</x:v>
      </x:c>
      <x:c r="G118" t="str">
        <x:f>IF(F118=1,"UNIQUE",IF(COUNTIFS(Rates_Raw!$AF$5:$AF$464,B118,Rates_Raw!$H$5:$H$464,Rates_Raw!H118,Rates_Raw!$L$5:$L$464,Rates_Raw!L118)=F118,"REPEATED SOURCE ROW","CONFLICTING KEY"))</x:f>
        <x:v>UNIQUE</x:v>
      </x:c>
      <x:c r="H118" t="str">
        <x:f>IF(F118&gt;1,"REVIEW","OK")</x:f>
        <x:v>OK</x:v>
      </x:c>
      <x:c r="I118" t="str">
        <x:f>Rates_Raw!H118</x:f>
        <x:v>0886B</x:v>
      </x:c>
      <x:c r="J118" t="str">
        <x:f>Rates_Raw!L118</x:f>
        <x:v>$38.0500</x:v>
      </x:c>
    </x:row>
    <x:row r="119">
      <x:c r="A119" t="n">
        <x:f>Rates_Raw!A119</x:f>
        <x:v>33134</x:v>
      </x:c>
      <x:c r="B119" t="str">
        <x:f>Rates_Raw!AF119</x:f>
        <x:v>0886|COMMN|2026-01-03</x:v>
      </x:c>
      <x:c r="C119" t="str">
        <x:f>Rates_Raw!D119</x:f>
        <x:v>0886</x:v>
      </x:c>
      <x:c r="D119" t="str">
        <x:f>Rates_Raw!C119</x:f>
        <x:v>2026/01/03</x:v>
      </x:c>
      <x:c r="E119" t="str">
        <x:f>Rates_Raw!F119</x:f>
        <x:v>002</x:v>
      </x:c>
      <x:c r="F119" t="n">
        <x:f>COUNTIF(Rates_Raw!$AF$5:$AF$464,B119)</x:f>
        <x:v>1</x:v>
      </x:c>
      <x:c r="G119" t="str">
        <x:f>IF(F119=1,"UNIQUE",IF(COUNTIFS(Rates_Raw!$AF$5:$AF$464,B119,Rates_Raw!$H$5:$H$464,Rates_Raw!H119,Rates_Raw!$L$5:$L$464,Rates_Raw!L119)=F119,"REPEATED SOURCE ROW","CONFLICTING KEY"))</x:f>
        <x:v>UNIQUE</x:v>
      </x:c>
      <x:c r="H119" t="str">
        <x:f>IF(F119&gt;1,"REVIEW","OK")</x:f>
        <x:v>OK</x:v>
      </x:c>
      <x:c r="I119" t="str">
        <x:f>Rates_Raw!H119</x:f>
        <x:v>0886C</x:v>
      </x:c>
      <x:c r="J119" t="str">
        <x:f>Rates_Raw!L119</x:f>
        <x:v>$38.6250</x:v>
      </x:c>
    </x:row>
    <x:row r="120">
      <x:c r="A120" t="n">
        <x:f>Rates_Raw!A120</x:f>
        <x:v>26288</x:v>
      </x:c>
      <x:c r="B120" t="str">
        <x:f>Rates_Raw!AF120</x:f>
        <x:v>0887|COMMN|2024-01-06</x:v>
      </x:c>
      <x:c r="C120" t="str">
        <x:f>Rates_Raw!D120</x:f>
        <x:v>0887</x:v>
      </x:c>
      <x:c r="D120" t="str">
        <x:f>Rates_Raw!C120</x:f>
        <x:v>2024/01/06</x:v>
      </x:c>
      <x:c r="E120" t="str">
        <x:f>Rates_Raw!F120</x:f>
        <x:v>002</x:v>
      </x:c>
      <x:c r="F120" t="n">
        <x:f>COUNTIF(Rates_Raw!$AF$5:$AF$464,B120)</x:f>
        <x:v>1</x:v>
      </x:c>
      <x:c r="G120" t="str">
        <x:f>IF(F120=1,"UNIQUE",IF(COUNTIFS(Rates_Raw!$AF$5:$AF$464,B120,Rates_Raw!$H$5:$H$464,Rates_Raw!H120,Rates_Raw!$L$5:$L$464,Rates_Raw!L120)=F120,"REPEATED SOURCE ROW","CONFLICTING KEY"))</x:f>
        <x:v>UNIQUE</x:v>
      </x:c>
      <x:c r="H120" t="str">
        <x:f>IF(F120&gt;1,"REVIEW","OK")</x:f>
        <x:v>OK</x:v>
      </x:c>
      <x:c r="I120" t="str">
        <x:f>Rates_Raw!H120</x:f>
        <x:v>0887Y</x:v>
      </x:c>
      <x:c r="J120" t="str">
        <x:f>Rates_Raw!L120</x:f>
        <x:v>$38.9250</x:v>
      </x:c>
    </x:row>
    <x:row r="121">
      <x:c r="A121" t="n">
        <x:f>Rates_Raw!A121</x:f>
        <x:v>28030</x:v>
      </x:c>
      <x:c r="B121" t="str">
        <x:f>Rates_Raw!AF121</x:f>
        <x:v>0887|COMMN|2024-07-01</x:v>
      </x:c>
      <x:c r="C121" t="str">
        <x:f>Rates_Raw!D121</x:f>
        <x:v>0887</x:v>
      </x:c>
      <x:c r="D121" t="str">
        <x:f>Rates_Raw!C121</x:f>
        <x:v>2024/07/01</x:v>
      </x:c>
      <x:c r="E121" t="str">
        <x:f>Rates_Raw!F121</x:f>
        <x:v>002</x:v>
      </x:c>
      <x:c r="F121" t="n">
        <x:f>COUNTIF(Rates_Raw!$AF$5:$AF$464,B121)</x:f>
        <x:v>1</x:v>
      </x:c>
      <x:c r="G121" t="str">
        <x:f>IF(F121=1,"UNIQUE",IF(COUNTIFS(Rates_Raw!$AF$5:$AF$464,B121,Rates_Raw!$H$5:$H$464,Rates_Raw!H121,Rates_Raw!$L$5:$L$464,Rates_Raw!L121)=F121,"REPEATED SOURCE ROW","CONFLICTING KEY"))</x:f>
        <x:v>UNIQUE</x:v>
      </x:c>
      <x:c r="H121" t="str">
        <x:f>IF(F121&gt;1,"REVIEW","OK")</x:f>
        <x:v>OK</x:v>
      </x:c>
      <x:c r="I121" t="str">
        <x:f>Rates_Raw!H121</x:f>
        <x:v>0887Z</x:v>
      </x:c>
      <x:c r="J121" t="str">
        <x:f>Rates_Raw!L121</x:f>
        <x:v>$39.5125</x:v>
      </x:c>
    </x:row>
    <x:row r="122">
      <x:c r="A122" t="n">
        <x:f>Rates_Raw!A122</x:f>
        <x:v>29736</x:v>
      </x:c>
      <x:c r="B122" t="str">
        <x:f>Rates_Raw!AF122</x:f>
        <x:v>0887|COMMN|2025-01-04</x:v>
      </x:c>
      <x:c r="C122" t="str">
        <x:f>Rates_Raw!D122</x:f>
        <x:v>0887</x:v>
      </x:c>
      <x:c r="D122" t="str">
        <x:f>Rates_Raw!C122</x:f>
        <x:v>2025/01/04</x:v>
      </x:c>
      <x:c r="E122" t="str">
        <x:f>Rates_Raw!F122</x:f>
        <x:v>002</x:v>
      </x:c>
      <x:c r="F122" t="n">
        <x:f>COUNTIF(Rates_Raw!$AF$5:$AF$464,B122)</x:f>
        <x:v>1</x:v>
      </x:c>
      <x:c r="G122" t="str">
        <x:f>IF(F122=1,"UNIQUE",IF(COUNTIFS(Rates_Raw!$AF$5:$AF$464,B122,Rates_Raw!$H$5:$H$464,Rates_Raw!H122,Rates_Raw!$L$5:$L$464,Rates_Raw!L122)=F122,"REPEATED SOURCE ROW","CONFLICTING KEY"))</x:f>
        <x:v>UNIQUE</x:v>
      </x:c>
      <x:c r="H122" t="str">
        <x:f>IF(F122&gt;1,"REVIEW","OK")</x:f>
        <x:v>OK</x:v>
      </x:c>
      <x:c r="I122" t="str">
        <x:f>Rates_Raw!H122</x:f>
        <x:v>0887A</x:v>
      </x:c>
      <x:c r="J122" t="str">
        <x:f>Rates_Raw!L122</x:f>
        <x:v>$40.1000</x:v>
      </x:c>
    </x:row>
    <x:row r="123">
      <x:c r="A123" t="n">
        <x:f>Rates_Raw!A123</x:f>
        <x:v>31449</x:v>
      </x:c>
      <x:c r="B123" t="str">
        <x:f>Rates_Raw!AF123</x:f>
        <x:v>0887|COMMN|2025-07-01</x:v>
      </x:c>
      <x:c r="C123" t="str">
        <x:f>Rates_Raw!D123</x:f>
        <x:v>0887</x:v>
      </x:c>
      <x:c r="D123" t="str">
        <x:f>Rates_Raw!C123</x:f>
        <x:v>2025/07/01</x:v>
      </x:c>
      <x:c r="E123" t="str">
        <x:f>Rates_Raw!F123</x:f>
        <x:v>002</x:v>
      </x:c>
      <x:c r="F123" t="n">
        <x:f>COUNTIF(Rates_Raw!$AF$5:$AF$464,B123)</x:f>
        <x:v>1</x:v>
      </x:c>
      <x:c r="G123" t="str">
        <x:f>IF(F123=1,"UNIQUE",IF(COUNTIFS(Rates_Raw!$AF$5:$AF$464,B123,Rates_Raw!$H$5:$H$464,Rates_Raw!H123,Rates_Raw!$L$5:$L$464,Rates_Raw!L123)=F123,"REPEATED SOURCE ROW","CONFLICTING KEY"))</x:f>
        <x:v>UNIQUE</x:v>
      </x:c>
      <x:c r="H123" t="str">
        <x:f>IF(F123&gt;1,"REVIEW","OK")</x:f>
        <x:v>OK</x:v>
      </x:c>
      <x:c r="I123" t="str">
        <x:f>Rates_Raw!H123</x:f>
        <x:v>0887B</x:v>
      </x:c>
      <x:c r="J123" t="str">
        <x:f>Rates_Raw!L123</x:f>
        <x:v>$40.9000</x:v>
      </x:c>
    </x:row>
    <x:row r="124">
      <x:c r="A124" t="n">
        <x:f>Rates_Raw!A124</x:f>
        <x:v>33135</x:v>
      </x:c>
      <x:c r="B124" t="str">
        <x:f>Rates_Raw!AF124</x:f>
        <x:v>0887|COMMN|2026-01-03</x:v>
      </x:c>
      <x:c r="C124" t="str">
        <x:f>Rates_Raw!D124</x:f>
        <x:v>0887</x:v>
      </x:c>
      <x:c r="D124" t="str">
        <x:f>Rates_Raw!C124</x:f>
        <x:v>2026/01/03</x:v>
      </x:c>
      <x:c r="E124" t="str">
        <x:f>Rates_Raw!F124</x:f>
        <x:v>002</x:v>
      </x:c>
      <x:c r="F124" t="n">
        <x:f>COUNTIF(Rates_Raw!$AF$5:$AF$464,B124)</x:f>
        <x:v>1</x:v>
      </x:c>
      <x:c r="G124" t="str">
        <x:f>IF(F124=1,"UNIQUE",IF(COUNTIFS(Rates_Raw!$AF$5:$AF$464,B124,Rates_Raw!$H$5:$H$464,Rates_Raw!H124,Rates_Raw!$L$5:$L$464,Rates_Raw!L124)=F124,"REPEATED SOURCE ROW","CONFLICTING KEY"))</x:f>
        <x:v>UNIQUE</x:v>
      </x:c>
      <x:c r="H124" t="str">
        <x:f>IF(F124&gt;1,"REVIEW","OK")</x:f>
        <x:v>OK</x:v>
      </x:c>
      <x:c r="I124" t="str">
        <x:f>Rates_Raw!H124</x:f>
        <x:v>0887C</x:v>
      </x:c>
      <x:c r="J124" t="str">
        <x:f>Rates_Raw!L124</x:f>
        <x:v>$41.5125</x:v>
      </x:c>
    </x:row>
    <x:row r="125">
      <x:c r="A125" t="n">
        <x:f>Rates_Raw!A125</x:f>
        <x:v>26289</x:v>
      </x:c>
      <x:c r="B125" t="str">
        <x:f>Rates_Raw!AF125</x:f>
        <x:v>0888|COMMN|2024-01-06</x:v>
      </x:c>
      <x:c r="C125" t="str">
        <x:f>Rates_Raw!D125</x:f>
        <x:v>0888</x:v>
      </x:c>
      <x:c r="D125" t="str">
        <x:f>Rates_Raw!C125</x:f>
        <x:v>2024/01/06</x:v>
      </x:c>
      <x:c r="E125" t="str">
        <x:f>Rates_Raw!F125</x:f>
        <x:v>002</x:v>
      </x:c>
      <x:c r="F125" t="n">
        <x:f>COUNTIF(Rates_Raw!$AF$5:$AF$464,B125)</x:f>
        <x:v>1</x:v>
      </x:c>
      <x:c r="G125" t="str">
        <x:f>IF(F125=1,"UNIQUE",IF(COUNTIFS(Rates_Raw!$AF$5:$AF$464,B125,Rates_Raw!$H$5:$H$464,Rates_Raw!H125,Rates_Raw!$L$5:$L$464,Rates_Raw!L125)=F125,"REPEATED SOURCE ROW","CONFLICTING KEY"))</x:f>
        <x:v>UNIQUE</x:v>
      </x:c>
      <x:c r="H125" t="str">
        <x:f>IF(F125&gt;1,"REVIEW","OK")</x:f>
        <x:v>OK</x:v>
      </x:c>
      <x:c r="I125" t="str">
        <x:f>Rates_Raw!H125</x:f>
        <x:v>0888Y</x:v>
      </x:c>
      <x:c r="J125" t="str">
        <x:f>Rates_Raw!L125</x:f>
        <x:v>$41.9250</x:v>
      </x:c>
    </x:row>
    <x:row r="126">
      <x:c r="A126" t="n">
        <x:f>Rates_Raw!A126</x:f>
        <x:v>28031</x:v>
      </x:c>
      <x:c r="B126" t="str">
        <x:f>Rates_Raw!AF126</x:f>
        <x:v>0888|COMMN|2024-07-01</x:v>
      </x:c>
      <x:c r="C126" t="str">
        <x:f>Rates_Raw!D126</x:f>
        <x:v>0888</x:v>
      </x:c>
      <x:c r="D126" t="str">
        <x:f>Rates_Raw!C126</x:f>
        <x:v>2024/07/01</x:v>
      </x:c>
      <x:c r="E126" t="str">
        <x:f>Rates_Raw!F126</x:f>
        <x:v>002</x:v>
      </x:c>
      <x:c r="F126" t="n">
        <x:f>COUNTIF(Rates_Raw!$AF$5:$AF$464,B126)</x:f>
        <x:v>1</x:v>
      </x:c>
      <x:c r="G126" t="str">
        <x:f>IF(F126=1,"UNIQUE",IF(COUNTIFS(Rates_Raw!$AF$5:$AF$464,B126,Rates_Raw!$H$5:$H$464,Rates_Raw!H126,Rates_Raw!$L$5:$L$464,Rates_Raw!L126)=F126,"REPEATED SOURCE ROW","CONFLICTING KEY"))</x:f>
        <x:v>UNIQUE</x:v>
      </x:c>
      <x:c r="H126" t="str">
        <x:f>IF(F126&gt;1,"REVIEW","OK")</x:f>
        <x:v>OK</x:v>
      </x:c>
      <x:c r="I126" t="str">
        <x:f>Rates_Raw!H126</x:f>
        <x:v>0888Z</x:v>
      </x:c>
      <x:c r="J126" t="str">
        <x:f>Rates_Raw!L126</x:f>
        <x:v>$42.5500</x:v>
      </x:c>
    </x:row>
    <x:row r="127">
      <x:c r="A127" t="n">
        <x:f>Rates_Raw!A127</x:f>
        <x:v>29737</x:v>
      </x:c>
      <x:c r="B127" t="str">
        <x:f>Rates_Raw!AF127</x:f>
        <x:v>0888|COMMN|2025-01-04</x:v>
      </x:c>
      <x:c r="C127" t="str">
        <x:f>Rates_Raw!D127</x:f>
        <x:v>0888</x:v>
      </x:c>
      <x:c r="D127" t="str">
        <x:f>Rates_Raw!C127</x:f>
        <x:v>2025/01/04</x:v>
      </x:c>
      <x:c r="E127" t="str">
        <x:f>Rates_Raw!F127</x:f>
        <x:v>002</x:v>
      </x:c>
      <x:c r="F127" t="n">
        <x:f>COUNTIF(Rates_Raw!$AF$5:$AF$464,B127)</x:f>
        <x:v>1</x:v>
      </x:c>
      <x:c r="G127" t="str">
        <x:f>IF(F127=1,"UNIQUE",IF(COUNTIFS(Rates_Raw!$AF$5:$AF$464,B127,Rates_Raw!$H$5:$H$464,Rates_Raw!H127,Rates_Raw!$L$5:$L$464,Rates_Raw!L127)=F127,"REPEATED SOURCE ROW","CONFLICTING KEY"))</x:f>
        <x:v>UNIQUE</x:v>
      </x:c>
      <x:c r="H127" t="str">
        <x:f>IF(F127&gt;1,"REVIEW","OK")</x:f>
        <x:v>OK</x:v>
      </x:c>
      <x:c r="I127" t="str">
        <x:f>Rates_Raw!H127</x:f>
        <x:v>0888A</x:v>
      </x:c>
      <x:c r="J127" t="str">
        <x:f>Rates_Raw!L127</x:f>
        <x:v>$43.1875</x:v>
      </x:c>
    </x:row>
    <x:row r="128">
      <x:c r="A128" t="n">
        <x:f>Rates_Raw!A128</x:f>
        <x:v>31450</x:v>
      </x:c>
      <x:c r="B128" t="str">
        <x:f>Rates_Raw!AF128</x:f>
        <x:v>0888|COMMN|2025-07-01</x:v>
      </x:c>
      <x:c r="C128" t="str">
        <x:f>Rates_Raw!D128</x:f>
        <x:v>0888</x:v>
      </x:c>
      <x:c r="D128" t="str">
        <x:f>Rates_Raw!C128</x:f>
        <x:v>2025/07/01</x:v>
      </x:c>
      <x:c r="E128" t="str">
        <x:f>Rates_Raw!F128</x:f>
        <x:v>002</x:v>
      </x:c>
      <x:c r="F128" t="n">
        <x:f>COUNTIF(Rates_Raw!$AF$5:$AF$464,B128)</x:f>
        <x:v>1</x:v>
      </x:c>
      <x:c r="G128" t="str">
        <x:f>IF(F128=1,"UNIQUE",IF(COUNTIFS(Rates_Raw!$AF$5:$AF$464,B128,Rates_Raw!$H$5:$H$464,Rates_Raw!H128,Rates_Raw!$L$5:$L$464,Rates_Raw!L128)=F128,"REPEATED SOURCE ROW","CONFLICTING KEY"))</x:f>
        <x:v>UNIQUE</x:v>
      </x:c>
      <x:c r="H128" t="str">
        <x:f>IF(F128&gt;1,"REVIEW","OK")</x:f>
        <x:v>OK</x:v>
      </x:c>
      <x:c r="I128" t="str">
        <x:f>Rates_Raw!H128</x:f>
        <x:v>0888B</x:v>
      </x:c>
      <x:c r="J128" t="str">
        <x:f>Rates_Raw!L128</x:f>
        <x:v>$44.0500</x:v>
      </x:c>
    </x:row>
    <x:row r="129">
      <x:c r="A129" t="n">
        <x:f>Rates_Raw!A129</x:f>
        <x:v>33136</x:v>
      </x:c>
      <x:c r="B129" t="str">
        <x:f>Rates_Raw!AF129</x:f>
        <x:v>0888|COMMN|2026-01-03</x:v>
      </x:c>
      <x:c r="C129" t="str">
        <x:f>Rates_Raw!D129</x:f>
        <x:v>0888</x:v>
      </x:c>
      <x:c r="D129" t="str">
        <x:f>Rates_Raw!C129</x:f>
        <x:v>2026/01/03</x:v>
      </x:c>
      <x:c r="E129" t="str">
        <x:f>Rates_Raw!F129</x:f>
        <x:v>002</x:v>
      </x:c>
      <x:c r="F129" t="n">
        <x:f>COUNTIF(Rates_Raw!$AF$5:$AF$464,B129)</x:f>
        <x:v>1</x:v>
      </x:c>
      <x:c r="G129" t="str">
        <x:f>IF(F129=1,"UNIQUE",IF(COUNTIFS(Rates_Raw!$AF$5:$AF$464,B129,Rates_Raw!$H$5:$H$464,Rates_Raw!H129,Rates_Raw!$L$5:$L$464,Rates_Raw!L129)=F129,"REPEATED SOURCE ROW","CONFLICTING KEY"))</x:f>
        <x:v>UNIQUE</x:v>
      </x:c>
      <x:c r="H129" t="str">
        <x:f>IF(F129&gt;1,"REVIEW","OK")</x:f>
        <x:v>OK</x:v>
      </x:c>
      <x:c r="I129" t="str">
        <x:f>Rates_Raw!H129</x:f>
        <x:v>0888C</x:v>
      </x:c>
      <x:c r="J129" t="str">
        <x:f>Rates_Raw!L129</x:f>
        <x:v>$44.7125</x:v>
      </x:c>
    </x:row>
    <x:row r="130">
      <x:c r="A130" t="n">
        <x:f>Rates_Raw!A130</x:f>
        <x:v>26290</x:v>
      </x:c>
      <x:c r="B130" t="str">
        <x:f>Rates_Raw!AF130</x:f>
        <x:v>0889|COMMN|2024-01-06</x:v>
      </x:c>
      <x:c r="C130" t="str">
        <x:f>Rates_Raw!D130</x:f>
        <x:v>0889</x:v>
      </x:c>
      <x:c r="D130" t="str">
        <x:f>Rates_Raw!C130</x:f>
        <x:v>2024/01/06</x:v>
      </x:c>
      <x:c r="E130" t="str">
        <x:f>Rates_Raw!F130</x:f>
        <x:v>002</x:v>
      </x:c>
      <x:c r="F130" t="n">
        <x:f>COUNTIF(Rates_Raw!$AF$5:$AF$464,B130)</x:f>
        <x:v>1</x:v>
      </x:c>
      <x:c r="G130" t="str">
        <x:f>IF(F130=1,"UNIQUE",IF(COUNTIFS(Rates_Raw!$AF$5:$AF$464,B130,Rates_Raw!$H$5:$H$464,Rates_Raw!H130,Rates_Raw!$L$5:$L$464,Rates_Raw!L130)=F130,"REPEATED SOURCE ROW","CONFLICTING KEY"))</x:f>
        <x:v>UNIQUE</x:v>
      </x:c>
      <x:c r="H130" t="str">
        <x:f>IF(F130&gt;1,"REVIEW","OK")</x:f>
        <x:v>OK</x:v>
      </x:c>
      <x:c r="I130" t="str">
        <x:f>Rates_Raw!H130</x:f>
        <x:v>0889Y</x:v>
      </x:c>
      <x:c r="J130" t="str">
        <x:f>Rates_Raw!L130</x:f>
        <x:v>$45.0750</x:v>
      </x:c>
    </x:row>
    <x:row r="131">
      <x:c r="A131" t="n">
        <x:f>Rates_Raw!A131</x:f>
        <x:v>28032</x:v>
      </x:c>
      <x:c r="B131" t="str">
        <x:f>Rates_Raw!AF131</x:f>
        <x:v>0889|COMMN|2024-07-01</x:v>
      </x:c>
      <x:c r="C131" t="str">
        <x:f>Rates_Raw!D131</x:f>
        <x:v>0889</x:v>
      </x:c>
      <x:c r="D131" t="str">
        <x:f>Rates_Raw!C131</x:f>
        <x:v>2024/07/01</x:v>
      </x:c>
      <x:c r="E131" t="str">
        <x:f>Rates_Raw!F131</x:f>
        <x:v>002</x:v>
      </x:c>
      <x:c r="F131" t="n">
        <x:f>COUNTIF(Rates_Raw!$AF$5:$AF$464,B131)</x:f>
        <x:v>1</x:v>
      </x:c>
      <x:c r="G131" t="str">
        <x:f>IF(F131=1,"UNIQUE",IF(COUNTIFS(Rates_Raw!$AF$5:$AF$464,B131,Rates_Raw!$H$5:$H$464,Rates_Raw!H131,Rates_Raw!$L$5:$L$464,Rates_Raw!L131)=F131,"REPEATED SOURCE ROW","CONFLICTING KEY"))</x:f>
        <x:v>UNIQUE</x:v>
      </x:c>
      <x:c r="H131" t="str">
        <x:f>IF(F131&gt;1,"REVIEW","OK")</x:f>
        <x:v>OK</x:v>
      </x:c>
      <x:c r="I131" t="str">
        <x:f>Rates_Raw!H131</x:f>
        <x:v>0889Z</x:v>
      </x:c>
      <x:c r="J131" t="str">
        <x:f>Rates_Raw!L131</x:f>
        <x:v>$45.7500</x:v>
      </x:c>
    </x:row>
    <x:row r="132">
      <x:c r="A132" t="n">
        <x:f>Rates_Raw!A132</x:f>
        <x:v>29738</x:v>
      </x:c>
      <x:c r="B132" t="str">
        <x:f>Rates_Raw!AF132</x:f>
        <x:v>0889|COMMN|2025-01-04</x:v>
      </x:c>
      <x:c r="C132" t="str">
        <x:f>Rates_Raw!D132</x:f>
        <x:v>0889</x:v>
      </x:c>
      <x:c r="D132" t="str">
        <x:f>Rates_Raw!C132</x:f>
        <x:v>2025/01/04</x:v>
      </x:c>
      <x:c r="E132" t="str">
        <x:f>Rates_Raw!F132</x:f>
        <x:v>002</x:v>
      </x:c>
      <x:c r="F132" t="n">
        <x:f>COUNTIF(Rates_Raw!$AF$5:$AF$464,B132)</x:f>
        <x:v>1</x:v>
      </x:c>
      <x:c r="G132" t="str">
        <x:f>IF(F132=1,"UNIQUE",IF(COUNTIFS(Rates_Raw!$AF$5:$AF$464,B132,Rates_Raw!$H$5:$H$464,Rates_Raw!H132,Rates_Raw!$L$5:$L$464,Rates_Raw!L132)=F132,"REPEATED SOURCE ROW","CONFLICTING KEY"))</x:f>
        <x:v>UNIQUE</x:v>
      </x:c>
      <x:c r="H132" t="str">
        <x:f>IF(F132&gt;1,"REVIEW","OK")</x:f>
        <x:v>OK</x:v>
      </x:c>
      <x:c r="I132" t="str">
        <x:f>Rates_Raw!H132</x:f>
        <x:v>0889A</x:v>
      </x:c>
      <x:c r="J132" t="str">
        <x:f>Rates_Raw!L132</x:f>
        <x:v>$46.4375</x:v>
      </x:c>
    </x:row>
    <x:row r="133">
      <x:c r="A133" t="n">
        <x:f>Rates_Raw!A133</x:f>
        <x:v>31451</x:v>
      </x:c>
      <x:c r="B133" t="str">
        <x:f>Rates_Raw!AF133</x:f>
        <x:v>0889|COMMN|2025-07-01</x:v>
      </x:c>
      <x:c r="C133" t="str">
        <x:f>Rates_Raw!D133</x:f>
        <x:v>0889</x:v>
      </x:c>
      <x:c r="D133" t="str">
        <x:f>Rates_Raw!C133</x:f>
        <x:v>2025/07/01</x:v>
      </x:c>
      <x:c r="E133" t="str">
        <x:f>Rates_Raw!F133</x:f>
        <x:v>002</x:v>
      </x:c>
      <x:c r="F133" t="n">
        <x:f>COUNTIF(Rates_Raw!$AF$5:$AF$464,B133)</x:f>
        <x:v>1</x:v>
      </x:c>
      <x:c r="G133" t="str">
        <x:f>IF(F133=1,"UNIQUE",IF(COUNTIFS(Rates_Raw!$AF$5:$AF$464,B133,Rates_Raw!$H$5:$H$464,Rates_Raw!H133,Rates_Raw!$L$5:$L$464,Rates_Raw!L133)=F133,"REPEATED SOURCE ROW","CONFLICTING KEY"))</x:f>
        <x:v>UNIQUE</x:v>
      </x:c>
      <x:c r="H133" t="str">
        <x:f>IF(F133&gt;1,"REVIEW","OK")</x:f>
        <x:v>OK</x:v>
      </x:c>
      <x:c r="I133" t="str">
        <x:f>Rates_Raw!H133</x:f>
        <x:v>0889B</x:v>
      </x:c>
      <x:c r="J133" t="str">
        <x:f>Rates_Raw!L133</x:f>
        <x:v>$47.3750</x:v>
      </x:c>
    </x:row>
    <x:row r="134">
      <x:c r="A134" t="n">
        <x:f>Rates_Raw!A134</x:f>
        <x:v>33137</x:v>
      </x:c>
      <x:c r="B134" t="str">
        <x:f>Rates_Raw!AF134</x:f>
        <x:v>0889|COMMN|2026-01-03</x:v>
      </x:c>
      <x:c r="C134" t="str">
        <x:f>Rates_Raw!D134</x:f>
        <x:v>0889</x:v>
      </x:c>
      <x:c r="D134" t="str">
        <x:f>Rates_Raw!C134</x:f>
        <x:v>2026/01/03</x:v>
      </x:c>
      <x:c r="E134" t="str">
        <x:f>Rates_Raw!F134</x:f>
        <x:v>002</x:v>
      </x:c>
      <x:c r="F134" t="n">
        <x:f>COUNTIF(Rates_Raw!$AF$5:$AF$464,B134)</x:f>
        <x:v>1</x:v>
      </x:c>
      <x:c r="G134" t="str">
        <x:f>IF(F134=1,"UNIQUE",IF(COUNTIFS(Rates_Raw!$AF$5:$AF$464,B134,Rates_Raw!$H$5:$H$464,Rates_Raw!H134,Rates_Raw!$L$5:$L$464,Rates_Raw!L134)=F134,"REPEATED SOURCE ROW","CONFLICTING KEY"))</x:f>
        <x:v>UNIQUE</x:v>
      </x:c>
      <x:c r="H134" t="str">
        <x:f>IF(F134&gt;1,"REVIEW","OK")</x:f>
        <x:v>OK</x:v>
      </x:c>
      <x:c r="I134" t="str">
        <x:f>Rates_Raw!H134</x:f>
        <x:v>0889C</x:v>
      </x:c>
      <x:c r="J134" t="str">
        <x:f>Rates_Raw!L134</x:f>
        <x:v>$48.0875</x:v>
      </x:c>
    </x:row>
    <x:row r="135">
      <x:c r="A135" t="n">
        <x:f>Rates_Raw!A135</x:f>
        <x:v>15976</x:v>
      </x:c>
      <x:c r="B135" t="str">
        <x:f>Rates_Raw!AF135</x:f>
        <x:v>1064|COMMN|2020-07-01</x:v>
      </x:c>
      <x:c r="C135" t="str">
        <x:f>Rates_Raw!D135</x:f>
        <x:v>1064</x:v>
      </x:c>
      <x:c r="D135" t="str">
        <x:f>Rates_Raw!C135</x:f>
        <x:v>2020/07/01</x:v>
      </x:c>
      <x:c r="E135" t="str">
        <x:f>Rates_Raw!F135</x:f>
        <x:v>021</x:v>
      </x:c>
      <x:c r="F135" t="n">
        <x:f>COUNTIF(Rates_Raw!$AF$5:$AF$464,B135)</x:f>
        <x:v>1</x:v>
      </x:c>
      <x:c r="G135" t="str">
        <x:f>IF(F135=1,"UNIQUE",IF(COUNTIFS(Rates_Raw!$AF$5:$AF$464,B135,Rates_Raw!$H$5:$H$464,Rates_Raw!H135,Rates_Raw!$L$5:$L$464,Rates_Raw!L135)=F135,"REPEATED SOURCE ROW","CONFLICTING KEY"))</x:f>
        <x:v>UNIQUE</x:v>
      </x:c>
      <x:c r="H135" t="str">
        <x:f>IF(F135&gt;1,"REVIEW","OK")</x:f>
        <x:v>OK</x:v>
      </x:c>
      <x:c r="I135" t="str">
        <x:f>Rates_Raw!H135</x:f>
        <x:v>1064S</x:v>
      </x:c>
      <x:c r="J135" t="str">
        <x:f>Rates_Raw!L135</x:f>
        <x:v>$52.9125</x:v>
      </x:c>
    </x:row>
    <x:row r="136">
      <x:c r="A136" t="n">
        <x:f>Rates_Raw!A136</x:f>
        <x:v>26324</x:v>
      </x:c>
      <x:c r="B136" t="str">
        <x:f>Rates_Raw!AF136</x:f>
        <x:v>1064|COMMN|2024-01-06</x:v>
      </x:c>
      <x:c r="C136" t="str">
        <x:f>Rates_Raw!D136</x:f>
        <x:v>1064</x:v>
      </x:c>
      <x:c r="D136" t="str">
        <x:f>Rates_Raw!C136</x:f>
        <x:v>2024/01/06</x:v>
      </x:c>
      <x:c r="E136" t="str">
        <x:f>Rates_Raw!F136</x:f>
        <x:v>021</x:v>
      </x:c>
      <x:c r="F136" t="n">
        <x:f>COUNTIF(Rates_Raw!$AF$5:$AF$464,B136)</x:f>
        <x:v>1</x:v>
      </x:c>
      <x:c r="G136" t="str">
        <x:f>IF(F136=1,"UNIQUE",IF(COUNTIFS(Rates_Raw!$AF$5:$AF$464,B136,Rates_Raw!$H$5:$H$464,Rates_Raw!H136,Rates_Raw!$L$5:$L$464,Rates_Raw!L136)=F136,"REPEATED SOURCE ROW","CONFLICTING KEY"))</x:f>
        <x:v>UNIQUE</x:v>
      </x:c>
      <x:c r="H136" t="str">
        <x:f>IF(F136&gt;1,"REVIEW","OK")</x:f>
        <x:v>OK</x:v>
      </x:c>
      <x:c r="I136" t="str">
        <x:f>Rates_Raw!H136</x:f>
        <x:v>1064Y</x:v>
      </x:c>
      <x:c r="J136" t="str">
        <x:f>Rates_Raw!L136</x:f>
        <x:v>$65.5875</x:v>
      </x:c>
    </x:row>
    <x:row r="137">
      <x:c r="A137" t="n">
        <x:f>Rates_Raw!A137</x:f>
        <x:v>26325</x:v>
      </x:c>
      <x:c r="B137" t="str">
        <x:f>Rates_Raw!AF137</x:f>
        <x:v>1064|SFMTA|2024-01-06</x:v>
      </x:c>
      <x:c r="C137" t="str">
        <x:f>Rates_Raw!D137</x:f>
        <x:v>1064</x:v>
      </x:c>
      <x:c r="D137" t="str">
        <x:f>Rates_Raw!C137</x:f>
        <x:v>2024/01/06</x:v>
      </x:c>
      <x:c r="E137" t="str">
        <x:f>Rates_Raw!F137</x:f>
        <x:v>021</x:v>
      </x:c>
      <x:c r="F137" t="n">
        <x:f>COUNTIF(Rates_Raw!$AF$5:$AF$464,B137)</x:f>
        <x:v>1</x:v>
      </x:c>
      <x:c r="G137" t="str">
        <x:f>IF(F137=1,"UNIQUE",IF(COUNTIFS(Rates_Raw!$AF$5:$AF$464,B137,Rates_Raw!$H$5:$H$464,Rates_Raw!H137,Rates_Raw!$L$5:$L$464,Rates_Raw!L137)=F137,"REPEATED SOURCE ROW","CONFLICTING KEY"))</x:f>
        <x:v>UNIQUE</x:v>
      </x:c>
      <x:c r="H137" t="str">
        <x:f>IF(F137&gt;1,"REVIEW","OK")</x:f>
        <x:v>OK</x:v>
      </x:c>
      <x:c r="I137" t="str">
        <x:f>Rates_Raw!H137</x:f>
        <x:v>1064Y</x:v>
      </x:c>
      <x:c r="J137" t="str">
        <x:f>Rates_Raw!L137</x:f>
        <x:v>$65.5875</x:v>
      </x:c>
    </x:row>
    <x:row r="138">
      <x:c r="A138" t="n">
        <x:f>Rates_Raw!A138</x:f>
        <x:v>28066</x:v>
      </x:c>
      <x:c r="B138" t="str">
        <x:f>Rates_Raw!AF138</x:f>
        <x:v>1064|COMMN|2024-07-01</x:v>
      </x:c>
      <x:c r="C138" t="str">
        <x:f>Rates_Raw!D138</x:f>
        <x:v>1064</x:v>
      </x:c>
      <x:c r="D138" t="str">
        <x:f>Rates_Raw!C138</x:f>
        <x:v>2024/07/01</x:v>
      </x:c>
      <x:c r="E138" t="str">
        <x:f>Rates_Raw!F138</x:f>
        <x:v>021</x:v>
      </x:c>
      <x:c r="F138" t="n">
        <x:f>COUNTIF(Rates_Raw!$AF$5:$AF$464,B138)</x:f>
        <x:v>1</x:v>
      </x:c>
      <x:c r="G138" t="str">
        <x:f>IF(F138=1,"UNIQUE",IF(COUNTIFS(Rates_Raw!$AF$5:$AF$464,B138,Rates_Raw!$H$5:$H$464,Rates_Raw!H138,Rates_Raw!$L$5:$L$464,Rates_Raw!L138)=F138,"REPEATED SOURCE ROW","CONFLICTING KEY"))</x:f>
        <x:v>UNIQUE</x:v>
      </x:c>
      <x:c r="H138" t="str">
        <x:f>IF(F138&gt;1,"REVIEW","OK")</x:f>
        <x:v>OK</x:v>
      </x:c>
      <x:c r="I138" t="str">
        <x:f>Rates_Raw!H138</x:f>
        <x:v>1064Z</x:v>
      </x:c>
      <x:c r="J138" t="str">
        <x:f>Rates_Raw!L138</x:f>
        <x:v>$66.5750</x:v>
      </x:c>
    </x:row>
    <x:row r="139">
      <x:c r="A139" t="n">
        <x:f>Rates_Raw!A139</x:f>
        <x:v>28067</x:v>
      </x:c>
      <x:c r="B139" t="str">
        <x:f>Rates_Raw!AF139</x:f>
        <x:v>1064|SFMTA|2024-07-01</x:v>
      </x:c>
      <x:c r="C139" t="str">
        <x:f>Rates_Raw!D139</x:f>
        <x:v>1064</x:v>
      </x:c>
      <x:c r="D139" t="str">
        <x:f>Rates_Raw!C139</x:f>
        <x:v>2024/07/01</x:v>
      </x:c>
      <x:c r="E139" t="str">
        <x:f>Rates_Raw!F139</x:f>
        <x:v>021</x:v>
      </x:c>
      <x:c r="F139" t="n">
        <x:f>COUNTIF(Rates_Raw!$AF$5:$AF$464,B139)</x:f>
        <x:v>1</x:v>
      </x:c>
      <x:c r="G139" t="str">
        <x:f>IF(F139=1,"UNIQUE",IF(COUNTIFS(Rates_Raw!$AF$5:$AF$464,B139,Rates_Raw!$H$5:$H$464,Rates_Raw!H139,Rates_Raw!$L$5:$L$464,Rates_Raw!L139)=F139,"REPEATED SOURCE ROW","CONFLICTING KEY"))</x:f>
        <x:v>UNIQUE</x:v>
      </x:c>
      <x:c r="H139" t="str">
        <x:f>IF(F139&gt;1,"REVIEW","OK")</x:f>
        <x:v>OK</x:v>
      </x:c>
      <x:c r="I139" t="str">
        <x:f>Rates_Raw!H139</x:f>
        <x:v>1064Z</x:v>
      </x:c>
      <x:c r="J139" t="str">
        <x:f>Rates_Raw!L139</x:f>
        <x:v>$66.5750</x:v>
      </x:c>
    </x:row>
    <x:row r="140">
      <x:c r="A140" t="n">
        <x:f>Rates_Raw!A140</x:f>
        <x:v>29772</x:v>
      </x:c>
      <x:c r="B140" t="str">
        <x:f>Rates_Raw!AF140</x:f>
        <x:v>1064|COMMN|2025-01-04</x:v>
      </x:c>
      <x:c r="C140" t="str">
        <x:f>Rates_Raw!D140</x:f>
        <x:v>1064</x:v>
      </x:c>
      <x:c r="D140" t="str">
        <x:f>Rates_Raw!C140</x:f>
        <x:v>2025/01/04</x:v>
      </x:c>
      <x:c r="E140" t="str">
        <x:f>Rates_Raw!F140</x:f>
        <x:v>021</x:v>
      </x:c>
      <x:c r="F140" t="n">
        <x:f>COUNTIF(Rates_Raw!$AF$5:$AF$464,B140)</x:f>
        <x:v>1</x:v>
      </x:c>
      <x:c r="G140" t="str">
        <x:f>IF(F140=1,"UNIQUE",IF(COUNTIFS(Rates_Raw!$AF$5:$AF$464,B140,Rates_Raw!$H$5:$H$464,Rates_Raw!H140,Rates_Raw!$L$5:$L$464,Rates_Raw!L140)=F140,"REPEATED SOURCE ROW","CONFLICTING KEY"))</x:f>
        <x:v>UNIQUE</x:v>
      </x:c>
      <x:c r="H140" t="str">
        <x:f>IF(F140&gt;1,"REVIEW","OK")</x:f>
        <x:v>OK</x:v>
      </x:c>
      <x:c r="I140" t="str">
        <x:f>Rates_Raw!H140</x:f>
        <x:v>1064A</x:v>
      </x:c>
      <x:c r="J140" t="str">
        <x:f>Rates_Raw!L140</x:f>
        <x:v>$67.5750</x:v>
      </x:c>
    </x:row>
    <x:row r="141">
      <x:c r="A141" t="n">
        <x:f>Rates_Raw!A141</x:f>
        <x:v>29773</x:v>
      </x:c>
      <x:c r="B141" t="str">
        <x:f>Rates_Raw!AF141</x:f>
        <x:v>1064|SFMTA|2025-01-04</x:v>
      </x:c>
      <x:c r="C141" t="str">
        <x:f>Rates_Raw!D141</x:f>
        <x:v>1064</x:v>
      </x:c>
      <x:c r="D141" t="str">
        <x:f>Rates_Raw!C141</x:f>
        <x:v>2025/01/04</x:v>
      </x:c>
      <x:c r="E141" t="str">
        <x:f>Rates_Raw!F141</x:f>
        <x:v>021</x:v>
      </x:c>
      <x:c r="F141" t="n">
        <x:f>COUNTIF(Rates_Raw!$AF$5:$AF$464,B141)</x:f>
        <x:v>1</x:v>
      </x:c>
      <x:c r="G141" t="str">
        <x:f>IF(F141=1,"UNIQUE",IF(COUNTIFS(Rates_Raw!$AF$5:$AF$464,B141,Rates_Raw!$H$5:$H$464,Rates_Raw!H141,Rates_Raw!$L$5:$L$464,Rates_Raw!L141)=F141,"REPEATED SOURCE ROW","CONFLICTING KEY"))</x:f>
        <x:v>UNIQUE</x:v>
      </x:c>
      <x:c r="H141" t="str">
        <x:f>IF(F141&gt;1,"REVIEW","OK")</x:f>
        <x:v>OK</x:v>
      </x:c>
      <x:c r="I141" t="str">
        <x:f>Rates_Raw!H141</x:f>
        <x:v>1064A</x:v>
      </x:c>
      <x:c r="J141" t="str">
        <x:f>Rates_Raw!L141</x:f>
        <x:v>$67.5750</x:v>
      </x:c>
    </x:row>
    <x:row r="142">
      <x:c r="A142" t="n">
        <x:f>Rates_Raw!A142</x:f>
        <x:v>31485</x:v>
      </x:c>
      <x:c r="B142" t="str">
        <x:f>Rates_Raw!AF142</x:f>
        <x:v>1064|COMMN|2025-07-01</x:v>
      </x:c>
      <x:c r="C142" t="str">
        <x:f>Rates_Raw!D142</x:f>
        <x:v>1064</x:v>
      </x:c>
      <x:c r="D142" t="str">
        <x:f>Rates_Raw!C142</x:f>
        <x:v>2025/07/01</x:v>
      </x:c>
      <x:c r="E142" t="str">
        <x:f>Rates_Raw!F142</x:f>
        <x:v>021</x:v>
      </x:c>
      <x:c r="F142" t="n">
        <x:f>COUNTIF(Rates_Raw!$AF$5:$AF$464,B142)</x:f>
        <x:v>1</x:v>
      </x:c>
      <x:c r="G142" t="str">
        <x:f>IF(F142=1,"UNIQUE",IF(COUNTIFS(Rates_Raw!$AF$5:$AF$464,B142,Rates_Raw!$H$5:$H$464,Rates_Raw!H142,Rates_Raw!$L$5:$L$464,Rates_Raw!L142)=F142,"REPEATED SOURCE ROW","CONFLICTING KEY"))</x:f>
        <x:v>UNIQUE</x:v>
      </x:c>
      <x:c r="H142" t="str">
        <x:f>IF(F142&gt;1,"REVIEW","OK")</x:f>
        <x:v>OK</x:v>
      </x:c>
      <x:c r="I142" t="str">
        <x:f>Rates_Raw!H142</x:f>
        <x:v>1064B</x:v>
      </x:c>
      <x:c r="J142" t="str">
        <x:f>Rates_Raw!L142</x:f>
        <x:v>$68.9375</x:v>
      </x:c>
    </x:row>
    <x:row r="143">
      <x:c r="A143" t="n">
        <x:f>Rates_Raw!A143</x:f>
        <x:v>31486</x:v>
      </x:c>
      <x:c r="B143" t="str">
        <x:f>Rates_Raw!AF143</x:f>
        <x:v>1064|SFMTA|2025-07-01</x:v>
      </x:c>
      <x:c r="C143" t="str">
        <x:f>Rates_Raw!D143</x:f>
        <x:v>1064</x:v>
      </x:c>
      <x:c r="D143" t="str">
        <x:f>Rates_Raw!C143</x:f>
        <x:v>2025/07/01</x:v>
      </x:c>
      <x:c r="E143" t="str">
        <x:f>Rates_Raw!F143</x:f>
        <x:v>021</x:v>
      </x:c>
      <x:c r="F143" t="n">
        <x:f>COUNTIF(Rates_Raw!$AF$5:$AF$464,B143)</x:f>
        <x:v>1</x:v>
      </x:c>
      <x:c r="G143" t="str">
        <x:f>IF(F143=1,"UNIQUE",IF(COUNTIFS(Rates_Raw!$AF$5:$AF$464,B143,Rates_Raw!$H$5:$H$464,Rates_Raw!H143,Rates_Raw!$L$5:$L$464,Rates_Raw!L143)=F143,"REPEATED SOURCE ROW","CONFLICTING KEY"))</x:f>
        <x:v>UNIQUE</x:v>
      </x:c>
      <x:c r="H143" t="str">
        <x:f>IF(F143&gt;1,"REVIEW","OK")</x:f>
        <x:v>OK</x:v>
      </x:c>
      <x:c r="I143" t="str">
        <x:f>Rates_Raw!H143</x:f>
        <x:v>1064B</x:v>
      </x:c>
      <x:c r="J143" t="str">
        <x:f>Rates_Raw!L143</x:f>
        <x:v>$68.9375</x:v>
      </x:c>
    </x:row>
    <x:row r="144">
      <x:c r="A144" t="n">
        <x:f>Rates_Raw!A144</x:f>
        <x:v>33171</x:v>
      </x:c>
      <x:c r="B144" t="str">
        <x:f>Rates_Raw!AF144</x:f>
        <x:v>1064|COMMN|2026-01-03</x:v>
      </x:c>
      <x:c r="C144" t="str">
        <x:f>Rates_Raw!D144</x:f>
        <x:v>1064</x:v>
      </x:c>
      <x:c r="D144" t="str">
        <x:f>Rates_Raw!C144</x:f>
        <x:v>2026/01/03</x:v>
      </x:c>
      <x:c r="E144" t="str">
        <x:f>Rates_Raw!F144</x:f>
        <x:v>021</x:v>
      </x:c>
      <x:c r="F144" t="n">
        <x:f>COUNTIF(Rates_Raw!$AF$5:$AF$464,B144)</x:f>
        <x:v>1</x:v>
      </x:c>
      <x:c r="G144" t="str">
        <x:f>IF(F144=1,"UNIQUE",IF(COUNTIFS(Rates_Raw!$AF$5:$AF$464,B144,Rates_Raw!$H$5:$H$464,Rates_Raw!H144,Rates_Raw!$L$5:$L$464,Rates_Raw!L144)=F144,"REPEATED SOURCE ROW","CONFLICTING KEY"))</x:f>
        <x:v>UNIQUE</x:v>
      </x:c>
      <x:c r="H144" t="str">
        <x:f>IF(F144&gt;1,"REVIEW","OK")</x:f>
        <x:v>OK</x:v>
      </x:c>
      <x:c r="I144" t="str">
        <x:f>Rates_Raw!H144</x:f>
        <x:v>1064C</x:v>
      </x:c>
      <x:c r="J144" t="str">
        <x:f>Rates_Raw!L144</x:f>
        <x:v>$69.9750</x:v>
      </x:c>
    </x:row>
    <x:row r="145">
      <x:c r="A145" t="n">
        <x:f>Rates_Raw!A145</x:f>
        <x:v>33172</x:v>
      </x:c>
      <x:c r="B145" t="str">
        <x:f>Rates_Raw!AF145</x:f>
        <x:v>1064|SFMTA|2026-01-03</x:v>
      </x:c>
      <x:c r="C145" t="str">
        <x:f>Rates_Raw!D145</x:f>
        <x:v>1064</x:v>
      </x:c>
      <x:c r="D145" t="str">
        <x:f>Rates_Raw!C145</x:f>
        <x:v>2026/01/03</x:v>
      </x:c>
      <x:c r="E145" t="str">
        <x:f>Rates_Raw!F145</x:f>
        <x:v>021</x:v>
      </x:c>
      <x:c r="F145" t="n">
        <x:f>COUNTIF(Rates_Raw!$AF$5:$AF$464,B145)</x:f>
        <x:v>1</x:v>
      </x:c>
      <x:c r="G145" t="str">
        <x:f>IF(F145=1,"UNIQUE",IF(COUNTIFS(Rates_Raw!$AF$5:$AF$464,B145,Rates_Raw!$H$5:$H$464,Rates_Raw!H145,Rates_Raw!$L$5:$L$464,Rates_Raw!L145)=F145,"REPEATED SOURCE ROW","CONFLICTING KEY"))</x:f>
        <x:v>UNIQUE</x:v>
      </x:c>
      <x:c r="H145" t="str">
        <x:f>IF(F145&gt;1,"REVIEW","OK")</x:f>
        <x:v>OK</x:v>
      </x:c>
      <x:c r="I145" t="str">
        <x:f>Rates_Raw!H145</x:f>
        <x:v>1064C</x:v>
      </x:c>
      <x:c r="J145" t="str">
        <x:f>Rates_Raw!L145</x:f>
        <x:v>$69.9750</x:v>
      </x:c>
    </x:row>
    <x:row r="146">
      <x:c r="A146" t="n">
        <x:f>Rates_Raw!A146</x:f>
        <x:v>24588</x:v>
      </x:c>
      <x:c r="B146" t="str">
        <x:f>Rates_Raw!AF146</x:f>
        <x:v>1090|COMMN|2023-07-01</x:v>
      </x:c>
      <x:c r="C146" t="str">
        <x:f>Rates_Raw!D146</x:f>
        <x:v>1090</x:v>
      </x:c>
      <x:c r="D146" t="str">
        <x:f>Rates_Raw!C146</x:f>
        <x:v>2023/07/01</x:v>
      </x:c>
      <x:c r="E146" t="str">
        <x:f>Rates_Raw!F146</x:f>
        <x:v>021</x:v>
      </x:c>
      <x:c r="F146" t="n">
        <x:f>COUNTIF(Rates_Raw!$AF$5:$AF$464,B146)</x:f>
        <x:v>1</x:v>
      </x:c>
      <x:c r="G146" t="str">
        <x:f>IF(F146=1,"UNIQUE",IF(COUNTIFS(Rates_Raw!$AF$5:$AF$464,B146,Rates_Raw!$H$5:$H$464,Rates_Raw!H146,Rates_Raw!$L$5:$L$464,Rates_Raw!L146)=F146,"REPEATED SOURCE ROW","CONFLICTING KEY"))</x:f>
        <x:v>UNIQUE</x:v>
      </x:c>
      <x:c r="H146" t="str">
        <x:f>IF(F146&gt;1,"REVIEW","OK")</x:f>
        <x:v>OK</x:v>
      </x:c>
      <x:c r="I146" t="str">
        <x:f>Rates_Raw!H146</x:f>
        <x:v>1090X</x:v>
      </x:c>
      <x:c r="J146" t="str">
        <x:f>Rates_Raw!L146</x:f>
        <x:v>$29.5500</x:v>
      </x:c>
    </x:row>
    <x:row r="147">
      <x:c r="A147" t="n">
        <x:f>Rates_Raw!A147</x:f>
        <x:v>26330</x:v>
      </x:c>
      <x:c r="B147" t="str">
        <x:f>Rates_Raw!AF147</x:f>
        <x:v>1090|COMMN|2024-01-06</x:v>
      </x:c>
      <x:c r="C147" t="str">
        <x:f>Rates_Raw!D147</x:f>
        <x:v>1090</x:v>
      </x:c>
      <x:c r="D147" t="str">
        <x:f>Rates_Raw!C147</x:f>
        <x:v>2024/01/06</x:v>
      </x:c>
      <x:c r="E147" t="str">
        <x:f>Rates_Raw!F147</x:f>
        <x:v>021</x:v>
      </x:c>
      <x:c r="F147" t="n">
        <x:f>COUNTIF(Rates_Raw!$AF$5:$AF$464,B147)</x:f>
        <x:v>1</x:v>
      </x:c>
      <x:c r="G147" t="str">
        <x:f>IF(F147=1,"UNIQUE",IF(COUNTIFS(Rates_Raw!$AF$5:$AF$464,B147,Rates_Raw!$H$5:$H$464,Rates_Raw!H147,Rates_Raw!$L$5:$L$464,Rates_Raw!L147)=F147,"REPEATED SOURCE ROW","CONFLICTING KEY"))</x:f>
        <x:v>UNIQUE</x:v>
      </x:c>
      <x:c r="H147" t="str">
        <x:f>IF(F147&gt;1,"REVIEW","OK")</x:f>
        <x:v>OK</x:v>
      </x:c>
      <x:c r="I147" t="str">
        <x:f>Rates_Raw!H147</x:f>
        <x:v>1090Y</x:v>
      </x:c>
      <x:c r="J147" t="str">
        <x:f>Rates_Raw!L147</x:f>
        <x:v>$30.2125</x:v>
      </x:c>
    </x:row>
    <x:row r="148">
      <x:c r="A148" t="n">
        <x:f>Rates_Raw!A148</x:f>
        <x:v>26331</x:v>
      </x:c>
      <x:c r="B148" t="str">
        <x:f>Rates_Raw!AF148</x:f>
        <x:v>1090|SFMTA|2024-01-06</x:v>
      </x:c>
      <x:c r="C148" t="str">
        <x:f>Rates_Raw!D148</x:f>
        <x:v>1090</x:v>
      </x:c>
      <x:c r="D148" t="str">
        <x:f>Rates_Raw!C148</x:f>
        <x:v>2024/01/06</x:v>
      </x:c>
      <x:c r="E148" t="str">
        <x:f>Rates_Raw!F148</x:f>
        <x:v>021</x:v>
      </x:c>
      <x:c r="F148" t="n">
        <x:f>COUNTIF(Rates_Raw!$AF$5:$AF$464,B148)</x:f>
        <x:v>1</x:v>
      </x:c>
      <x:c r="G148" t="str">
        <x:f>IF(F148=1,"UNIQUE",IF(COUNTIFS(Rates_Raw!$AF$5:$AF$464,B148,Rates_Raw!$H$5:$H$464,Rates_Raw!H148,Rates_Raw!$L$5:$L$464,Rates_Raw!L148)=F148,"REPEATED SOURCE ROW","CONFLICTING KEY"))</x:f>
        <x:v>UNIQUE</x:v>
      </x:c>
      <x:c r="H148" t="str">
        <x:f>IF(F148&gt;1,"REVIEW","OK")</x:f>
        <x:v>OK</x:v>
      </x:c>
      <x:c r="I148" t="str">
        <x:f>Rates_Raw!H148</x:f>
        <x:v>1090Y</x:v>
      </x:c>
      <x:c r="J148" t="str">
        <x:f>Rates_Raw!L148</x:f>
        <x:v>$30.2125</x:v>
      </x:c>
    </x:row>
    <x:row r="149">
      <x:c r="A149" t="n">
        <x:f>Rates_Raw!A149</x:f>
        <x:v>28072</x:v>
      </x:c>
      <x:c r="B149" t="str">
        <x:f>Rates_Raw!AF149</x:f>
        <x:v>1090|COMMN|2024-07-01</x:v>
      </x:c>
      <x:c r="C149" t="str">
        <x:f>Rates_Raw!D149</x:f>
        <x:v>1090</x:v>
      </x:c>
      <x:c r="D149" t="str">
        <x:f>Rates_Raw!C149</x:f>
        <x:v>2024/07/01</x:v>
      </x:c>
      <x:c r="E149" t="str">
        <x:f>Rates_Raw!F149</x:f>
        <x:v>021</x:v>
      </x:c>
      <x:c r="F149" t="n">
        <x:f>COUNTIF(Rates_Raw!$AF$5:$AF$464,B149)</x:f>
        <x:v>1</x:v>
      </x:c>
      <x:c r="G149" t="str">
        <x:f>IF(F149=1,"UNIQUE",IF(COUNTIFS(Rates_Raw!$AF$5:$AF$464,B149,Rates_Raw!$H$5:$H$464,Rates_Raw!H149,Rates_Raw!$L$5:$L$464,Rates_Raw!L149)=F149,"REPEATED SOURCE ROW","CONFLICTING KEY"))</x:f>
        <x:v>UNIQUE</x:v>
      </x:c>
      <x:c r="H149" t="str">
        <x:f>IF(F149&gt;1,"REVIEW","OK")</x:f>
        <x:v>OK</x:v>
      </x:c>
      <x:c r="I149" t="str">
        <x:f>Rates_Raw!H149</x:f>
        <x:v>1090Z</x:v>
      </x:c>
      <x:c r="J149" t="str">
        <x:f>Rates_Raw!L149</x:f>
        <x:v>$30.6625</x:v>
      </x:c>
    </x:row>
    <x:row r="150">
      <x:c r="A150" t="n">
        <x:f>Rates_Raw!A150</x:f>
        <x:v>28073</x:v>
      </x:c>
      <x:c r="B150" t="str">
        <x:f>Rates_Raw!AF150</x:f>
        <x:v>1090|SFMTA|2024-07-01</x:v>
      </x:c>
      <x:c r="C150" t="str">
        <x:f>Rates_Raw!D150</x:f>
        <x:v>1090</x:v>
      </x:c>
      <x:c r="D150" t="str">
        <x:f>Rates_Raw!C150</x:f>
        <x:v>2024/07/01</x:v>
      </x:c>
      <x:c r="E150" t="str">
        <x:f>Rates_Raw!F150</x:f>
        <x:v>021</x:v>
      </x:c>
      <x:c r="F150" t="n">
        <x:f>COUNTIF(Rates_Raw!$AF$5:$AF$464,B150)</x:f>
        <x:v>1</x:v>
      </x:c>
      <x:c r="G150" t="str">
        <x:f>IF(F150=1,"UNIQUE",IF(COUNTIFS(Rates_Raw!$AF$5:$AF$464,B150,Rates_Raw!$H$5:$H$464,Rates_Raw!H150,Rates_Raw!$L$5:$L$464,Rates_Raw!L150)=F150,"REPEATED SOURCE ROW","CONFLICTING KEY"))</x:f>
        <x:v>UNIQUE</x:v>
      </x:c>
      <x:c r="H150" t="str">
        <x:f>IF(F150&gt;1,"REVIEW","OK")</x:f>
        <x:v>OK</x:v>
      </x:c>
      <x:c r="I150" t="str">
        <x:f>Rates_Raw!H150</x:f>
        <x:v>1090Z</x:v>
      </x:c>
      <x:c r="J150" t="str">
        <x:f>Rates_Raw!L150</x:f>
        <x:v>$30.6625</x:v>
      </x:c>
    </x:row>
    <x:row r="151">
      <x:c r="A151" t="n">
        <x:f>Rates_Raw!A151</x:f>
        <x:v>29778</x:v>
      </x:c>
      <x:c r="B151" t="str">
        <x:f>Rates_Raw!AF151</x:f>
        <x:v>1090|COMMN|2025-01-04</x:v>
      </x:c>
      <x:c r="C151" t="str">
        <x:f>Rates_Raw!D151</x:f>
        <x:v>1090</x:v>
      </x:c>
      <x:c r="D151" t="str">
        <x:f>Rates_Raw!C151</x:f>
        <x:v>2025/01/04</x:v>
      </x:c>
      <x:c r="E151" t="str">
        <x:f>Rates_Raw!F151</x:f>
        <x:v>021</x:v>
      </x:c>
      <x:c r="F151" t="n">
        <x:f>COUNTIF(Rates_Raw!$AF$5:$AF$464,B151)</x:f>
        <x:v>1</x:v>
      </x:c>
      <x:c r="G151" t="str">
        <x:f>IF(F151=1,"UNIQUE",IF(COUNTIFS(Rates_Raw!$AF$5:$AF$464,B151,Rates_Raw!$H$5:$H$464,Rates_Raw!H151,Rates_Raw!$L$5:$L$464,Rates_Raw!L151)=F151,"REPEATED SOURCE ROW","CONFLICTING KEY"))</x:f>
        <x:v>UNIQUE</x:v>
      </x:c>
      <x:c r="H151" t="str">
        <x:f>IF(F151&gt;1,"REVIEW","OK")</x:f>
        <x:v>OK</x:v>
      </x:c>
      <x:c r="I151" t="str">
        <x:f>Rates_Raw!H151</x:f>
        <x:v>1090A</x:v>
      </x:c>
      <x:c r="J151" t="str">
        <x:f>Rates_Raw!L151</x:f>
        <x:v>$31.1250</x:v>
      </x:c>
    </x:row>
    <x:row r="152">
      <x:c r="A152" t="n">
        <x:f>Rates_Raw!A152</x:f>
        <x:v>29779</x:v>
      </x:c>
      <x:c r="B152" t="str">
        <x:f>Rates_Raw!AF152</x:f>
        <x:v>1090|SFMTA|2025-01-04</x:v>
      </x:c>
      <x:c r="C152" t="str">
        <x:f>Rates_Raw!D152</x:f>
        <x:v>1090</x:v>
      </x:c>
      <x:c r="D152" t="str">
        <x:f>Rates_Raw!C152</x:f>
        <x:v>2025/01/04</x:v>
      </x:c>
      <x:c r="E152" t="str">
        <x:f>Rates_Raw!F152</x:f>
        <x:v>021</x:v>
      </x:c>
      <x:c r="F152" t="n">
        <x:f>COUNTIF(Rates_Raw!$AF$5:$AF$464,B152)</x:f>
        <x:v>1</x:v>
      </x:c>
      <x:c r="G152" t="str">
        <x:f>IF(F152=1,"UNIQUE",IF(COUNTIFS(Rates_Raw!$AF$5:$AF$464,B152,Rates_Raw!$H$5:$H$464,Rates_Raw!H152,Rates_Raw!$L$5:$L$464,Rates_Raw!L152)=F152,"REPEATED SOURCE ROW","CONFLICTING KEY"))</x:f>
        <x:v>UNIQUE</x:v>
      </x:c>
      <x:c r="H152" t="str">
        <x:f>IF(F152&gt;1,"REVIEW","OK")</x:f>
        <x:v>OK</x:v>
      </x:c>
      <x:c r="I152" t="str">
        <x:f>Rates_Raw!H152</x:f>
        <x:v>1090A</x:v>
      </x:c>
      <x:c r="J152" t="str">
        <x:f>Rates_Raw!L152</x:f>
        <x:v>$31.1250</x:v>
      </x:c>
    </x:row>
    <x:row r="153">
      <x:c r="A153" t="n">
        <x:f>Rates_Raw!A153</x:f>
        <x:v>31491</x:v>
      </x:c>
      <x:c r="B153" t="str">
        <x:f>Rates_Raw!AF153</x:f>
        <x:v>1090|COMMN|2025-07-01</x:v>
      </x:c>
      <x:c r="C153" t="str">
        <x:f>Rates_Raw!D153</x:f>
        <x:v>1090</x:v>
      </x:c>
      <x:c r="D153" t="str">
        <x:f>Rates_Raw!C153</x:f>
        <x:v>2025/07/01</x:v>
      </x:c>
      <x:c r="E153" t="str">
        <x:f>Rates_Raw!F153</x:f>
        <x:v>021</x:v>
      </x:c>
      <x:c r="F153" t="n">
        <x:f>COUNTIF(Rates_Raw!$AF$5:$AF$464,B153)</x:f>
        <x:v>1</x:v>
      </x:c>
      <x:c r="G153" t="str">
        <x:f>IF(F153=1,"UNIQUE",IF(COUNTIFS(Rates_Raw!$AF$5:$AF$464,B153,Rates_Raw!$H$5:$H$464,Rates_Raw!H153,Rates_Raw!$L$5:$L$464,Rates_Raw!L153)=F153,"REPEATED SOURCE ROW","CONFLICTING KEY"))</x:f>
        <x:v>UNIQUE</x:v>
      </x:c>
      <x:c r="H153" t="str">
        <x:f>IF(F153&gt;1,"REVIEW","OK")</x:f>
        <x:v>OK</x:v>
      </x:c>
      <x:c r="I153" t="str">
        <x:f>Rates_Raw!H153</x:f>
        <x:v>1090B</x:v>
      </x:c>
      <x:c r="J153" t="str">
        <x:f>Rates_Raw!L153</x:f>
        <x:v>$31.7500</x:v>
      </x:c>
    </x:row>
    <x:row r="154">
      <x:c r="A154" t="n">
        <x:f>Rates_Raw!A154</x:f>
        <x:v>31492</x:v>
      </x:c>
      <x:c r="B154" t="str">
        <x:f>Rates_Raw!AF154</x:f>
        <x:v>1090|SFMTA|2025-07-01</x:v>
      </x:c>
      <x:c r="C154" t="str">
        <x:f>Rates_Raw!D154</x:f>
        <x:v>1090</x:v>
      </x:c>
      <x:c r="D154" t="str">
        <x:f>Rates_Raw!C154</x:f>
        <x:v>2025/07/01</x:v>
      </x:c>
      <x:c r="E154" t="str">
        <x:f>Rates_Raw!F154</x:f>
        <x:v>021</x:v>
      </x:c>
      <x:c r="F154" t="n">
        <x:f>COUNTIF(Rates_Raw!$AF$5:$AF$464,B154)</x:f>
        <x:v>1</x:v>
      </x:c>
      <x:c r="G154" t="str">
        <x:f>IF(F154=1,"UNIQUE",IF(COUNTIFS(Rates_Raw!$AF$5:$AF$464,B154,Rates_Raw!$H$5:$H$464,Rates_Raw!H154,Rates_Raw!$L$5:$L$464,Rates_Raw!L154)=F154,"REPEATED SOURCE ROW","CONFLICTING KEY"))</x:f>
        <x:v>UNIQUE</x:v>
      </x:c>
      <x:c r="H154" t="str">
        <x:f>IF(F154&gt;1,"REVIEW","OK")</x:f>
        <x:v>OK</x:v>
      </x:c>
      <x:c r="I154" t="str">
        <x:f>Rates_Raw!H154</x:f>
        <x:v>1090B</x:v>
      </x:c>
      <x:c r="J154" t="str">
        <x:f>Rates_Raw!L154</x:f>
        <x:v>$31.7500</x:v>
      </x:c>
    </x:row>
    <x:row r="155">
      <x:c r="A155" t="n">
        <x:f>Rates_Raw!A155</x:f>
        <x:v>33177</x:v>
      </x:c>
      <x:c r="B155" t="str">
        <x:f>Rates_Raw!AF155</x:f>
        <x:v>1090|COMMN|2026-01-03</x:v>
      </x:c>
      <x:c r="C155" t="str">
        <x:f>Rates_Raw!D155</x:f>
        <x:v>1090</x:v>
      </x:c>
      <x:c r="D155" t="str">
        <x:f>Rates_Raw!C155</x:f>
        <x:v>2026/01/03</x:v>
      </x:c>
      <x:c r="E155" t="str">
        <x:f>Rates_Raw!F155</x:f>
        <x:v>021</x:v>
      </x:c>
      <x:c r="F155" t="n">
        <x:f>COUNTIF(Rates_Raw!$AF$5:$AF$464,B155)</x:f>
        <x:v>1</x:v>
      </x:c>
      <x:c r="G155" t="str">
        <x:f>IF(F155=1,"UNIQUE",IF(COUNTIFS(Rates_Raw!$AF$5:$AF$464,B155,Rates_Raw!$H$5:$H$464,Rates_Raw!H155,Rates_Raw!$L$5:$L$464,Rates_Raw!L155)=F155,"REPEATED SOURCE ROW","CONFLICTING KEY"))</x:f>
        <x:v>UNIQUE</x:v>
      </x:c>
      <x:c r="H155" t="str">
        <x:f>IF(F155&gt;1,"REVIEW","OK")</x:f>
        <x:v>OK</x:v>
      </x:c>
      <x:c r="I155" t="str">
        <x:f>Rates_Raw!H155</x:f>
        <x:v>1090C</x:v>
      </x:c>
      <x:c r="J155" t="str">
        <x:f>Rates_Raw!L155</x:f>
        <x:v>$32.2250</x:v>
      </x:c>
    </x:row>
    <x:row r="156">
      <x:c r="A156" t="n">
        <x:f>Rates_Raw!A156</x:f>
        <x:v>33178</x:v>
      </x:c>
      <x:c r="B156" t="str">
        <x:f>Rates_Raw!AF156</x:f>
        <x:v>1090|SFMTA|2026-01-03</x:v>
      </x:c>
      <x:c r="C156" t="str">
        <x:f>Rates_Raw!D156</x:f>
        <x:v>1090</x:v>
      </x:c>
      <x:c r="D156" t="str">
        <x:f>Rates_Raw!C156</x:f>
        <x:v>2026/01/03</x:v>
      </x:c>
      <x:c r="E156" t="str">
        <x:f>Rates_Raw!F156</x:f>
        <x:v>021</x:v>
      </x:c>
      <x:c r="F156" t="n">
        <x:f>COUNTIF(Rates_Raw!$AF$5:$AF$464,B156)</x:f>
        <x:v>1</x:v>
      </x:c>
      <x:c r="G156" t="str">
        <x:f>IF(F156=1,"UNIQUE",IF(COUNTIFS(Rates_Raw!$AF$5:$AF$464,B156,Rates_Raw!$H$5:$H$464,Rates_Raw!H156,Rates_Raw!$L$5:$L$464,Rates_Raw!L156)=F156,"REPEATED SOURCE ROW","CONFLICTING KEY"))</x:f>
        <x:v>UNIQUE</x:v>
      </x:c>
      <x:c r="H156" t="str">
        <x:f>IF(F156&gt;1,"REVIEW","OK")</x:f>
        <x:v>OK</x:v>
      </x:c>
      <x:c r="I156" t="str">
        <x:f>Rates_Raw!H156</x:f>
        <x:v>1090C</x:v>
      </x:c>
      <x:c r="J156" t="str">
        <x:f>Rates_Raw!L156</x:f>
        <x:v>$32.2250</x:v>
      </x:c>
    </x:row>
    <x:row r="157">
      <x:c r="A157" t="n">
        <x:f>Rates_Raw!A157</x:f>
        <x:v>15982</x:v>
      </x:c>
      <x:c r="B157" t="str">
        <x:f>Rates_Raw!AF157</x:f>
        <x:v>1091|COMMN|2020-07-01</x:v>
      </x:c>
      <x:c r="C157" t="str">
        <x:f>Rates_Raw!D157</x:f>
        <x:v>1091</x:v>
      </x:c>
      <x:c r="D157" t="str">
        <x:f>Rates_Raw!C157</x:f>
        <x:v>2020/07/01</x:v>
      </x:c>
      <x:c r="E157" t="str">
        <x:f>Rates_Raw!F157</x:f>
        <x:v>021</x:v>
      </x:c>
      <x:c r="F157" t="n">
        <x:f>COUNTIF(Rates_Raw!$AF$5:$AF$464,B157)</x:f>
        <x:v>1</x:v>
      </x:c>
      <x:c r="G157" t="str">
        <x:f>IF(F157=1,"UNIQUE",IF(COUNTIFS(Rates_Raw!$AF$5:$AF$464,B157,Rates_Raw!$H$5:$H$464,Rates_Raw!H157,Rates_Raw!$L$5:$L$464,Rates_Raw!L157)=F157,"REPEATED SOURCE ROW","CONFLICTING KEY"))</x:f>
        <x:v>UNIQUE</x:v>
      </x:c>
      <x:c r="H157" t="str">
        <x:f>IF(F157&gt;1,"REVIEW","OK")</x:f>
        <x:v>OK</x:v>
      </x:c>
      <x:c r="I157" t="str">
        <x:f>Rates_Raw!H157</x:f>
        <x:v>1091S</x:v>
      </x:c>
      <x:c r="J157" t="str">
        <x:f>Rates_Raw!L157</x:f>
        <x:v>$28.4125</x:v>
      </x:c>
    </x:row>
    <x:row r="158">
      <x:c r="A158" t="n">
        <x:f>Rates_Raw!A158</x:f>
        <x:v>26332</x:v>
      </x:c>
      <x:c r="B158" t="str">
        <x:f>Rates_Raw!AF158</x:f>
        <x:v>1091|COMMN|2024-01-06</x:v>
      </x:c>
      <x:c r="C158" t="str">
        <x:f>Rates_Raw!D158</x:f>
        <x:v>1091</x:v>
      </x:c>
      <x:c r="D158" t="str">
        <x:f>Rates_Raw!C158</x:f>
        <x:v>2024/01/06</x:v>
      </x:c>
      <x:c r="E158" t="str">
        <x:f>Rates_Raw!F158</x:f>
        <x:v>021</x:v>
      </x:c>
      <x:c r="F158" t="n">
        <x:f>COUNTIF(Rates_Raw!$AF$5:$AF$464,B158)</x:f>
        <x:v>1</x:v>
      </x:c>
      <x:c r="G158" t="str">
        <x:f>IF(F158=1,"UNIQUE",IF(COUNTIFS(Rates_Raw!$AF$5:$AF$464,B158,Rates_Raw!$H$5:$H$464,Rates_Raw!H158,Rates_Raw!$L$5:$L$464,Rates_Raw!L158)=F158,"REPEATED SOURCE ROW","CONFLICTING KEY"))</x:f>
        <x:v>UNIQUE</x:v>
      </x:c>
      <x:c r="H158" t="str">
        <x:f>IF(F158&gt;1,"REVIEW","OK")</x:f>
        <x:v>OK</x:v>
      </x:c>
      <x:c r="I158" t="str">
        <x:f>Rates_Raw!H158</x:f>
        <x:v>1091Y</x:v>
      </x:c>
      <x:c r="J158" t="str">
        <x:f>Rates_Raw!L158</x:f>
        <x:v>$33.5750</x:v>
      </x:c>
    </x:row>
    <x:row r="159">
      <x:c r="A159" t="n">
        <x:f>Rates_Raw!A159</x:f>
        <x:v>26333</x:v>
      </x:c>
      <x:c r="B159" t="str">
        <x:f>Rates_Raw!AF159</x:f>
        <x:v>1091|SFMTA|2024-01-06</x:v>
      </x:c>
      <x:c r="C159" t="str">
        <x:f>Rates_Raw!D159</x:f>
        <x:v>1091</x:v>
      </x:c>
      <x:c r="D159" t="str">
        <x:f>Rates_Raw!C159</x:f>
        <x:v>2024/01/06</x:v>
      </x:c>
      <x:c r="E159" t="str">
        <x:f>Rates_Raw!F159</x:f>
        <x:v>021</x:v>
      </x:c>
      <x:c r="F159" t="n">
        <x:f>COUNTIF(Rates_Raw!$AF$5:$AF$464,B159)</x:f>
        <x:v>1</x:v>
      </x:c>
      <x:c r="G159" t="str">
        <x:f>IF(F159=1,"UNIQUE",IF(COUNTIFS(Rates_Raw!$AF$5:$AF$464,B159,Rates_Raw!$H$5:$H$464,Rates_Raw!H159,Rates_Raw!$L$5:$L$464,Rates_Raw!L159)=F159,"REPEATED SOURCE ROW","CONFLICTING KEY"))</x:f>
        <x:v>UNIQUE</x:v>
      </x:c>
      <x:c r="H159" t="str">
        <x:f>IF(F159&gt;1,"REVIEW","OK")</x:f>
        <x:v>OK</x:v>
      </x:c>
      <x:c r="I159" t="str">
        <x:f>Rates_Raw!H159</x:f>
        <x:v>1091Y</x:v>
      </x:c>
      <x:c r="J159" t="str">
        <x:f>Rates_Raw!L159</x:f>
        <x:v>$33.5750</x:v>
      </x:c>
    </x:row>
    <x:row r="160">
      <x:c r="A160" t="n">
        <x:f>Rates_Raw!A160</x:f>
        <x:v>28074</x:v>
      </x:c>
      <x:c r="B160" t="str">
        <x:f>Rates_Raw!AF160</x:f>
        <x:v>1091|COMMN|2024-07-01</x:v>
      </x:c>
      <x:c r="C160" t="str">
        <x:f>Rates_Raw!D160</x:f>
        <x:v>1091</x:v>
      </x:c>
      <x:c r="D160" t="str">
        <x:f>Rates_Raw!C160</x:f>
        <x:v>2024/07/01</x:v>
      </x:c>
      <x:c r="E160" t="str">
        <x:f>Rates_Raw!F160</x:f>
        <x:v>021</x:v>
      </x:c>
      <x:c r="F160" t="n">
        <x:f>COUNTIF(Rates_Raw!$AF$5:$AF$464,B160)</x:f>
        <x:v>1</x:v>
      </x:c>
      <x:c r="G160" t="str">
        <x:f>IF(F160=1,"UNIQUE",IF(COUNTIFS(Rates_Raw!$AF$5:$AF$464,B160,Rates_Raw!$H$5:$H$464,Rates_Raw!H160,Rates_Raw!$L$5:$L$464,Rates_Raw!L160)=F160,"REPEATED SOURCE ROW","CONFLICTING KEY"))</x:f>
        <x:v>UNIQUE</x:v>
      </x:c>
      <x:c r="H160" t="str">
        <x:f>IF(F160&gt;1,"REVIEW","OK")</x:f>
        <x:v>OK</x:v>
      </x:c>
      <x:c r="I160" t="str">
        <x:f>Rates_Raw!H160</x:f>
        <x:v>1091Z</x:v>
      </x:c>
      <x:c r="J160" t="str">
        <x:f>Rates_Raw!L160</x:f>
        <x:v>$34.4125</x:v>
      </x:c>
    </x:row>
    <x:row r="161">
      <x:c r="A161" t="n">
        <x:f>Rates_Raw!A161</x:f>
        <x:v>28075</x:v>
      </x:c>
      <x:c r="B161" t="str">
        <x:f>Rates_Raw!AF161</x:f>
        <x:v>1091|SFMTA|2024-07-01</x:v>
      </x:c>
      <x:c r="C161" t="str">
        <x:f>Rates_Raw!D161</x:f>
        <x:v>1091</x:v>
      </x:c>
      <x:c r="D161" t="str">
        <x:f>Rates_Raw!C161</x:f>
        <x:v>2024/07/01</x:v>
      </x:c>
      <x:c r="E161" t="str">
        <x:f>Rates_Raw!F161</x:f>
        <x:v>021</x:v>
      </x:c>
      <x:c r="F161" t="n">
        <x:f>COUNTIF(Rates_Raw!$AF$5:$AF$464,B161)</x:f>
        <x:v>1</x:v>
      </x:c>
      <x:c r="G161" t="str">
        <x:f>IF(F161=1,"UNIQUE",IF(COUNTIFS(Rates_Raw!$AF$5:$AF$464,B161,Rates_Raw!$H$5:$H$464,Rates_Raw!H161,Rates_Raw!$L$5:$L$464,Rates_Raw!L161)=F161,"REPEATED SOURCE ROW","CONFLICTING KEY"))</x:f>
        <x:v>UNIQUE</x:v>
      </x:c>
      <x:c r="H161" t="str">
        <x:f>IF(F161&gt;1,"REVIEW","OK")</x:f>
        <x:v>OK</x:v>
      </x:c>
      <x:c r="I161" t="str">
        <x:f>Rates_Raw!H161</x:f>
        <x:v>1091Z</x:v>
      </x:c>
      <x:c r="J161" t="str">
        <x:f>Rates_Raw!L161</x:f>
        <x:v>$34.4125</x:v>
      </x:c>
    </x:row>
    <x:row r="162">
      <x:c r="A162" t="n">
        <x:f>Rates_Raw!A162</x:f>
        <x:v>29780</x:v>
      </x:c>
      <x:c r="B162" t="str">
        <x:f>Rates_Raw!AF162</x:f>
        <x:v>1091|COMMN|2025-01-04</x:v>
      </x:c>
      <x:c r="C162" t="str">
        <x:f>Rates_Raw!D162</x:f>
        <x:v>1091</x:v>
      </x:c>
      <x:c r="D162" t="str">
        <x:f>Rates_Raw!C162</x:f>
        <x:v>2025/01/04</x:v>
      </x:c>
      <x:c r="E162" t="str">
        <x:f>Rates_Raw!F162</x:f>
        <x:v>021</x:v>
      </x:c>
      <x:c r="F162" t="n">
        <x:f>COUNTIF(Rates_Raw!$AF$5:$AF$464,B162)</x:f>
        <x:v>1</x:v>
      </x:c>
      <x:c r="G162" t="str">
        <x:f>IF(F162=1,"UNIQUE",IF(COUNTIFS(Rates_Raw!$AF$5:$AF$464,B162,Rates_Raw!$H$5:$H$464,Rates_Raw!H162,Rates_Raw!$L$5:$L$464,Rates_Raw!L162)=F162,"REPEATED SOURCE ROW","CONFLICTING KEY"))</x:f>
        <x:v>UNIQUE</x:v>
      </x:c>
      <x:c r="H162" t="str">
        <x:f>IF(F162&gt;1,"REVIEW","OK")</x:f>
        <x:v>OK</x:v>
      </x:c>
      <x:c r="I162" t="str">
        <x:f>Rates_Raw!H162</x:f>
        <x:v>1091A</x:v>
      </x:c>
      <x:c r="J162" t="str">
        <x:f>Rates_Raw!L162</x:f>
        <x:v>$34.9250</x:v>
      </x:c>
    </x:row>
    <x:row r="163">
      <x:c r="A163" t="n">
        <x:f>Rates_Raw!A163</x:f>
        <x:v>29781</x:v>
      </x:c>
      <x:c r="B163" t="str">
        <x:f>Rates_Raw!AF163</x:f>
        <x:v>1091|SFMTA|2025-01-04</x:v>
      </x:c>
      <x:c r="C163" t="str">
        <x:f>Rates_Raw!D163</x:f>
        <x:v>1091</x:v>
      </x:c>
      <x:c r="D163" t="str">
        <x:f>Rates_Raw!C163</x:f>
        <x:v>2025/01/04</x:v>
      </x:c>
      <x:c r="E163" t="str">
        <x:f>Rates_Raw!F163</x:f>
        <x:v>021</x:v>
      </x:c>
      <x:c r="F163" t="n">
        <x:f>COUNTIF(Rates_Raw!$AF$5:$AF$464,B163)</x:f>
        <x:v>1</x:v>
      </x:c>
      <x:c r="G163" t="str">
        <x:f>IF(F163=1,"UNIQUE",IF(COUNTIFS(Rates_Raw!$AF$5:$AF$464,B163,Rates_Raw!$H$5:$H$464,Rates_Raw!H163,Rates_Raw!$L$5:$L$464,Rates_Raw!L163)=F163,"REPEATED SOURCE ROW","CONFLICTING KEY"))</x:f>
        <x:v>UNIQUE</x:v>
      </x:c>
      <x:c r="H163" t="str">
        <x:f>IF(F163&gt;1,"REVIEW","OK")</x:f>
        <x:v>OK</x:v>
      </x:c>
      <x:c r="I163" t="str">
        <x:f>Rates_Raw!H163</x:f>
        <x:v>1091A</x:v>
      </x:c>
      <x:c r="J163" t="str">
        <x:f>Rates_Raw!L163</x:f>
        <x:v>$34.9250</x:v>
      </x:c>
    </x:row>
    <x:row r="164">
      <x:c r="A164" t="n">
        <x:f>Rates_Raw!A164</x:f>
        <x:v>31493</x:v>
      </x:c>
      <x:c r="B164" t="str">
        <x:f>Rates_Raw!AF164</x:f>
        <x:v>1091|COMMN|2025-07-01</x:v>
      </x:c>
      <x:c r="C164" t="str">
        <x:f>Rates_Raw!D164</x:f>
        <x:v>1091</x:v>
      </x:c>
      <x:c r="D164" t="str">
        <x:f>Rates_Raw!C164</x:f>
        <x:v>2025/07/01</x:v>
      </x:c>
      <x:c r="E164" t="str">
        <x:f>Rates_Raw!F164</x:f>
        <x:v>021</x:v>
      </x:c>
      <x:c r="F164" t="n">
        <x:f>COUNTIF(Rates_Raw!$AF$5:$AF$464,B164)</x:f>
        <x:v>1</x:v>
      </x:c>
      <x:c r="G164" t="str">
        <x:f>IF(F164=1,"UNIQUE",IF(COUNTIFS(Rates_Raw!$AF$5:$AF$464,B164,Rates_Raw!$H$5:$H$464,Rates_Raw!H164,Rates_Raw!$L$5:$L$464,Rates_Raw!L164)=F164,"REPEATED SOURCE ROW","CONFLICTING KEY"))</x:f>
        <x:v>UNIQUE</x:v>
      </x:c>
      <x:c r="H164" t="str">
        <x:f>IF(F164&gt;1,"REVIEW","OK")</x:f>
        <x:v>OK</x:v>
      </x:c>
      <x:c r="I164" t="str">
        <x:f>Rates_Raw!H164</x:f>
        <x:v>1091B</x:v>
      </x:c>
      <x:c r="J164" t="str">
        <x:f>Rates_Raw!L164</x:f>
        <x:v>$35.6250</x:v>
      </x:c>
    </x:row>
    <x:row r="165">
      <x:c r="A165" t="n">
        <x:f>Rates_Raw!A165</x:f>
        <x:v>31494</x:v>
      </x:c>
      <x:c r="B165" t="str">
        <x:f>Rates_Raw!AF165</x:f>
        <x:v>1091|SFMTA|2025-07-01</x:v>
      </x:c>
      <x:c r="C165" t="str">
        <x:f>Rates_Raw!D165</x:f>
        <x:v>1091</x:v>
      </x:c>
      <x:c r="D165" t="str">
        <x:f>Rates_Raw!C165</x:f>
        <x:v>2025/07/01</x:v>
      </x:c>
      <x:c r="E165" t="str">
        <x:f>Rates_Raw!F165</x:f>
        <x:v>021</x:v>
      </x:c>
      <x:c r="F165" t="n">
        <x:f>COUNTIF(Rates_Raw!$AF$5:$AF$464,B165)</x:f>
        <x:v>1</x:v>
      </x:c>
      <x:c r="G165" t="str">
        <x:f>IF(F165=1,"UNIQUE",IF(COUNTIFS(Rates_Raw!$AF$5:$AF$464,B165,Rates_Raw!$H$5:$H$464,Rates_Raw!H165,Rates_Raw!$L$5:$L$464,Rates_Raw!L165)=F165,"REPEATED SOURCE ROW","CONFLICTING KEY"))</x:f>
        <x:v>UNIQUE</x:v>
      </x:c>
      <x:c r="H165" t="str">
        <x:f>IF(F165&gt;1,"REVIEW","OK")</x:f>
        <x:v>OK</x:v>
      </x:c>
      <x:c r="I165" t="str">
        <x:f>Rates_Raw!H165</x:f>
        <x:v>1091B</x:v>
      </x:c>
      <x:c r="J165" t="str">
        <x:f>Rates_Raw!L165</x:f>
        <x:v>$35.6250</x:v>
      </x:c>
    </x:row>
    <x:row r="166">
      <x:c r="A166" t="n">
        <x:f>Rates_Raw!A166</x:f>
        <x:v>33179</x:v>
      </x:c>
      <x:c r="B166" t="str">
        <x:f>Rates_Raw!AF166</x:f>
        <x:v>1091|COMMN|2026-01-03</x:v>
      </x:c>
      <x:c r="C166" t="str">
        <x:f>Rates_Raw!D166</x:f>
        <x:v>1091</x:v>
      </x:c>
      <x:c r="D166" t="str">
        <x:f>Rates_Raw!C166</x:f>
        <x:v>2026/01/03</x:v>
      </x:c>
      <x:c r="E166" t="str">
        <x:f>Rates_Raw!F166</x:f>
        <x:v>021</x:v>
      </x:c>
      <x:c r="F166" t="n">
        <x:f>COUNTIF(Rates_Raw!$AF$5:$AF$464,B166)</x:f>
        <x:v>1</x:v>
      </x:c>
      <x:c r="G166" t="str">
        <x:f>IF(F166=1,"UNIQUE",IF(COUNTIFS(Rates_Raw!$AF$5:$AF$464,B166,Rates_Raw!$H$5:$H$464,Rates_Raw!H166,Rates_Raw!$L$5:$L$464,Rates_Raw!L166)=F166,"REPEATED SOURCE ROW","CONFLICTING KEY"))</x:f>
        <x:v>UNIQUE</x:v>
      </x:c>
      <x:c r="H166" t="str">
        <x:f>IF(F166&gt;1,"REVIEW","OK")</x:f>
        <x:v>OK</x:v>
      </x:c>
      <x:c r="I166" t="str">
        <x:f>Rates_Raw!H166</x:f>
        <x:v>1091C</x:v>
      </x:c>
      <x:c r="J166" t="str">
        <x:f>Rates_Raw!L166</x:f>
        <x:v>$36.1625</x:v>
      </x:c>
    </x:row>
    <x:row r="167">
      <x:c r="A167" t="n">
        <x:f>Rates_Raw!A167</x:f>
        <x:v>33180</x:v>
      </x:c>
      <x:c r="B167" t="str">
        <x:f>Rates_Raw!AF167</x:f>
        <x:v>1091|SFMTA|2026-01-03</x:v>
      </x:c>
      <x:c r="C167" t="str">
        <x:f>Rates_Raw!D167</x:f>
        <x:v>1091</x:v>
      </x:c>
      <x:c r="D167" t="str">
        <x:f>Rates_Raw!C167</x:f>
        <x:v>2026/01/03</x:v>
      </x:c>
      <x:c r="E167" t="str">
        <x:f>Rates_Raw!F167</x:f>
        <x:v>021</x:v>
      </x:c>
      <x:c r="F167" t="n">
        <x:f>COUNTIF(Rates_Raw!$AF$5:$AF$464,B167)</x:f>
        <x:v>1</x:v>
      </x:c>
      <x:c r="G167" t="str">
        <x:f>IF(F167=1,"UNIQUE",IF(COUNTIFS(Rates_Raw!$AF$5:$AF$464,B167,Rates_Raw!$H$5:$H$464,Rates_Raw!H167,Rates_Raw!$L$5:$L$464,Rates_Raw!L167)=F167,"REPEATED SOURCE ROW","CONFLICTING KEY"))</x:f>
        <x:v>UNIQUE</x:v>
      </x:c>
      <x:c r="H167" t="str">
        <x:f>IF(F167&gt;1,"REVIEW","OK")</x:f>
        <x:v>OK</x:v>
      </x:c>
      <x:c r="I167" t="str">
        <x:f>Rates_Raw!H167</x:f>
        <x:v>1091C</x:v>
      </x:c>
      <x:c r="J167" t="str">
        <x:f>Rates_Raw!L167</x:f>
        <x:v>$36.1625</x:v>
      </x:c>
    </x:row>
    <x:row r="168">
      <x:c r="A168" t="n">
        <x:f>Rates_Raw!A168</x:f>
        <x:v>15984</x:v>
      </x:c>
      <x:c r="B168" t="str">
        <x:f>Rates_Raw!AF168</x:f>
        <x:v>1092|COMMN|2020-07-01</x:v>
      </x:c>
      <x:c r="C168" t="str">
        <x:f>Rates_Raw!D168</x:f>
        <x:v>1092</x:v>
      </x:c>
      <x:c r="D168" t="str">
        <x:f>Rates_Raw!C168</x:f>
        <x:v>2020/07/01</x:v>
      </x:c>
      <x:c r="E168" t="str">
        <x:f>Rates_Raw!F168</x:f>
        <x:v>021</x:v>
      </x:c>
      <x:c r="F168" t="n">
        <x:f>COUNTIF(Rates_Raw!$AF$5:$AF$464,B168)</x:f>
        <x:v>1</x:v>
      </x:c>
      <x:c r="G168" t="str">
        <x:f>IF(F168=1,"UNIQUE",IF(COUNTIFS(Rates_Raw!$AF$5:$AF$464,B168,Rates_Raw!$H$5:$H$464,Rates_Raw!H168,Rates_Raw!$L$5:$L$464,Rates_Raw!L168)=F168,"REPEATED SOURCE ROW","CONFLICTING KEY"))</x:f>
        <x:v>UNIQUE</x:v>
      </x:c>
      <x:c r="H168" t="str">
        <x:f>IF(F168&gt;1,"REVIEW","OK")</x:f>
        <x:v>OK</x:v>
      </x:c>
      <x:c r="I168" t="str">
        <x:f>Rates_Raw!H168</x:f>
        <x:v>1092S</x:v>
      </x:c>
      <x:c r="J168" t="str">
        <x:f>Rates_Raw!L168</x:f>
        <x:v>$33.3625</x:v>
      </x:c>
    </x:row>
    <x:row r="169">
      <x:c r="A169" t="n">
        <x:f>Rates_Raw!A169</x:f>
        <x:v>26334</x:v>
      </x:c>
      <x:c r="B169" t="str">
        <x:f>Rates_Raw!AF169</x:f>
        <x:v>1092|COMMN|2024-01-06</x:v>
      </x:c>
      <x:c r="C169" t="str">
        <x:f>Rates_Raw!D169</x:f>
        <x:v>1092</x:v>
      </x:c>
      <x:c r="D169" t="str">
        <x:f>Rates_Raw!C169</x:f>
        <x:v>2024/01/06</x:v>
      </x:c>
      <x:c r="E169" t="str">
        <x:f>Rates_Raw!F169</x:f>
        <x:v>021</x:v>
      </x:c>
      <x:c r="F169" t="n">
        <x:f>COUNTIF(Rates_Raw!$AF$5:$AF$464,B169)</x:f>
        <x:v>1</x:v>
      </x:c>
      <x:c r="G169" t="str">
        <x:f>IF(F169=1,"UNIQUE",IF(COUNTIFS(Rates_Raw!$AF$5:$AF$464,B169,Rates_Raw!$H$5:$H$464,Rates_Raw!H169,Rates_Raw!$L$5:$L$464,Rates_Raw!L169)=F169,"REPEATED SOURCE ROW","CONFLICTING KEY"))</x:f>
        <x:v>UNIQUE</x:v>
      </x:c>
      <x:c r="H169" t="str">
        <x:f>IF(F169&gt;1,"REVIEW","OK")</x:f>
        <x:v>OK</x:v>
      </x:c>
      <x:c r="I169" t="str">
        <x:f>Rates_Raw!H169</x:f>
        <x:v>1092Y</x:v>
      </x:c>
      <x:c r="J169" t="str">
        <x:f>Rates_Raw!L169</x:f>
        <x:v>$39.4250</x:v>
      </x:c>
    </x:row>
    <x:row r="170">
      <x:c r="A170" t="n">
        <x:f>Rates_Raw!A170</x:f>
        <x:v>26335</x:v>
      </x:c>
      <x:c r="B170" t="str">
        <x:f>Rates_Raw!AF170</x:f>
        <x:v>1092|SFMTA|2024-01-06</x:v>
      </x:c>
      <x:c r="C170" t="str">
        <x:f>Rates_Raw!D170</x:f>
        <x:v>1092</x:v>
      </x:c>
      <x:c r="D170" t="str">
        <x:f>Rates_Raw!C170</x:f>
        <x:v>2024/01/06</x:v>
      </x:c>
      <x:c r="E170" t="str">
        <x:f>Rates_Raw!F170</x:f>
        <x:v>021</x:v>
      </x:c>
      <x:c r="F170" t="n">
        <x:f>COUNTIF(Rates_Raw!$AF$5:$AF$464,B170)</x:f>
        <x:v>1</x:v>
      </x:c>
      <x:c r="G170" t="str">
        <x:f>IF(F170=1,"UNIQUE",IF(COUNTIFS(Rates_Raw!$AF$5:$AF$464,B170,Rates_Raw!$H$5:$H$464,Rates_Raw!H170,Rates_Raw!$L$5:$L$464,Rates_Raw!L170)=F170,"REPEATED SOURCE ROW","CONFLICTING KEY"))</x:f>
        <x:v>UNIQUE</x:v>
      </x:c>
      <x:c r="H170" t="str">
        <x:f>IF(F170&gt;1,"REVIEW","OK")</x:f>
        <x:v>OK</x:v>
      </x:c>
      <x:c r="I170" t="str">
        <x:f>Rates_Raw!H170</x:f>
        <x:v>1092Y</x:v>
      </x:c>
      <x:c r="J170" t="str">
        <x:f>Rates_Raw!L170</x:f>
        <x:v>$39.4250</x:v>
      </x:c>
    </x:row>
    <x:row r="171">
      <x:c r="A171" t="n">
        <x:f>Rates_Raw!A171</x:f>
        <x:v>28076</x:v>
      </x:c>
      <x:c r="B171" t="str">
        <x:f>Rates_Raw!AF171</x:f>
        <x:v>1092|COMMN|2024-07-01</x:v>
      </x:c>
      <x:c r="C171" t="str">
        <x:f>Rates_Raw!D171</x:f>
        <x:v>1092</x:v>
      </x:c>
      <x:c r="D171" t="str">
        <x:f>Rates_Raw!C171</x:f>
        <x:v>2024/07/01</x:v>
      </x:c>
      <x:c r="E171" t="str">
        <x:f>Rates_Raw!F171</x:f>
        <x:v>021</x:v>
      </x:c>
      <x:c r="F171" t="n">
        <x:f>COUNTIF(Rates_Raw!$AF$5:$AF$464,B171)</x:f>
        <x:v>1</x:v>
      </x:c>
      <x:c r="G171" t="str">
        <x:f>IF(F171=1,"UNIQUE",IF(COUNTIFS(Rates_Raw!$AF$5:$AF$464,B171,Rates_Raw!$H$5:$H$464,Rates_Raw!H171,Rates_Raw!$L$5:$L$464,Rates_Raw!L171)=F171,"REPEATED SOURCE ROW","CONFLICTING KEY"))</x:f>
        <x:v>UNIQUE</x:v>
      </x:c>
      <x:c r="H171" t="str">
        <x:f>IF(F171&gt;1,"REVIEW","OK")</x:f>
        <x:v>OK</x:v>
      </x:c>
      <x:c r="I171" t="str">
        <x:f>Rates_Raw!H171</x:f>
        <x:v>1092Z</x:v>
      </x:c>
      <x:c r="J171" t="str">
        <x:f>Rates_Raw!L171</x:f>
        <x:v>$40.4125</x:v>
      </x:c>
    </x:row>
    <x:row r="172">
      <x:c r="A172" t="n">
        <x:f>Rates_Raw!A172</x:f>
        <x:v>28077</x:v>
      </x:c>
      <x:c r="B172" t="str">
        <x:f>Rates_Raw!AF172</x:f>
        <x:v>1092|SFMTA|2024-07-01</x:v>
      </x:c>
      <x:c r="C172" t="str">
        <x:f>Rates_Raw!D172</x:f>
        <x:v>1092</x:v>
      </x:c>
      <x:c r="D172" t="str">
        <x:f>Rates_Raw!C172</x:f>
        <x:v>2024/07/01</x:v>
      </x:c>
      <x:c r="E172" t="str">
        <x:f>Rates_Raw!F172</x:f>
        <x:v>021</x:v>
      </x:c>
      <x:c r="F172" t="n">
        <x:f>COUNTIF(Rates_Raw!$AF$5:$AF$464,B172)</x:f>
        <x:v>1</x:v>
      </x:c>
      <x:c r="G172" t="str">
        <x:f>IF(F172=1,"UNIQUE",IF(COUNTIFS(Rates_Raw!$AF$5:$AF$464,B172,Rates_Raw!$H$5:$H$464,Rates_Raw!H172,Rates_Raw!$L$5:$L$464,Rates_Raw!L172)=F172,"REPEATED SOURCE ROW","CONFLICTING KEY"))</x:f>
        <x:v>UNIQUE</x:v>
      </x:c>
      <x:c r="H172" t="str">
        <x:f>IF(F172&gt;1,"REVIEW","OK")</x:f>
        <x:v>OK</x:v>
      </x:c>
      <x:c r="I172" t="str">
        <x:f>Rates_Raw!H172</x:f>
        <x:v>1092Z</x:v>
      </x:c>
      <x:c r="J172" t="str">
        <x:f>Rates_Raw!L172</x:f>
        <x:v>$40.4125</x:v>
      </x:c>
    </x:row>
    <x:row r="173">
      <x:c r="A173" t="n">
        <x:f>Rates_Raw!A173</x:f>
        <x:v>29782</x:v>
      </x:c>
      <x:c r="B173" t="str">
        <x:f>Rates_Raw!AF173</x:f>
        <x:v>1092|COMMN|2025-01-04</x:v>
      </x:c>
      <x:c r="C173" t="str">
        <x:f>Rates_Raw!D173</x:f>
        <x:v>1092</x:v>
      </x:c>
      <x:c r="D173" t="str">
        <x:f>Rates_Raw!C173</x:f>
        <x:v>2025/01/04</x:v>
      </x:c>
      <x:c r="E173" t="str">
        <x:f>Rates_Raw!F173</x:f>
        <x:v>021</x:v>
      </x:c>
      <x:c r="F173" t="n">
        <x:f>COUNTIF(Rates_Raw!$AF$5:$AF$464,B173)</x:f>
        <x:v>1</x:v>
      </x:c>
      <x:c r="G173" t="str">
        <x:f>IF(F173=1,"UNIQUE",IF(COUNTIFS(Rates_Raw!$AF$5:$AF$464,B173,Rates_Raw!$H$5:$H$464,Rates_Raw!H173,Rates_Raw!$L$5:$L$464,Rates_Raw!L173)=F173,"REPEATED SOURCE ROW","CONFLICTING KEY"))</x:f>
        <x:v>UNIQUE</x:v>
      </x:c>
      <x:c r="H173" t="str">
        <x:f>IF(F173&gt;1,"REVIEW","OK")</x:f>
        <x:v>OK</x:v>
      </x:c>
      <x:c r="I173" t="str">
        <x:f>Rates_Raw!H173</x:f>
        <x:v>1092A</x:v>
      </x:c>
      <x:c r="J173" t="str">
        <x:f>Rates_Raw!L173</x:f>
        <x:v>$41.0125</x:v>
      </x:c>
    </x:row>
    <x:row r="174">
      <x:c r="A174" t="n">
        <x:f>Rates_Raw!A174</x:f>
        <x:v>29783</x:v>
      </x:c>
      <x:c r="B174" t="str">
        <x:f>Rates_Raw!AF174</x:f>
        <x:v>1092|SFMTA|2025-01-04</x:v>
      </x:c>
      <x:c r="C174" t="str">
        <x:f>Rates_Raw!D174</x:f>
        <x:v>1092</x:v>
      </x:c>
      <x:c r="D174" t="str">
        <x:f>Rates_Raw!C174</x:f>
        <x:v>2025/01/04</x:v>
      </x:c>
      <x:c r="E174" t="str">
        <x:f>Rates_Raw!F174</x:f>
        <x:v>021</x:v>
      </x:c>
      <x:c r="F174" t="n">
        <x:f>COUNTIF(Rates_Raw!$AF$5:$AF$464,B174)</x:f>
        <x:v>1</x:v>
      </x:c>
      <x:c r="G174" t="str">
        <x:f>IF(F174=1,"UNIQUE",IF(COUNTIFS(Rates_Raw!$AF$5:$AF$464,B174,Rates_Raw!$H$5:$H$464,Rates_Raw!H174,Rates_Raw!$L$5:$L$464,Rates_Raw!L174)=F174,"REPEATED SOURCE ROW","CONFLICTING KEY"))</x:f>
        <x:v>UNIQUE</x:v>
      </x:c>
      <x:c r="H174" t="str">
        <x:f>IF(F174&gt;1,"REVIEW","OK")</x:f>
        <x:v>OK</x:v>
      </x:c>
      <x:c r="I174" t="str">
        <x:f>Rates_Raw!H174</x:f>
        <x:v>1092A</x:v>
      </x:c>
      <x:c r="J174" t="str">
        <x:f>Rates_Raw!L174</x:f>
        <x:v>$41.0125</x:v>
      </x:c>
    </x:row>
    <x:row r="175">
      <x:c r="A175" t="n">
        <x:f>Rates_Raw!A175</x:f>
        <x:v>31495</x:v>
      </x:c>
      <x:c r="B175" t="str">
        <x:f>Rates_Raw!AF175</x:f>
        <x:v>1092|COMMN|2025-07-01</x:v>
      </x:c>
      <x:c r="C175" t="str">
        <x:f>Rates_Raw!D175</x:f>
        <x:v>1092</x:v>
      </x:c>
      <x:c r="D175" t="str">
        <x:f>Rates_Raw!C175</x:f>
        <x:v>2025/07/01</x:v>
      </x:c>
      <x:c r="E175" t="str">
        <x:f>Rates_Raw!F175</x:f>
        <x:v>021</x:v>
      </x:c>
      <x:c r="F175" t="n">
        <x:f>COUNTIF(Rates_Raw!$AF$5:$AF$464,B175)</x:f>
        <x:v>1</x:v>
      </x:c>
      <x:c r="G175" t="str">
        <x:f>IF(F175=1,"UNIQUE",IF(COUNTIFS(Rates_Raw!$AF$5:$AF$464,B175,Rates_Raw!$H$5:$H$464,Rates_Raw!H175,Rates_Raw!$L$5:$L$464,Rates_Raw!L175)=F175,"REPEATED SOURCE ROW","CONFLICTING KEY"))</x:f>
        <x:v>UNIQUE</x:v>
      </x:c>
      <x:c r="H175" t="str">
        <x:f>IF(F175&gt;1,"REVIEW","OK")</x:f>
        <x:v>OK</x:v>
      </x:c>
      <x:c r="I175" t="str">
        <x:f>Rates_Raw!H175</x:f>
        <x:v>1092B</x:v>
      </x:c>
      <x:c r="J175" t="str">
        <x:f>Rates_Raw!L175</x:f>
        <x:v>$41.8375</x:v>
      </x:c>
    </x:row>
    <x:row r="176">
      <x:c r="A176" t="n">
        <x:f>Rates_Raw!A176</x:f>
        <x:v>31496</x:v>
      </x:c>
      <x:c r="B176" t="str">
        <x:f>Rates_Raw!AF176</x:f>
        <x:v>1092|SFMTA|2025-07-01</x:v>
      </x:c>
      <x:c r="C176" t="str">
        <x:f>Rates_Raw!D176</x:f>
        <x:v>1092</x:v>
      </x:c>
      <x:c r="D176" t="str">
        <x:f>Rates_Raw!C176</x:f>
        <x:v>2025/07/01</x:v>
      </x:c>
      <x:c r="E176" t="str">
        <x:f>Rates_Raw!F176</x:f>
        <x:v>021</x:v>
      </x:c>
      <x:c r="F176" t="n">
        <x:f>COUNTIF(Rates_Raw!$AF$5:$AF$464,B176)</x:f>
        <x:v>1</x:v>
      </x:c>
      <x:c r="G176" t="str">
        <x:f>IF(F176=1,"UNIQUE",IF(COUNTIFS(Rates_Raw!$AF$5:$AF$464,B176,Rates_Raw!$H$5:$H$464,Rates_Raw!H176,Rates_Raw!$L$5:$L$464,Rates_Raw!L176)=F176,"REPEATED SOURCE ROW","CONFLICTING KEY"))</x:f>
        <x:v>UNIQUE</x:v>
      </x:c>
      <x:c r="H176" t="str">
        <x:f>IF(F176&gt;1,"REVIEW","OK")</x:f>
        <x:v>OK</x:v>
      </x:c>
      <x:c r="I176" t="str">
        <x:f>Rates_Raw!H176</x:f>
        <x:v>1092B</x:v>
      </x:c>
      <x:c r="J176" t="str">
        <x:f>Rates_Raw!L176</x:f>
        <x:v>$41.8375</x:v>
      </x:c>
    </x:row>
    <x:row r="177">
      <x:c r="A177" t="n">
        <x:f>Rates_Raw!A177</x:f>
        <x:v>33181</x:v>
      </x:c>
      <x:c r="B177" t="str">
        <x:f>Rates_Raw!AF177</x:f>
        <x:v>1092|COMMN|2026-01-03</x:v>
      </x:c>
      <x:c r="C177" t="str">
        <x:f>Rates_Raw!D177</x:f>
        <x:v>1092</x:v>
      </x:c>
      <x:c r="D177" t="str">
        <x:f>Rates_Raw!C177</x:f>
        <x:v>2026/01/03</x:v>
      </x:c>
      <x:c r="E177" t="str">
        <x:f>Rates_Raw!F177</x:f>
        <x:v>021</x:v>
      </x:c>
      <x:c r="F177" t="n">
        <x:f>COUNTIF(Rates_Raw!$AF$5:$AF$464,B177)</x:f>
        <x:v>1</x:v>
      </x:c>
      <x:c r="G177" t="str">
        <x:f>IF(F177=1,"UNIQUE",IF(COUNTIFS(Rates_Raw!$AF$5:$AF$464,B177,Rates_Raw!$H$5:$H$464,Rates_Raw!H177,Rates_Raw!$L$5:$L$464,Rates_Raw!L177)=F177,"REPEATED SOURCE ROW","CONFLICTING KEY"))</x:f>
        <x:v>UNIQUE</x:v>
      </x:c>
      <x:c r="H177" t="str">
        <x:f>IF(F177&gt;1,"REVIEW","OK")</x:f>
        <x:v>OK</x:v>
      </x:c>
      <x:c r="I177" t="str">
        <x:f>Rates_Raw!H177</x:f>
        <x:v>1092C</x:v>
      </x:c>
      <x:c r="J177" t="str">
        <x:f>Rates_Raw!L177</x:f>
        <x:v>$42.4625</x:v>
      </x:c>
    </x:row>
    <x:row r="178">
      <x:c r="A178" t="n">
        <x:f>Rates_Raw!A178</x:f>
        <x:v>33182</x:v>
      </x:c>
      <x:c r="B178" t="str">
        <x:f>Rates_Raw!AF178</x:f>
        <x:v>1092|SFMTA|2026-01-03</x:v>
      </x:c>
      <x:c r="C178" t="str">
        <x:f>Rates_Raw!D178</x:f>
        <x:v>1092</x:v>
      </x:c>
      <x:c r="D178" t="str">
        <x:f>Rates_Raw!C178</x:f>
        <x:v>2026/01/03</x:v>
      </x:c>
      <x:c r="E178" t="str">
        <x:f>Rates_Raw!F178</x:f>
        <x:v>021</x:v>
      </x:c>
      <x:c r="F178" t="n">
        <x:f>COUNTIF(Rates_Raw!$AF$5:$AF$464,B178)</x:f>
        <x:v>1</x:v>
      </x:c>
      <x:c r="G178" t="str">
        <x:f>IF(F178=1,"UNIQUE",IF(COUNTIFS(Rates_Raw!$AF$5:$AF$464,B178,Rates_Raw!$H$5:$H$464,Rates_Raw!H178,Rates_Raw!$L$5:$L$464,Rates_Raw!L178)=F178,"REPEATED SOURCE ROW","CONFLICTING KEY"))</x:f>
        <x:v>UNIQUE</x:v>
      </x:c>
      <x:c r="H178" t="str">
        <x:f>IF(F178&gt;1,"REVIEW","OK")</x:f>
        <x:v>OK</x:v>
      </x:c>
      <x:c r="I178" t="str">
        <x:f>Rates_Raw!H178</x:f>
        <x:v>1092C</x:v>
      </x:c>
      <x:c r="J178" t="str">
        <x:f>Rates_Raw!L178</x:f>
        <x:v>$42.4625</x:v>
      </x:c>
    </x:row>
    <x:row r="179">
      <x:c r="A179" t="n">
        <x:f>Rates_Raw!A179</x:f>
        <x:v>26336</x:v>
      </x:c>
      <x:c r="B179" t="str">
        <x:f>Rates_Raw!AF179</x:f>
        <x:v>1093|COMMN|2024-01-06</x:v>
      </x:c>
      <x:c r="C179" t="str">
        <x:f>Rates_Raw!D179</x:f>
        <x:v>1093</x:v>
      </x:c>
      <x:c r="D179" t="str">
        <x:f>Rates_Raw!C179</x:f>
        <x:v>2024/01/06</x:v>
      </x:c>
      <x:c r="E179" t="str">
        <x:f>Rates_Raw!F179</x:f>
        <x:v>021</x:v>
      </x:c>
      <x:c r="F179" t="n">
        <x:f>COUNTIF(Rates_Raw!$AF$5:$AF$464,B179)</x:f>
        <x:v>1</x:v>
      </x:c>
      <x:c r="G179" t="str">
        <x:f>IF(F179=1,"UNIQUE",IF(COUNTIFS(Rates_Raw!$AF$5:$AF$464,B179,Rates_Raw!$H$5:$H$464,Rates_Raw!H179,Rates_Raw!$L$5:$L$464,Rates_Raw!L179)=F179,"REPEATED SOURCE ROW","CONFLICTING KEY"))</x:f>
        <x:v>UNIQUE</x:v>
      </x:c>
      <x:c r="H179" t="str">
        <x:f>IF(F179&gt;1,"REVIEW","OK")</x:f>
        <x:v>OK</x:v>
      </x:c>
      <x:c r="I179" t="str">
        <x:f>Rates_Raw!H179</x:f>
        <x:v>1093Y</x:v>
      </x:c>
      <x:c r="J179" t="str">
        <x:f>Rates_Raw!L179</x:f>
        <x:v>$47.9125</x:v>
      </x:c>
    </x:row>
    <x:row r="180">
      <x:c r="A180" t="n">
        <x:f>Rates_Raw!A180</x:f>
        <x:v>26337</x:v>
      </x:c>
      <x:c r="B180" t="str">
        <x:f>Rates_Raw!AF180</x:f>
        <x:v>1093|SFMTA|2024-01-06</x:v>
      </x:c>
      <x:c r="C180" t="str">
        <x:f>Rates_Raw!D180</x:f>
        <x:v>1093</x:v>
      </x:c>
      <x:c r="D180" t="str">
        <x:f>Rates_Raw!C180</x:f>
        <x:v>2024/01/06</x:v>
      </x:c>
      <x:c r="E180" t="str">
        <x:f>Rates_Raw!F180</x:f>
        <x:v>021</x:v>
      </x:c>
      <x:c r="F180" t="n">
        <x:f>COUNTIF(Rates_Raw!$AF$5:$AF$464,B180)</x:f>
        <x:v>1</x:v>
      </x:c>
      <x:c r="G180" t="str">
        <x:f>IF(F180=1,"UNIQUE",IF(COUNTIFS(Rates_Raw!$AF$5:$AF$464,B180,Rates_Raw!$H$5:$H$464,Rates_Raw!H180,Rates_Raw!$L$5:$L$464,Rates_Raw!L180)=F180,"REPEATED SOURCE ROW","CONFLICTING KEY"))</x:f>
        <x:v>UNIQUE</x:v>
      </x:c>
      <x:c r="H180" t="str">
        <x:f>IF(F180&gt;1,"REVIEW","OK")</x:f>
        <x:v>OK</x:v>
      </x:c>
      <x:c r="I180" t="str">
        <x:f>Rates_Raw!H180</x:f>
        <x:v>1093Y</x:v>
      </x:c>
      <x:c r="J180" t="str">
        <x:f>Rates_Raw!L180</x:f>
        <x:v>$47.9125</x:v>
      </x:c>
    </x:row>
    <x:row r="181">
      <x:c r="A181" t="n">
        <x:f>Rates_Raw!A181</x:f>
        <x:v>28078</x:v>
      </x:c>
      <x:c r="B181" t="str">
        <x:f>Rates_Raw!AF181</x:f>
        <x:v>1093|COMMN|2024-07-01</x:v>
      </x:c>
      <x:c r="C181" t="str">
        <x:f>Rates_Raw!D181</x:f>
        <x:v>1093</x:v>
      </x:c>
      <x:c r="D181" t="str">
        <x:f>Rates_Raw!C181</x:f>
        <x:v>2024/07/01</x:v>
      </x:c>
      <x:c r="E181" t="str">
        <x:f>Rates_Raw!F181</x:f>
        <x:v>021</x:v>
      </x:c>
      <x:c r="F181" t="n">
        <x:f>COUNTIF(Rates_Raw!$AF$5:$AF$464,B181)</x:f>
        <x:v>1</x:v>
      </x:c>
      <x:c r="G181" t="str">
        <x:f>IF(F181=1,"UNIQUE",IF(COUNTIFS(Rates_Raw!$AF$5:$AF$464,B181,Rates_Raw!$H$5:$H$464,Rates_Raw!H181,Rates_Raw!$L$5:$L$464,Rates_Raw!L181)=F181,"REPEATED SOURCE ROW","CONFLICTING KEY"))</x:f>
        <x:v>UNIQUE</x:v>
      </x:c>
      <x:c r="H181" t="str">
        <x:f>IF(F181&gt;1,"REVIEW","OK")</x:f>
        <x:v>OK</x:v>
      </x:c>
      <x:c r="I181" t="str">
        <x:f>Rates_Raw!H181</x:f>
        <x:v>1093Z</x:v>
      </x:c>
      <x:c r="J181" t="str">
        <x:f>Rates_Raw!L181</x:f>
        <x:v>$49.1125</x:v>
      </x:c>
    </x:row>
    <x:row r="182">
      <x:c r="A182" t="n">
        <x:f>Rates_Raw!A182</x:f>
        <x:v>28079</x:v>
      </x:c>
      <x:c r="B182" t="str">
        <x:f>Rates_Raw!AF182</x:f>
        <x:v>1093|SFMTA|2024-07-01</x:v>
      </x:c>
      <x:c r="C182" t="str">
        <x:f>Rates_Raw!D182</x:f>
        <x:v>1093</x:v>
      </x:c>
      <x:c r="D182" t="str">
        <x:f>Rates_Raw!C182</x:f>
        <x:v>2024/07/01</x:v>
      </x:c>
      <x:c r="E182" t="str">
        <x:f>Rates_Raw!F182</x:f>
        <x:v>021</x:v>
      </x:c>
      <x:c r="F182" t="n">
        <x:f>COUNTIF(Rates_Raw!$AF$5:$AF$464,B182)</x:f>
        <x:v>1</x:v>
      </x:c>
      <x:c r="G182" t="str">
        <x:f>IF(F182=1,"UNIQUE",IF(COUNTIFS(Rates_Raw!$AF$5:$AF$464,B182,Rates_Raw!$H$5:$H$464,Rates_Raw!H182,Rates_Raw!$L$5:$L$464,Rates_Raw!L182)=F182,"REPEATED SOURCE ROW","CONFLICTING KEY"))</x:f>
        <x:v>UNIQUE</x:v>
      </x:c>
      <x:c r="H182" t="str">
        <x:f>IF(F182&gt;1,"REVIEW","OK")</x:f>
        <x:v>OK</x:v>
      </x:c>
      <x:c r="I182" t="str">
        <x:f>Rates_Raw!H182</x:f>
        <x:v>1093Z</x:v>
      </x:c>
      <x:c r="J182" t="str">
        <x:f>Rates_Raw!L182</x:f>
        <x:v>$49.1125</x:v>
      </x:c>
    </x:row>
    <x:row r="183">
      <x:c r="A183" t="n">
        <x:f>Rates_Raw!A183</x:f>
        <x:v>29784</x:v>
      </x:c>
      <x:c r="B183" t="str">
        <x:f>Rates_Raw!AF183</x:f>
        <x:v>1093|COMMN|2025-01-04</x:v>
      </x:c>
      <x:c r="C183" t="str">
        <x:f>Rates_Raw!D183</x:f>
        <x:v>1093</x:v>
      </x:c>
      <x:c r="D183" t="str">
        <x:f>Rates_Raw!C183</x:f>
        <x:v>2025/01/04</x:v>
      </x:c>
      <x:c r="E183" t="str">
        <x:f>Rates_Raw!F183</x:f>
        <x:v>021</x:v>
      </x:c>
      <x:c r="F183" t="n">
        <x:f>COUNTIF(Rates_Raw!$AF$5:$AF$464,B183)</x:f>
        <x:v>1</x:v>
      </x:c>
      <x:c r="G183" t="str">
        <x:f>IF(F183=1,"UNIQUE",IF(COUNTIFS(Rates_Raw!$AF$5:$AF$464,B183,Rates_Raw!$H$5:$H$464,Rates_Raw!H183,Rates_Raw!$L$5:$L$464,Rates_Raw!L183)=F183,"REPEATED SOURCE ROW","CONFLICTING KEY"))</x:f>
        <x:v>UNIQUE</x:v>
      </x:c>
      <x:c r="H183" t="str">
        <x:f>IF(F183&gt;1,"REVIEW","OK")</x:f>
        <x:v>OK</x:v>
      </x:c>
      <x:c r="I183" t="str">
        <x:f>Rates_Raw!H183</x:f>
        <x:v>1093A</x:v>
      </x:c>
      <x:c r="J183" t="str">
        <x:f>Rates_Raw!L183</x:f>
        <x:v>$49.8500</x:v>
      </x:c>
    </x:row>
    <x:row r="184">
      <x:c r="A184" t="n">
        <x:f>Rates_Raw!A184</x:f>
        <x:v>29785</x:v>
      </x:c>
      <x:c r="B184" t="str">
        <x:f>Rates_Raw!AF184</x:f>
        <x:v>1093|SFMTA|2025-01-04</x:v>
      </x:c>
      <x:c r="C184" t="str">
        <x:f>Rates_Raw!D184</x:f>
        <x:v>1093</x:v>
      </x:c>
      <x:c r="D184" t="str">
        <x:f>Rates_Raw!C184</x:f>
        <x:v>2025/01/04</x:v>
      </x:c>
      <x:c r="E184" t="str">
        <x:f>Rates_Raw!F184</x:f>
        <x:v>021</x:v>
      </x:c>
      <x:c r="F184" t="n">
        <x:f>COUNTIF(Rates_Raw!$AF$5:$AF$464,B184)</x:f>
        <x:v>1</x:v>
      </x:c>
      <x:c r="G184" t="str">
        <x:f>IF(F184=1,"UNIQUE",IF(COUNTIFS(Rates_Raw!$AF$5:$AF$464,B184,Rates_Raw!$H$5:$H$464,Rates_Raw!H184,Rates_Raw!$L$5:$L$464,Rates_Raw!L184)=F184,"REPEATED SOURCE ROW","CONFLICTING KEY"))</x:f>
        <x:v>UNIQUE</x:v>
      </x:c>
      <x:c r="H184" t="str">
        <x:f>IF(F184&gt;1,"REVIEW","OK")</x:f>
        <x:v>OK</x:v>
      </x:c>
      <x:c r="I184" t="str">
        <x:f>Rates_Raw!H184</x:f>
        <x:v>1093A</x:v>
      </x:c>
      <x:c r="J184" t="str">
        <x:f>Rates_Raw!L184</x:f>
        <x:v>$49.8500</x:v>
      </x:c>
    </x:row>
    <x:row r="185">
      <x:c r="A185" t="n">
        <x:f>Rates_Raw!A185</x:f>
        <x:v>31497</x:v>
      </x:c>
      <x:c r="B185" t="str">
        <x:f>Rates_Raw!AF185</x:f>
        <x:v>1093|COMMN|2025-07-01</x:v>
      </x:c>
      <x:c r="C185" t="str">
        <x:f>Rates_Raw!D185</x:f>
        <x:v>1093</x:v>
      </x:c>
      <x:c r="D185" t="str">
        <x:f>Rates_Raw!C185</x:f>
        <x:v>2025/07/01</x:v>
      </x:c>
      <x:c r="E185" t="str">
        <x:f>Rates_Raw!F185</x:f>
        <x:v>021</x:v>
      </x:c>
      <x:c r="F185" t="n">
        <x:f>COUNTIF(Rates_Raw!$AF$5:$AF$464,B185)</x:f>
        <x:v>1</x:v>
      </x:c>
      <x:c r="G185" t="str">
        <x:f>IF(F185=1,"UNIQUE",IF(COUNTIFS(Rates_Raw!$AF$5:$AF$464,B185,Rates_Raw!$H$5:$H$464,Rates_Raw!H185,Rates_Raw!$L$5:$L$464,Rates_Raw!L185)=F185,"REPEATED SOURCE ROW","CONFLICTING KEY"))</x:f>
        <x:v>UNIQUE</x:v>
      </x:c>
      <x:c r="H185" t="str">
        <x:f>IF(F185&gt;1,"REVIEW","OK")</x:f>
        <x:v>OK</x:v>
      </x:c>
      <x:c r="I185" t="str">
        <x:f>Rates_Raw!H185</x:f>
        <x:v>1093B</x:v>
      </x:c>
      <x:c r="J185" t="str">
        <x:f>Rates_Raw!L185</x:f>
        <x:v>$50.8500</x:v>
      </x:c>
    </x:row>
    <x:row r="186">
      <x:c r="A186" t="n">
        <x:f>Rates_Raw!A186</x:f>
        <x:v>31498</x:v>
      </x:c>
      <x:c r="B186" t="str">
        <x:f>Rates_Raw!AF186</x:f>
        <x:v>1093|SFMTA|2025-07-01</x:v>
      </x:c>
      <x:c r="C186" t="str">
        <x:f>Rates_Raw!D186</x:f>
        <x:v>1093</x:v>
      </x:c>
      <x:c r="D186" t="str">
        <x:f>Rates_Raw!C186</x:f>
        <x:v>2025/07/01</x:v>
      </x:c>
      <x:c r="E186" t="str">
        <x:f>Rates_Raw!F186</x:f>
        <x:v>021</x:v>
      </x:c>
      <x:c r="F186" t="n">
        <x:f>COUNTIF(Rates_Raw!$AF$5:$AF$464,B186)</x:f>
        <x:v>1</x:v>
      </x:c>
      <x:c r="G186" t="str">
        <x:f>IF(F186=1,"UNIQUE",IF(COUNTIFS(Rates_Raw!$AF$5:$AF$464,B186,Rates_Raw!$H$5:$H$464,Rates_Raw!H186,Rates_Raw!$L$5:$L$464,Rates_Raw!L186)=F186,"REPEATED SOURCE ROW","CONFLICTING KEY"))</x:f>
        <x:v>UNIQUE</x:v>
      </x:c>
      <x:c r="H186" t="str">
        <x:f>IF(F186&gt;1,"REVIEW","OK")</x:f>
        <x:v>OK</x:v>
      </x:c>
      <x:c r="I186" t="str">
        <x:f>Rates_Raw!H186</x:f>
        <x:v>1093B</x:v>
      </x:c>
      <x:c r="J186" t="str">
        <x:f>Rates_Raw!L186</x:f>
        <x:v>$50.8500</x:v>
      </x:c>
    </x:row>
    <x:row r="187">
      <x:c r="A187" t="n">
        <x:f>Rates_Raw!A187</x:f>
        <x:v>33183</x:v>
      </x:c>
      <x:c r="B187" t="str">
        <x:f>Rates_Raw!AF187</x:f>
        <x:v>1093|COMMN|2026-01-03</x:v>
      </x:c>
      <x:c r="C187" t="str">
        <x:f>Rates_Raw!D187</x:f>
        <x:v>1093</x:v>
      </x:c>
      <x:c r="D187" t="str">
        <x:f>Rates_Raw!C187</x:f>
        <x:v>2026/01/03</x:v>
      </x:c>
      <x:c r="E187" t="str">
        <x:f>Rates_Raw!F187</x:f>
        <x:v>021</x:v>
      </x:c>
      <x:c r="F187" t="n">
        <x:f>COUNTIF(Rates_Raw!$AF$5:$AF$464,B187)</x:f>
        <x:v>1</x:v>
      </x:c>
      <x:c r="G187" t="str">
        <x:f>IF(F187=1,"UNIQUE",IF(COUNTIFS(Rates_Raw!$AF$5:$AF$464,B187,Rates_Raw!$H$5:$H$464,Rates_Raw!H187,Rates_Raw!$L$5:$L$464,Rates_Raw!L187)=F187,"REPEATED SOURCE ROW","CONFLICTING KEY"))</x:f>
        <x:v>UNIQUE</x:v>
      </x:c>
      <x:c r="H187" t="str">
        <x:f>IF(F187&gt;1,"REVIEW","OK")</x:f>
        <x:v>OK</x:v>
      </x:c>
      <x:c r="I187" t="str">
        <x:f>Rates_Raw!H187</x:f>
        <x:v>1093C</x:v>
      </x:c>
      <x:c r="J187" t="str">
        <x:f>Rates_Raw!L187</x:f>
        <x:v>$51.6125</x:v>
      </x:c>
    </x:row>
    <x:row r="188">
      <x:c r="A188" t="n">
        <x:f>Rates_Raw!A188</x:f>
        <x:v>33184</x:v>
      </x:c>
      <x:c r="B188" t="str">
        <x:f>Rates_Raw!AF188</x:f>
        <x:v>1093|SFMTA|2026-01-03</x:v>
      </x:c>
      <x:c r="C188" t="str">
        <x:f>Rates_Raw!D188</x:f>
        <x:v>1093</x:v>
      </x:c>
      <x:c r="D188" t="str">
        <x:f>Rates_Raw!C188</x:f>
        <x:v>2026/01/03</x:v>
      </x:c>
      <x:c r="E188" t="str">
        <x:f>Rates_Raw!F188</x:f>
        <x:v>021</x:v>
      </x:c>
      <x:c r="F188" t="n">
        <x:f>COUNTIF(Rates_Raw!$AF$5:$AF$464,B188)</x:f>
        <x:v>1</x:v>
      </x:c>
      <x:c r="G188" t="str">
        <x:f>IF(F188=1,"UNIQUE",IF(COUNTIFS(Rates_Raw!$AF$5:$AF$464,B188,Rates_Raw!$H$5:$H$464,Rates_Raw!H188,Rates_Raw!$L$5:$L$464,Rates_Raw!L188)=F188,"REPEATED SOURCE ROW","CONFLICTING KEY"))</x:f>
        <x:v>UNIQUE</x:v>
      </x:c>
      <x:c r="H188" t="str">
        <x:f>IF(F188&gt;1,"REVIEW","OK")</x:f>
        <x:v>OK</x:v>
      </x:c>
      <x:c r="I188" t="str">
        <x:f>Rates_Raw!H188</x:f>
        <x:v>1093C</x:v>
      </x:c>
      <x:c r="J188" t="str">
        <x:f>Rates_Raw!L188</x:f>
        <x:v>$51.6125</x:v>
      </x:c>
    </x:row>
    <x:row r="189">
      <x:c r="A189" t="n">
        <x:f>Rates_Raw!A189</x:f>
        <x:v>26338</x:v>
      </x:c>
      <x:c r="B189" t="str">
        <x:f>Rates_Raw!AF189</x:f>
        <x:v>1094|COMMN|2024-01-06</x:v>
      </x:c>
      <x:c r="C189" t="str">
        <x:f>Rates_Raw!D189</x:f>
        <x:v>1094</x:v>
      </x:c>
      <x:c r="D189" t="str">
        <x:f>Rates_Raw!C189</x:f>
        <x:v>2024/01/06</x:v>
      </x:c>
      <x:c r="E189" t="str">
        <x:f>Rates_Raw!F189</x:f>
        <x:v>021</x:v>
      </x:c>
      <x:c r="F189" t="n">
        <x:f>COUNTIF(Rates_Raw!$AF$5:$AF$464,B189)</x:f>
        <x:v>1</x:v>
      </x:c>
      <x:c r="G189" t="str">
        <x:f>IF(F189=1,"UNIQUE",IF(COUNTIFS(Rates_Raw!$AF$5:$AF$464,B189,Rates_Raw!$H$5:$H$464,Rates_Raw!H189,Rates_Raw!$L$5:$L$464,Rates_Raw!L189)=F189,"REPEATED SOURCE ROW","CONFLICTING KEY"))</x:f>
        <x:v>UNIQUE</x:v>
      </x:c>
      <x:c r="H189" t="str">
        <x:f>IF(F189&gt;1,"REVIEW","OK")</x:f>
        <x:v>OK</x:v>
      </x:c>
      <x:c r="I189" t="str">
        <x:f>Rates_Raw!H189</x:f>
        <x:v>1094Y</x:v>
      </x:c>
      <x:c r="J189" t="str">
        <x:f>Rates_Raw!L189</x:f>
        <x:v>$58.2750</x:v>
      </x:c>
    </x:row>
    <x:row r="190">
      <x:c r="A190" t="n">
        <x:f>Rates_Raw!A190</x:f>
        <x:v>26339</x:v>
      </x:c>
      <x:c r="B190" t="str">
        <x:f>Rates_Raw!AF190</x:f>
        <x:v>1094|SFMTA|2024-01-06</x:v>
      </x:c>
      <x:c r="C190" t="str">
        <x:f>Rates_Raw!D190</x:f>
        <x:v>1094</x:v>
      </x:c>
      <x:c r="D190" t="str">
        <x:f>Rates_Raw!C190</x:f>
        <x:v>2024/01/06</x:v>
      </x:c>
      <x:c r="E190" t="str">
        <x:f>Rates_Raw!F190</x:f>
        <x:v>021</x:v>
      </x:c>
      <x:c r="F190" t="n">
        <x:f>COUNTIF(Rates_Raw!$AF$5:$AF$464,B190)</x:f>
        <x:v>1</x:v>
      </x:c>
      <x:c r="G190" t="str">
        <x:f>IF(F190=1,"UNIQUE",IF(COUNTIFS(Rates_Raw!$AF$5:$AF$464,B190,Rates_Raw!$H$5:$H$464,Rates_Raw!H190,Rates_Raw!$L$5:$L$464,Rates_Raw!L190)=F190,"REPEATED SOURCE ROW","CONFLICTING KEY"))</x:f>
        <x:v>UNIQUE</x:v>
      </x:c>
      <x:c r="H190" t="str">
        <x:f>IF(F190&gt;1,"REVIEW","OK")</x:f>
        <x:v>OK</x:v>
      </x:c>
      <x:c r="I190" t="str">
        <x:f>Rates_Raw!H190</x:f>
        <x:v>1094Y</x:v>
      </x:c>
      <x:c r="J190" t="str">
        <x:f>Rates_Raw!L190</x:f>
        <x:v>$58.2750</x:v>
      </x:c>
    </x:row>
    <x:row r="191">
      <x:c r="A191" t="n">
        <x:f>Rates_Raw!A191</x:f>
        <x:v>28080</x:v>
      </x:c>
      <x:c r="B191" t="str">
        <x:f>Rates_Raw!AF191</x:f>
        <x:v>1094|COMMN|2024-07-01</x:v>
      </x:c>
      <x:c r="C191" t="str">
        <x:f>Rates_Raw!D191</x:f>
        <x:v>1094</x:v>
      </x:c>
      <x:c r="D191" t="str">
        <x:f>Rates_Raw!C191</x:f>
        <x:v>2024/07/01</x:v>
      </x:c>
      <x:c r="E191" t="str">
        <x:f>Rates_Raw!F191</x:f>
        <x:v>021</x:v>
      </x:c>
      <x:c r="F191" t="n">
        <x:f>COUNTIF(Rates_Raw!$AF$5:$AF$464,B191)</x:f>
        <x:v>1</x:v>
      </x:c>
      <x:c r="G191" t="str">
        <x:f>IF(F191=1,"UNIQUE",IF(COUNTIFS(Rates_Raw!$AF$5:$AF$464,B191,Rates_Raw!$H$5:$H$464,Rates_Raw!H191,Rates_Raw!$L$5:$L$464,Rates_Raw!L191)=F191,"REPEATED SOURCE ROW","CONFLICTING KEY"))</x:f>
        <x:v>UNIQUE</x:v>
      </x:c>
      <x:c r="H191" t="str">
        <x:f>IF(F191&gt;1,"REVIEW","OK")</x:f>
        <x:v>OK</x:v>
      </x:c>
      <x:c r="I191" t="str">
        <x:f>Rates_Raw!H191</x:f>
        <x:v>1094Z</x:v>
      </x:c>
      <x:c r="J191" t="str">
        <x:f>Rates_Raw!L191</x:f>
        <x:v>$59.7375</x:v>
      </x:c>
    </x:row>
    <x:row r="192">
      <x:c r="A192" t="n">
        <x:f>Rates_Raw!A192</x:f>
        <x:v>28081</x:v>
      </x:c>
      <x:c r="B192" t="str">
        <x:f>Rates_Raw!AF192</x:f>
        <x:v>1094|SFMTA|2024-07-01</x:v>
      </x:c>
      <x:c r="C192" t="str">
        <x:f>Rates_Raw!D192</x:f>
        <x:v>1094</x:v>
      </x:c>
      <x:c r="D192" t="str">
        <x:f>Rates_Raw!C192</x:f>
        <x:v>2024/07/01</x:v>
      </x:c>
      <x:c r="E192" t="str">
        <x:f>Rates_Raw!F192</x:f>
        <x:v>021</x:v>
      </x:c>
      <x:c r="F192" t="n">
        <x:f>COUNTIF(Rates_Raw!$AF$5:$AF$464,B192)</x:f>
        <x:v>1</x:v>
      </x:c>
      <x:c r="G192" t="str">
        <x:f>IF(F192=1,"UNIQUE",IF(COUNTIFS(Rates_Raw!$AF$5:$AF$464,B192,Rates_Raw!$H$5:$H$464,Rates_Raw!H192,Rates_Raw!$L$5:$L$464,Rates_Raw!L192)=F192,"REPEATED SOURCE ROW","CONFLICTING KEY"))</x:f>
        <x:v>UNIQUE</x:v>
      </x:c>
      <x:c r="H192" t="str">
        <x:f>IF(F192&gt;1,"REVIEW","OK")</x:f>
        <x:v>OK</x:v>
      </x:c>
      <x:c r="I192" t="str">
        <x:f>Rates_Raw!H192</x:f>
        <x:v>1094Z</x:v>
      </x:c>
      <x:c r="J192" t="str">
        <x:f>Rates_Raw!L192</x:f>
        <x:v>$59.7375</x:v>
      </x:c>
    </x:row>
    <x:row r="193">
      <x:c r="A193" t="n">
        <x:f>Rates_Raw!A193</x:f>
        <x:v>29786</x:v>
      </x:c>
      <x:c r="B193" t="str">
        <x:f>Rates_Raw!AF193</x:f>
        <x:v>1094|COMMN|2025-01-04</x:v>
      </x:c>
      <x:c r="C193" t="str">
        <x:f>Rates_Raw!D193</x:f>
        <x:v>1094</x:v>
      </x:c>
      <x:c r="D193" t="str">
        <x:f>Rates_Raw!C193</x:f>
        <x:v>2025/01/04</x:v>
      </x:c>
      <x:c r="E193" t="str">
        <x:f>Rates_Raw!F193</x:f>
        <x:v>021</x:v>
      </x:c>
      <x:c r="F193" t="n">
        <x:f>COUNTIF(Rates_Raw!$AF$5:$AF$464,B193)</x:f>
        <x:v>1</x:v>
      </x:c>
      <x:c r="G193" t="str">
        <x:f>IF(F193=1,"UNIQUE",IF(COUNTIFS(Rates_Raw!$AF$5:$AF$464,B193,Rates_Raw!$H$5:$H$464,Rates_Raw!H193,Rates_Raw!$L$5:$L$464,Rates_Raw!L193)=F193,"REPEATED SOURCE ROW","CONFLICTING KEY"))</x:f>
        <x:v>UNIQUE</x:v>
      </x:c>
      <x:c r="H193" t="str">
        <x:f>IF(F193&gt;1,"REVIEW","OK")</x:f>
        <x:v>OK</x:v>
      </x:c>
      <x:c r="I193" t="str">
        <x:f>Rates_Raw!H193</x:f>
        <x:v>1094A</x:v>
      </x:c>
      <x:c r="J193" t="str">
        <x:f>Rates_Raw!L193</x:f>
        <x:v>$60.6375</x:v>
      </x:c>
    </x:row>
    <x:row r="194">
      <x:c r="A194" t="n">
        <x:f>Rates_Raw!A194</x:f>
        <x:v>29787</x:v>
      </x:c>
      <x:c r="B194" t="str">
        <x:f>Rates_Raw!AF194</x:f>
        <x:v>1094|SFMTA|2025-01-04</x:v>
      </x:c>
      <x:c r="C194" t="str">
        <x:f>Rates_Raw!D194</x:f>
        <x:v>1094</x:v>
      </x:c>
      <x:c r="D194" t="str">
        <x:f>Rates_Raw!C194</x:f>
        <x:v>2025/01/04</x:v>
      </x:c>
      <x:c r="E194" t="str">
        <x:f>Rates_Raw!F194</x:f>
        <x:v>021</x:v>
      </x:c>
      <x:c r="F194" t="n">
        <x:f>COUNTIF(Rates_Raw!$AF$5:$AF$464,B194)</x:f>
        <x:v>1</x:v>
      </x:c>
      <x:c r="G194" t="str">
        <x:f>IF(F194=1,"UNIQUE",IF(COUNTIFS(Rates_Raw!$AF$5:$AF$464,B194,Rates_Raw!$H$5:$H$464,Rates_Raw!H194,Rates_Raw!$L$5:$L$464,Rates_Raw!L194)=F194,"REPEATED SOURCE ROW","CONFLICTING KEY"))</x:f>
        <x:v>UNIQUE</x:v>
      </x:c>
      <x:c r="H194" t="str">
        <x:f>IF(F194&gt;1,"REVIEW","OK")</x:f>
        <x:v>OK</x:v>
      </x:c>
      <x:c r="I194" t="str">
        <x:f>Rates_Raw!H194</x:f>
        <x:v>1094A</x:v>
      </x:c>
      <x:c r="J194" t="str">
        <x:f>Rates_Raw!L194</x:f>
        <x:v>$60.6375</x:v>
      </x:c>
    </x:row>
    <x:row r="195">
      <x:c r="A195" t="n">
        <x:f>Rates_Raw!A195</x:f>
        <x:v>31499</x:v>
      </x:c>
      <x:c r="B195" t="str">
        <x:f>Rates_Raw!AF195</x:f>
        <x:v>1094|COMMN|2025-07-01</x:v>
      </x:c>
      <x:c r="C195" t="str">
        <x:f>Rates_Raw!D195</x:f>
        <x:v>1094</x:v>
      </x:c>
      <x:c r="D195" t="str">
        <x:f>Rates_Raw!C195</x:f>
        <x:v>2025/07/01</x:v>
      </x:c>
      <x:c r="E195" t="str">
        <x:f>Rates_Raw!F195</x:f>
        <x:v>021</x:v>
      </x:c>
      <x:c r="F195" t="n">
        <x:f>COUNTIF(Rates_Raw!$AF$5:$AF$464,B195)</x:f>
        <x:v>1</x:v>
      </x:c>
      <x:c r="G195" t="str">
        <x:f>IF(F195=1,"UNIQUE",IF(COUNTIFS(Rates_Raw!$AF$5:$AF$464,B195,Rates_Raw!$H$5:$H$464,Rates_Raw!H195,Rates_Raw!$L$5:$L$464,Rates_Raw!L195)=F195,"REPEATED SOURCE ROW","CONFLICTING KEY"))</x:f>
        <x:v>UNIQUE</x:v>
      </x:c>
      <x:c r="H195" t="str">
        <x:f>IF(F195&gt;1,"REVIEW","OK")</x:f>
        <x:v>OK</x:v>
      </x:c>
      <x:c r="I195" t="str">
        <x:f>Rates_Raw!H195</x:f>
        <x:v>1094B</x:v>
      </x:c>
      <x:c r="J195" t="str">
        <x:f>Rates_Raw!L195</x:f>
        <x:v>$61.8625</x:v>
      </x:c>
    </x:row>
    <x:row r="196">
      <x:c r="A196" t="n">
        <x:f>Rates_Raw!A196</x:f>
        <x:v>31500</x:v>
      </x:c>
      <x:c r="B196" t="str">
        <x:f>Rates_Raw!AF196</x:f>
        <x:v>1094|SFMTA|2025-07-01</x:v>
      </x:c>
      <x:c r="C196" t="str">
        <x:f>Rates_Raw!D196</x:f>
        <x:v>1094</x:v>
      </x:c>
      <x:c r="D196" t="str">
        <x:f>Rates_Raw!C196</x:f>
        <x:v>2025/07/01</x:v>
      </x:c>
      <x:c r="E196" t="str">
        <x:f>Rates_Raw!F196</x:f>
        <x:v>021</x:v>
      </x:c>
      <x:c r="F196" t="n">
        <x:f>COUNTIF(Rates_Raw!$AF$5:$AF$464,B196)</x:f>
        <x:v>1</x:v>
      </x:c>
      <x:c r="G196" t="str">
        <x:f>IF(F196=1,"UNIQUE",IF(COUNTIFS(Rates_Raw!$AF$5:$AF$464,B196,Rates_Raw!$H$5:$H$464,Rates_Raw!H196,Rates_Raw!$L$5:$L$464,Rates_Raw!L196)=F196,"REPEATED SOURCE ROW","CONFLICTING KEY"))</x:f>
        <x:v>UNIQUE</x:v>
      </x:c>
      <x:c r="H196" t="str">
        <x:f>IF(F196&gt;1,"REVIEW","OK")</x:f>
        <x:v>OK</x:v>
      </x:c>
      <x:c r="I196" t="str">
        <x:f>Rates_Raw!H196</x:f>
        <x:v>1094B</x:v>
      </x:c>
      <x:c r="J196" t="str">
        <x:f>Rates_Raw!L196</x:f>
        <x:v>$61.8625</x:v>
      </x:c>
    </x:row>
    <x:row r="197">
      <x:c r="A197" t="n">
        <x:f>Rates_Raw!A197</x:f>
        <x:v>33185</x:v>
      </x:c>
      <x:c r="B197" t="str">
        <x:f>Rates_Raw!AF197</x:f>
        <x:v>1094|COMMN|2026-01-03</x:v>
      </x:c>
      <x:c r="C197" t="str">
        <x:f>Rates_Raw!D197</x:f>
        <x:v>1094</x:v>
      </x:c>
      <x:c r="D197" t="str">
        <x:f>Rates_Raw!C197</x:f>
        <x:v>2026/01/03</x:v>
      </x:c>
      <x:c r="E197" t="str">
        <x:f>Rates_Raw!F197</x:f>
        <x:v>021</x:v>
      </x:c>
      <x:c r="F197" t="n">
        <x:f>COUNTIF(Rates_Raw!$AF$5:$AF$464,B197)</x:f>
        <x:v>1</x:v>
      </x:c>
      <x:c r="G197" t="str">
        <x:f>IF(F197=1,"UNIQUE",IF(COUNTIFS(Rates_Raw!$AF$5:$AF$464,B197,Rates_Raw!$H$5:$H$464,Rates_Raw!H197,Rates_Raw!$L$5:$L$464,Rates_Raw!L197)=F197,"REPEATED SOURCE ROW","CONFLICTING KEY"))</x:f>
        <x:v>UNIQUE</x:v>
      </x:c>
      <x:c r="H197" t="str">
        <x:f>IF(F197&gt;1,"REVIEW","OK")</x:f>
        <x:v>OK</x:v>
      </x:c>
      <x:c r="I197" t="str">
        <x:f>Rates_Raw!H197</x:f>
        <x:v>1094C</x:v>
      </x:c>
      <x:c r="J197" t="str">
        <x:f>Rates_Raw!L197</x:f>
        <x:v>$62.7875</x:v>
      </x:c>
    </x:row>
    <x:row r="198">
      <x:c r="A198" t="n">
        <x:f>Rates_Raw!A198</x:f>
        <x:v>33186</x:v>
      </x:c>
      <x:c r="B198" t="str">
        <x:f>Rates_Raw!AF198</x:f>
        <x:v>1094|SFMTA|2026-01-03</x:v>
      </x:c>
      <x:c r="C198" t="str">
        <x:f>Rates_Raw!D198</x:f>
        <x:v>1094</x:v>
      </x:c>
      <x:c r="D198" t="str">
        <x:f>Rates_Raw!C198</x:f>
        <x:v>2026/01/03</x:v>
      </x:c>
      <x:c r="E198" t="str">
        <x:f>Rates_Raw!F198</x:f>
        <x:v>021</x:v>
      </x:c>
      <x:c r="F198" t="n">
        <x:f>COUNTIF(Rates_Raw!$AF$5:$AF$464,B198)</x:f>
        <x:v>1</x:v>
      </x:c>
      <x:c r="G198" t="str">
        <x:f>IF(F198=1,"UNIQUE",IF(COUNTIFS(Rates_Raw!$AF$5:$AF$464,B198,Rates_Raw!$H$5:$H$464,Rates_Raw!H198,Rates_Raw!$L$5:$L$464,Rates_Raw!L198)=F198,"REPEATED SOURCE ROW","CONFLICTING KEY"))</x:f>
        <x:v>UNIQUE</x:v>
      </x:c>
      <x:c r="H198" t="str">
        <x:f>IF(F198&gt;1,"REVIEW","OK")</x:f>
        <x:v>OK</x:v>
      </x:c>
      <x:c r="I198" t="str">
        <x:f>Rates_Raw!H198</x:f>
        <x:v>1094C</x:v>
      </x:c>
      <x:c r="J198" t="str">
        <x:f>Rates_Raw!L198</x:f>
        <x:v>$62.7875</x:v>
      </x:c>
    </x:row>
    <x:row r="199">
      <x:c r="A199" t="n">
        <x:f>Rates_Raw!A199</x:f>
        <x:v>26340</x:v>
      </x:c>
      <x:c r="B199" t="str">
        <x:f>Rates_Raw!AF199</x:f>
        <x:v>1095|COMMN|2024-01-06</x:v>
      </x:c>
      <x:c r="C199" t="str">
        <x:f>Rates_Raw!D199</x:f>
        <x:v>1095</x:v>
      </x:c>
      <x:c r="D199" t="str">
        <x:f>Rates_Raw!C199</x:f>
        <x:v>2024/01/06</x:v>
      </x:c>
      <x:c r="E199" t="str">
        <x:f>Rates_Raw!F199</x:f>
        <x:v>021</x:v>
      </x:c>
      <x:c r="F199" t="n">
        <x:f>COUNTIF(Rates_Raw!$AF$5:$AF$464,B199)</x:f>
        <x:v>1</x:v>
      </x:c>
      <x:c r="G199" t="str">
        <x:f>IF(F199=1,"UNIQUE",IF(COUNTIFS(Rates_Raw!$AF$5:$AF$464,B199,Rates_Raw!$H$5:$H$464,Rates_Raw!H199,Rates_Raw!$L$5:$L$464,Rates_Raw!L199)=F199,"REPEATED SOURCE ROW","CONFLICTING KEY"))</x:f>
        <x:v>UNIQUE</x:v>
      </x:c>
      <x:c r="H199" t="str">
        <x:f>IF(F199&gt;1,"REVIEW","OK")</x:f>
        <x:v>OK</x:v>
      </x:c>
      <x:c r="I199" t="str">
        <x:f>Rates_Raw!H199</x:f>
        <x:v>1095Y</x:v>
      </x:c>
      <x:c r="J199" t="str">
        <x:f>Rates_Raw!L199</x:f>
        <x:v>$62.6875</x:v>
      </x:c>
    </x:row>
    <x:row r="200">
      <x:c r="A200" t="n">
        <x:f>Rates_Raw!A200</x:f>
        <x:v>26341</x:v>
      </x:c>
      <x:c r="B200" t="str">
        <x:f>Rates_Raw!AF200</x:f>
        <x:v>1095|SFMTA|2024-01-06</x:v>
      </x:c>
      <x:c r="C200" t="str">
        <x:f>Rates_Raw!D200</x:f>
        <x:v>1095</x:v>
      </x:c>
      <x:c r="D200" t="str">
        <x:f>Rates_Raw!C200</x:f>
        <x:v>2024/01/06</x:v>
      </x:c>
      <x:c r="E200" t="str">
        <x:f>Rates_Raw!F200</x:f>
        <x:v>021</x:v>
      </x:c>
      <x:c r="F200" t="n">
        <x:f>COUNTIF(Rates_Raw!$AF$5:$AF$464,B200)</x:f>
        <x:v>1</x:v>
      </x:c>
      <x:c r="G200" t="str">
        <x:f>IF(F200=1,"UNIQUE",IF(COUNTIFS(Rates_Raw!$AF$5:$AF$464,B200,Rates_Raw!$H$5:$H$464,Rates_Raw!H200,Rates_Raw!$L$5:$L$464,Rates_Raw!L200)=F200,"REPEATED SOURCE ROW","CONFLICTING KEY"))</x:f>
        <x:v>UNIQUE</x:v>
      </x:c>
      <x:c r="H200" t="str">
        <x:f>IF(F200&gt;1,"REVIEW","OK")</x:f>
        <x:v>OK</x:v>
      </x:c>
      <x:c r="I200" t="str">
        <x:f>Rates_Raw!H200</x:f>
        <x:v>1095Y</x:v>
      </x:c>
      <x:c r="J200" t="str">
        <x:f>Rates_Raw!L200</x:f>
        <x:v>$62.6875</x:v>
      </x:c>
    </x:row>
    <x:row r="201">
      <x:c r="A201" t="n">
        <x:f>Rates_Raw!A201</x:f>
        <x:v>28082</x:v>
      </x:c>
      <x:c r="B201" t="str">
        <x:f>Rates_Raw!AF201</x:f>
        <x:v>1095|COMMN|2024-07-01</x:v>
      </x:c>
      <x:c r="C201" t="str">
        <x:f>Rates_Raw!D201</x:f>
        <x:v>1095</x:v>
      </x:c>
      <x:c r="D201" t="str">
        <x:f>Rates_Raw!C201</x:f>
        <x:v>2024/07/01</x:v>
      </x:c>
      <x:c r="E201" t="str">
        <x:f>Rates_Raw!F201</x:f>
        <x:v>021</x:v>
      </x:c>
      <x:c r="F201" t="n">
        <x:f>COUNTIF(Rates_Raw!$AF$5:$AF$464,B201)</x:f>
        <x:v>1</x:v>
      </x:c>
      <x:c r="G201" t="str">
        <x:f>IF(F201=1,"UNIQUE",IF(COUNTIFS(Rates_Raw!$AF$5:$AF$464,B201,Rates_Raw!$H$5:$H$464,Rates_Raw!H201,Rates_Raw!$L$5:$L$464,Rates_Raw!L201)=F201,"REPEATED SOURCE ROW","CONFLICTING KEY"))</x:f>
        <x:v>UNIQUE</x:v>
      </x:c>
      <x:c r="H201" t="str">
        <x:f>IF(F201&gt;1,"REVIEW","OK")</x:f>
        <x:v>OK</x:v>
      </x:c>
      <x:c r="I201" t="str">
        <x:f>Rates_Raw!H201</x:f>
        <x:v>1095Z</x:v>
      </x:c>
      <x:c r="J201" t="str">
        <x:f>Rates_Raw!L201</x:f>
        <x:v>$64.2500</x:v>
      </x:c>
    </x:row>
    <x:row r="202">
      <x:c r="A202" t="n">
        <x:f>Rates_Raw!A202</x:f>
        <x:v>28083</x:v>
      </x:c>
      <x:c r="B202" t="str">
        <x:f>Rates_Raw!AF202</x:f>
        <x:v>1095|SFMTA|2024-07-01</x:v>
      </x:c>
      <x:c r="C202" t="str">
        <x:f>Rates_Raw!D202</x:f>
        <x:v>1095</x:v>
      </x:c>
      <x:c r="D202" t="str">
        <x:f>Rates_Raw!C202</x:f>
        <x:v>2024/07/01</x:v>
      </x:c>
      <x:c r="E202" t="str">
        <x:f>Rates_Raw!F202</x:f>
        <x:v>021</x:v>
      </x:c>
      <x:c r="F202" t="n">
        <x:f>COUNTIF(Rates_Raw!$AF$5:$AF$464,B202)</x:f>
        <x:v>1</x:v>
      </x:c>
      <x:c r="G202" t="str">
        <x:f>IF(F202=1,"UNIQUE",IF(COUNTIFS(Rates_Raw!$AF$5:$AF$464,B202,Rates_Raw!$H$5:$H$464,Rates_Raw!H202,Rates_Raw!$L$5:$L$464,Rates_Raw!L202)=F202,"REPEATED SOURCE ROW","CONFLICTING KEY"))</x:f>
        <x:v>UNIQUE</x:v>
      </x:c>
      <x:c r="H202" t="str">
        <x:f>IF(F202&gt;1,"REVIEW","OK")</x:f>
        <x:v>OK</x:v>
      </x:c>
      <x:c r="I202" t="str">
        <x:f>Rates_Raw!H202</x:f>
        <x:v>1095Z</x:v>
      </x:c>
      <x:c r="J202" t="str">
        <x:f>Rates_Raw!L202</x:f>
        <x:v>$64.2500</x:v>
      </x:c>
    </x:row>
    <x:row r="203">
      <x:c r="A203" t="n">
        <x:f>Rates_Raw!A203</x:f>
        <x:v>29788</x:v>
      </x:c>
      <x:c r="B203" t="str">
        <x:f>Rates_Raw!AF203</x:f>
        <x:v>1095|COMMN|2025-01-04</x:v>
      </x:c>
      <x:c r="C203" t="str">
        <x:f>Rates_Raw!D203</x:f>
        <x:v>1095</x:v>
      </x:c>
      <x:c r="D203" t="str">
        <x:f>Rates_Raw!C203</x:f>
        <x:v>2025/01/04</x:v>
      </x:c>
      <x:c r="E203" t="str">
        <x:f>Rates_Raw!F203</x:f>
        <x:v>021</x:v>
      </x:c>
      <x:c r="F203" t="n">
        <x:f>COUNTIF(Rates_Raw!$AF$5:$AF$464,B203)</x:f>
        <x:v>1</x:v>
      </x:c>
      <x:c r="G203" t="str">
        <x:f>IF(F203=1,"UNIQUE",IF(COUNTIFS(Rates_Raw!$AF$5:$AF$464,B203,Rates_Raw!$H$5:$H$464,Rates_Raw!H203,Rates_Raw!$L$5:$L$464,Rates_Raw!L203)=F203,"REPEATED SOURCE ROW","CONFLICTING KEY"))</x:f>
        <x:v>UNIQUE</x:v>
      </x:c>
      <x:c r="H203" t="str">
        <x:f>IF(F203&gt;1,"REVIEW","OK")</x:f>
        <x:v>OK</x:v>
      </x:c>
      <x:c r="I203" t="str">
        <x:f>Rates_Raw!H203</x:f>
        <x:v>1095A</x:v>
      </x:c>
      <x:c r="J203" t="str">
        <x:f>Rates_Raw!L203</x:f>
        <x:v>$65.2125</x:v>
      </x:c>
    </x:row>
    <x:row r="204">
      <x:c r="A204" t="n">
        <x:f>Rates_Raw!A204</x:f>
        <x:v>29789</x:v>
      </x:c>
      <x:c r="B204" t="str">
        <x:f>Rates_Raw!AF204</x:f>
        <x:v>1095|SFMTA|2025-01-04</x:v>
      </x:c>
      <x:c r="C204" t="str">
        <x:f>Rates_Raw!D204</x:f>
        <x:v>1095</x:v>
      </x:c>
      <x:c r="D204" t="str">
        <x:f>Rates_Raw!C204</x:f>
        <x:v>2025/01/04</x:v>
      </x:c>
      <x:c r="E204" t="str">
        <x:f>Rates_Raw!F204</x:f>
        <x:v>021</x:v>
      </x:c>
      <x:c r="F204" t="n">
        <x:f>COUNTIF(Rates_Raw!$AF$5:$AF$464,B204)</x:f>
        <x:v>1</x:v>
      </x:c>
      <x:c r="G204" t="str">
        <x:f>IF(F204=1,"UNIQUE",IF(COUNTIFS(Rates_Raw!$AF$5:$AF$464,B204,Rates_Raw!$H$5:$H$464,Rates_Raw!H204,Rates_Raw!$L$5:$L$464,Rates_Raw!L204)=F204,"REPEATED SOURCE ROW","CONFLICTING KEY"))</x:f>
        <x:v>UNIQUE</x:v>
      </x:c>
      <x:c r="H204" t="str">
        <x:f>IF(F204&gt;1,"REVIEW","OK")</x:f>
        <x:v>OK</x:v>
      </x:c>
      <x:c r="I204" t="str">
        <x:f>Rates_Raw!H204</x:f>
        <x:v>1095A</x:v>
      </x:c>
      <x:c r="J204" t="str">
        <x:f>Rates_Raw!L204</x:f>
        <x:v>$65.2125</x:v>
      </x:c>
    </x:row>
    <x:row r="205">
      <x:c r="A205" t="n">
        <x:f>Rates_Raw!A205</x:f>
        <x:v>31501</x:v>
      </x:c>
      <x:c r="B205" t="str">
        <x:f>Rates_Raw!AF205</x:f>
        <x:v>1095|COMMN|2025-07-01</x:v>
      </x:c>
      <x:c r="C205" t="str">
        <x:f>Rates_Raw!D205</x:f>
        <x:v>1095</x:v>
      </x:c>
      <x:c r="D205" t="str">
        <x:f>Rates_Raw!C205</x:f>
        <x:v>2025/07/01</x:v>
      </x:c>
      <x:c r="E205" t="str">
        <x:f>Rates_Raw!F205</x:f>
        <x:v>021</x:v>
      </x:c>
      <x:c r="F205" t="n">
        <x:f>COUNTIF(Rates_Raw!$AF$5:$AF$464,B205)</x:f>
        <x:v>1</x:v>
      </x:c>
      <x:c r="G205" t="str">
        <x:f>IF(F205=1,"UNIQUE",IF(COUNTIFS(Rates_Raw!$AF$5:$AF$464,B205,Rates_Raw!$H$5:$H$464,Rates_Raw!H205,Rates_Raw!$L$5:$L$464,Rates_Raw!L205)=F205,"REPEATED SOURCE ROW","CONFLICTING KEY"))</x:f>
        <x:v>UNIQUE</x:v>
      </x:c>
      <x:c r="H205" t="str">
        <x:f>IF(F205&gt;1,"REVIEW","OK")</x:f>
        <x:v>OK</x:v>
      </x:c>
      <x:c r="I205" t="str">
        <x:f>Rates_Raw!H205</x:f>
        <x:v>1095B</x:v>
      </x:c>
      <x:c r="J205" t="str">
        <x:f>Rates_Raw!L205</x:f>
        <x:v>$66.5250</x:v>
      </x:c>
    </x:row>
    <x:row r="206">
      <x:c r="A206" t="n">
        <x:f>Rates_Raw!A206</x:f>
        <x:v>31502</x:v>
      </x:c>
      <x:c r="B206" t="str">
        <x:f>Rates_Raw!AF206</x:f>
        <x:v>1095|SFMTA|2025-07-01</x:v>
      </x:c>
      <x:c r="C206" t="str">
        <x:f>Rates_Raw!D206</x:f>
        <x:v>1095</x:v>
      </x:c>
      <x:c r="D206" t="str">
        <x:f>Rates_Raw!C206</x:f>
        <x:v>2025/07/01</x:v>
      </x:c>
      <x:c r="E206" t="str">
        <x:f>Rates_Raw!F206</x:f>
        <x:v>021</x:v>
      </x:c>
      <x:c r="F206" t="n">
        <x:f>COUNTIF(Rates_Raw!$AF$5:$AF$464,B206)</x:f>
        <x:v>1</x:v>
      </x:c>
      <x:c r="G206" t="str">
        <x:f>IF(F206=1,"UNIQUE",IF(COUNTIFS(Rates_Raw!$AF$5:$AF$464,B206,Rates_Raw!$H$5:$H$464,Rates_Raw!H206,Rates_Raw!$L$5:$L$464,Rates_Raw!L206)=F206,"REPEATED SOURCE ROW","CONFLICTING KEY"))</x:f>
        <x:v>UNIQUE</x:v>
      </x:c>
      <x:c r="H206" t="str">
        <x:f>IF(F206&gt;1,"REVIEW","OK")</x:f>
        <x:v>OK</x:v>
      </x:c>
      <x:c r="I206" t="str">
        <x:f>Rates_Raw!H206</x:f>
        <x:v>1095B</x:v>
      </x:c>
      <x:c r="J206" t="str">
        <x:f>Rates_Raw!L206</x:f>
        <x:v>$66.5250</x:v>
      </x:c>
    </x:row>
    <x:row r="207">
      <x:c r="A207" t="n">
        <x:f>Rates_Raw!A207</x:f>
        <x:v>33187</x:v>
      </x:c>
      <x:c r="B207" t="str">
        <x:f>Rates_Raw!AF207</x:f>
        <x:v>1095|COMMN|2026-01-03</x:v>
      </x:c>
      <x:c r="C207" t="str">
        <x:f>Rates_Raw!D207</x:f>
        <x:v>1095</x:v>
      </x:c>
      <x:c r="D207" t="str">
        <x:f>Rates_Raw!C207</x:f>
        <x:v>2026/01/03</x:v>
      </x:c>
      <x:c r="E207" t="str">
        <x:f>Rates_Raw!F207</x:f>
        <x:v>021</x:v>
      </x:c>
      <x:c r="F207" t="n">
        <x:f>COUNTIF(Rates_Raw!$AF$5:$AF$464,B207)</x:f>
        <x:v>1</x:v>
      </x:c>
      <x:c r="G207" t="str">
        <x:f>IF(F207=1,"UNIQUE",IF(COUNTIFS(Rates_Raw!$AF$5:$AF$464,B207,Rates_Raw!$H$5:$H$464,Rates_Raw!H207,Rates_Raw!$L$5:$L$464,Rates_Raw!L207)=F207,"REPEATED SOURCE ROW","CONFLICTING KEY"))</x:f>
        <x:v>UNIQUE</x:v>
      </x:c>
      <x:c r="H207" t="str">
        <x:f>IF(F207&gt;1,"REVIEW","OK")</x:f>
        <x:v>OK</x:v>
      </x:c>
      <x:c r="I207" t="str">
        <x:f>Rates_Raw!H207</x:f>
        <x:v>1095C</x:v>
      </x:c>
      <x:c r="J207" t="str">
        <x:f>Rates_Raw!L207</x:f>
        <x:v>$67.5250</x:v>
      </x:c>
    </x:row>
    <x:row r="208">
      <x:c r="A208" t="n">
        <x:f>Rates_Raw!A208</x:f>
        <x:v>33188</x:v>
      </x:c>
      <x:c r="B208" t="str">
        <x:f>Rates_Raw!AF208</x:f>
        <x:v>1095|SFMTA|2026-01-03</x:v>
      </x:c>
      <x:c r="C208" t="str">
        <x:f>Rates_Raw!D208</x:f>
        <x:v>1095</x:v>
      </x:c>
      <x:c r="D208" t="str">
        <x:f>Rates_Raw!C208</x:f>
        <x:v>2026/01/03</x:v>
      </x:c>
      <x:c r="E208" t="str">
        <x:f>Rates_Raw!F208</x:f>
        <x:v>021</x:v>
      </x:c>
      <x:c r="F208" t="n">
        <x:f>COUNTIF(Rates_Raw!$AF$5:$AF$464,B208)</x:f>
        <x:v>1</x:v>
      </x:c>
      <x:c r="G208" t="str">
        <x:f>IF(F208=1,"UNIQUE",IF(COUNTIFS(Rates_Raw!$AF$5:$AF$464,B208,Rates_Raw!$H$5:$H$464,Rates_Raw!H208,Rates_Raw!$L$5:$L$464,Rates_Raw!L208)=F208,"REPEATED SOURCE ROW","CONFLICTING KEY"))</x:f>
        <x:v>UNIQUE</x:v>
      </x:c>
      <x:c r="H208" t="str">
        <x:f>IF(F208&gt;1,"REVIEW","OK")</x:f>
        <x:v>OK</x:v>
      </x:c>
      <x:c r="I208" t="str">
        <x:f>Rates_Raw!H208</x:f>
        <x:v>1095C</x:v>
      </x:c>
      <x:c r="J208" t="str">
        <x:f>Rates_Raw!L208</x:f>
        <x:v>$67.5250</x:v>
      </x:c>
    </x:row>
    <x:row r="209">
      <x:c r="A209" t="n">
        <x:f>Rates_Raw!A209</x:f>
        <x:v>26342</x:v>
      </x:c>
      <x:c r="B209" t="str">
        <x:f>Rates_Raw!AF209</x:f>
        <x:v>1110|COMMN|2024-01-06</x:v>
      </x:c>
      <x:c r="C209" t="str">
        <x:f>Rates_Raw!D209</x:f>
        <x:v>1110</x:v>
      </x:c>
      <x:c r="D209" t="str">
        <x:f>Rates_Raw!C209</x:f>
        <x:v>2024/01/06</x:v>
      </x:c>
      <x:c r="E209" t="str">
        <x:f>Rates_Raw!F209</x:f>
        <x:v>351</x:v>
      </x:c>
      <x:c r="F209" t="n">
        <x:f>COUNTIF(Rates_Raw!$AF$5:$AF$464,B209)</x:f>
        <x:v>1</x:v>
      </x:c>
      <x:c r="G209" t="str">
        <x:f>IF(F209=1,"UNIQUE",IF(COUNTIFS(Rates_Raw!$AF$5:$AF$464,B209,Rates_Raw!$H$5:$H$464,Rates_Raw!H209,Rates_Raw!$L$5:$L$464,Rates_Raw!L209)=F209,"REPEATED SOURCE ROW","CONFLICTING KEY"))</x:f>
        <x:v>UNIQUE</x:v>
      </x:c>
      <x:c r="H209" t="str">
        <x:f>IF(F209&gt;1,"REVIEW","OK")</x:f>
        <x:v>OK</x:v>
      </x:c>
      <x:c r="I209" t="str">
        <x:f>Rates_Raw!H209</x:f>
        <x:v>1110Y</x:v>
      </x:c>
      <x:c r="J209" t="str">
        <x:f>Rates_Raw!L209</x:f>
        <x:v>$61.5750</x:v>
      </x:c>
    </x:row>
    <x:row r="210">
      <x:c r="A210" t="n">
        <x:f>Rates_Raw!A210</x:f>
        <x:v>26343</x:v>
      </x:c>
      <x:c r="B210" t="str">
        <x:f>Rates_Raw!AF210</x:f>
        <x:v>1110|SFMTA|2024-01-06</x:v>
      </x:c>
      <x:c r="C210" t="str">
        <x:f>Rates_Raw!D210</x:f>
        <x:v>1110</x:v>
      </x:c>
      <x:c r="D210" t="str">
        <x:f>Rates_Raw!C210</x:f>
        <x:v>2024/01/06</x:v>
      </x:c>
      <x:c r="E210" t="str">
        <x:f>Rates_Raw!F210</x:f>
        <x:v>351</x:v>
      </x:c>
      <x:c r="F210" t="n">
        <x:f>COUNTIF(Rates_Raw!$AF$5:$AF$464,B210)</x:f>
        <x:v>1</x:v>
      </x:c>
      <x:c r="G210" t="str">
        <x:f>IF(F210=1,"UNIQUE",IF(COUNTIFS(Rates_Raw!$AF$5:$AF$464,B210,Rates_Raw!$H$5:$H$464,Rates_Raw!H210,Rates_Raw!$L$5:$L$464,Rates_Raw!L210)=F210,"REPEATED SOURCE ROW","CONFLICTING KEY"))</x:f>
        <x:v>UNIQUE</x:v>
      </x:c>
      <x:c r="H210" t="str">
        <x:f>IF(F210&gt;1,"REVIEW","OK")</x:f>
        <x:v>OK</x:v>
      </x:c>
      <x:c r="I210" t="str">
        <x:f>Rates_Raw!H210</x:f>
        <x:v>1110Y</x:v>
      </x:c>
      <x:c r="J210" t="str">
        <x:f>Rates_Raw!L210</x:f>
        <x:v>$61.5750</x:v>
      </x:c>
    </x:row>
    <x:row r="211">
      <x:c r="A211" t="n">
        <x:f>Rates_Raw!A211</x:f>
        <x:v>28084</x:v>
      </x:c>
      <x:c r="B211" t="str">
        <x:f>Rates_Raw!AF211</x:f>
        <x:v>1110|COMMN|2024-07-01</x:v>
      </x:c>
      <x:c r="C211" t="str">
        <x:f>Rates_Raw!D211</x:f>
        <x:v>1110</x:v>
      </x:c>
      <x:c r="D211" t="str">
        <x:f>Rates_Raw!C211</x:f>
        <x:v>2024/07/01</x:v>
      </x:c>
      <x:c r="E211" t="str">
        <x:f>Rates_Raw!F211</x:f>
        <x:v>351</x:v>
      </x:c>
      <x:c r="F211" t="n">
        <x:f>COUNTIF(Rates_Raw!$AF$5:$AF$464,B211)</x:f>
        <x:v>1</x:v>
      </x:c>
      <x:c r="G211" t="str">
        <x:f>IF(F211=1,"UNIQUE",IF(COUNTIFS(Rates_Raw!$AF$5:$AF$464,B211,Rates_Raw!$H$5:$H$464,Rates_Raw!H211,Rates_Raw!$L$5:$L$464,Rates_Raw!L211)=F211,"REPEATED SOURCE ROW","CONFLICTING KEY"))</x:f>
        <x:v>UNIQUE</x:v>
      </x:c>
      <x:c r="H211" t="str">
        <x:f>IF(F211&gt;1,"REVIEW","OK")</x:f>
        <x:v>OK</x:v>
      </x:c>
      <x:c r="I211" t="str">
        <x:f>Rates_Raw!H211</x:f>
        <x:v>1110Z</x:v>
      </x:c>
      <x:c r="J211" t="str">
        <x:f>Rates_Raw!L211</x:f>
        <x:v>$62.5000</x:v>
      </x:c>
    </x:row>
    <x:row r="212">
      <x:c r="A212" t="n">
        <x:f>Rates_Raw!A212</x:f>
        <x:v>28085</x:v>
      </x:c>
      <x:c r="B212" t="str">
        <x:f>Rates_Raw!AF212</x:f>
        <x:v>1110|SFMTA|2024-07-01</x:v>
      </x:c>
      <x:c r="C212" t="str">
        <x:f>Rates_Raw!D212</x:f>
        <x:v>1110</x:v>
      </x:c>
      <x:c r="D212" t="str">
        <x:f>Rates_Raw!C212</x:f>
        <x:v>2024/07/01</x:v>
      </x:c>
      <x:c r="E212" t="str">
        <x:f>Rates_Raw!F212</x:f>
        <x:v>351</x:v>
      </x:c>
      <x:c r="F212" t="n">
        <x:f>COUNTIF(Rates_Raw!$AF$5:$AF$464,B212)</x:f>
        <x:v>1</x:v>
      </x:c>
      <x:c r="G212" t="str">
        <x:f>IF(F212=1,"UNIQUE",IF(COUNTIFS(Rates_Raw!$AF$5:$AF$464,B212,Rates_Raw!$H$5:$H$464,Rates_Raw!H212,Rates_Raw!$L$5:$L$464,Rates_Raw!L212)=F212,"REPEATED SOURCE ROW","CONFLICTING KEY"))</x:f>
        <x:v>UNIQUE</x:v>
      </x:c>
      <x:c r="H212" t="str">
        <x:f>IF(F212&gt;1,"REVIEW","OK")</x:f>
        <x:v>OK</x:v>
      </x:c>
      <x:c r="I212" t="str">
        <x:f>Rates_Raw!H212</x:f>
        <x:v>1110Z</x:v>
      </x:c>
      <x:c r="J212" t="str">
        <x:f>Rates_Raw!L212</x:f>
        <x:v>$62.5000</x:v>
      </x:c>
    </x:row>
    <x:row r="213">
      <x:c r="A213" t="n">
        <x:f>Rates_Raw!A213</x:f>
        <x:v>29790</x:v>
      </x:c>
      <x:c r="B213" t="str">
        <x:f>Rates_Raw!AF213</x:f>
        <x:v>1110|COMMN|2025-01-04</x:v>
      </x:c>
      <x:c r="C213" t="str">
        <x:f>Rates_Raw!D213</x:f>
        <x:v>1110</x:v>
      </x:c>
      <x:c r="D213" t="str">
        <x:f>Rates_Raw!C213</x:f>
        <x:v>2025/01/04</x:v>
      </x:c>
      <x:c r="E213" t="str">
        <x:f>Rates_Raw!F213</x:f>
        <x:v>351</x:v>
      </x:c>
      <x:c r="F213" t="n">
        <x:f>COUNTIF(Rates_Raw!$AF$5:$AF$464,B213)</x:f>
        <x:v>1</x:v>
      </x:c>
      <x:c r="G213" t="str">
        <x:f>IF(F213=1,"UNIQUE",IF(COUNTIFS(Rates_Raw!$AF$5:$AF$464,B213,Rates_Raw!$H$5:$H$464,Rates_Raw!H213,Rates_Raw!$L$5:$L$464,Rates_Raw!L213)=F213,"REPEATED SOURCE ROW","CONFLICTING KEY"))</x:f>
        <x:v>UNIQUE</x:v>
      </x:c>
      <x:c r="H213" t="str">
        <x:f>IF(F213&gt;1,"REVIEW","OK")</x:f>
        <x:v>OK</x:v>
      </x:c>
      <x:c r="I213" t="str">
        <x:f>Rates_Raw!H213</x:f>
        <x:v>1110A</x:v>
      </x:c>
      <x:c r="J213" t="str">
        <x:f>Rates_Raw!L213</x:f>
        <x:v>$63.4375</x:v>
      </x:c>
    </x:row>
    <x:row r="214">
      <x:c r="A214" t="n">
        <x:f>Rates_Raw!A214</x:f>
        <x:v>29791</x:v>
      </x:c>
      <x:c r="B214" t="str">
        <x:f>Rates_Raw!AF214</x:f>
        <x:v>1110|SFMTA|2025-01-04</x:v>
      </x:c>
      <x:c r="C214" t="str">
        <x:f>Rates_Raw!D214</x:f>
        <x:v>1110</x:v>
      </x:c>
      <x:c r="D214" t="str">
        <x:f>Rates_Raw!C214</x:f>
        <x:v>2025/01/04</x:v>
      </x:c>
      <x:c r="E214" t="str">
        <x:f>Rates_Raw!F214</x:f>
        <x:v>351</x:v>
      </x:c>
      <x:c r="F214" t="n">
        <x:f>COUNTIF(Rates_Raw!$AF$5:$AF$464,B214)</x:f>
        <x:v>1</x:v>
      </x:c>
      <x:c r="G214" t="str">
        <x:f>IF(F214=1,"UNIQUE",IF(COUNTIFS(Rates_Raw!$AF$5:$AF$464,B214,Rates_Raw!$H$5:$H$464,Rates_Raw!H214,Rates_Raw!$L$5:$L$464,Rates_Raw!L214)=F214,"REPEATED SOURCE ROW","CONFLICTING KEY"))</x:f>
        <x:v>UNIQUE</x:v>
      </x:c>
      <x:c r="H214" t="str">
        <x:f>IF(F214&gt;1,"REVIEW","OK")</x:f>
        <x:v>OK</x:v>
      </x:c>
      <x:c r="I214" t="str">
        <x:f>Rates_Raw!H214</x:f>
        <x:v>1110A</x:v>
      </x:c>
      <x:c r="J214" t="str">
        <x:f>Rates_Raw!L214</x:f>
        <x:v>$63.4375</x:v>
      </x:c>
    </x:row>
    <x:row r="215">
      <x:c r="A215" t="n">
        <x:f>Rates_Raw!A215</x:f>
        <x:v>31503</x:v>
      </x:c>
      <x:c r="B215" t="str">
        <x:f>Rates_Raw!AF215</x:f>
        <x:v>1110|COMMN|2025-07-01</x:v>
      </x:c>
      <x:c r="C215" t="str">
        <x:f>Rates_Raw!D215</x:f>
        <x:v>1110</x:v>
      </x:c>
      <x:c r="D215" t="str">
        <x:f>Rates_Raw!C215</x:f>
        <x:v>2025/07/01</x:v>
      </x:c>
      <x:c r="E215" t="str">
        <x:f>Rates_Raw!F215</x:f>
        <x:v>351</x:v>
      </x:c>
      <x:c r="F215" t="n">
        <x:f>COUNTIF(Rates_Raw!$AF$5:$AF$464,B215)</x:f>
        <x:v>1</x:v>
      </x:c>
      <x:c r="G215" t="str">
        <x:f>IF(F215=1,"UNIQUE",IF(COUNTIFS(Rates_Raw!$AF$5:$AF$464,B215,Rates_Raw!$H$5:$H$464,Rates_Raw!H215,Rates_Raw!$L$5:$L$464,Rates_Raw!L215)=F215,"REPEATED SOURCE ROW","CONFLICTING KEY"))</x:f>
        <x:v>UNIQUE</x:v>
      </x:c>
      <x:c r="H215" t="str">
        <x:f>IF(F215&gt;1,"REVIEW","OK")</x:f>
        <x:v>OK</x:v>
      </x:c>
      <x:c r="I215" t="str">
        <x:f>Rates_Raw!H215</x:f>
        <x:v>1110B</x:v>
      </x:c>
      <x:c r="J215" t="str">
        <x:f>Rates_Raw!L215</x:f>
        <x:v>$64.7125</x:v>
      </x:c>
    </x:row>
    <x:row r="216">
      <x:c r="A216" t="n">
        <x:f>Rates_Raw!A216</x:f>
        <x:v>31504</x:v>
      </x:c>
      <x:c r="B216" t="str">
        <x:f>Rates_Raw!AF216</x:f>
        <x:v>1110|SFMTA|2025-07-01</x:v>
      </x:c>
      <x:c r="C216" t="str">
        <x:f>Rates_Raw!D216</x:f>
        <x:v>1110</x:v>
      </x:c>
      <x:c r="D216" t="str">
        <x:f>Rates_Raw!C216</x:f>
        <x:v>2025/07/01</x:v>
      </x:c>
      <x:c r="E216" t="str">
        <x:f>Rates_Raw!F216</x:f>
        <x:v>351</x:v>
      </x:c>
      <x:c r="F216" t="n">
        <x:f>COUNTIF(Rates_Raw!$AF$5:$AF$464,B216)</x:f>
        <x:v>1</x:v>
      </x:c>
      <x:c r="G216" t="str">
        <x:f>IF(F216=1,"UNIQUE",IF(COUNTIFS(Rates_Raw!$AF$5:$AF$464,B216,Rates_Raw!$H$5:$H$464,Rates_Raw!H216,Rates_Raw!$L$5:$L$464,Rates_Raw!L216)=F216,"REPEATED SOURCE ROW","CONFLICTING KEY"))</x:f>
        <x:v>UNIQUE</x:v>
      </x:c>
      <x:c r="H216" t="str">
        <x:f>IF(F216&gt;1,"REVIEW","OK")</x:f>
        <x:v>OK</x:v>
      </x:c>
      <x:c r="I216" t="str">
        <x:f>Rates_Raw!H216</x:f>
        <x:v>1110B</x:v>
      </x:c>
      <x:c r="J216" t="str">
        <x:f>Rates_Raw!L216</x:f>
        <x:v>$64.7125</x:v>
      </x:c>
    </x:row>
    <x:row r="217">
      <x:c r="A217" t="n">
        <x:f>Rates_Raw!A217</x:f>
        <x:v>33189</x:v>
      </x:c>
      <x:c r="B217" t="str">
        <x:f>Rates_Raw!AF217</x:f>
        <x:v>1110|COMMN|2026-01-03</x:v>
      </x:c>
      <x:c r="C217" t="str">
        <x:f>Rates_Raw!D217</x:f>
        <x:v>1110</x:v>
      </x:c>
      <x:c r="D217" t="str">
        <x:f>Rates_Raw!C217</x:f>
        <x:v>2026/01/03</x:v>
      </x:c>
      <x:c r="E217" t="str">
        <x:f>Rates_Raw!F217</x:f>
        <x:v>351</x:v>
      </x:c>
      <x:c r="F217" t="n">
        <x:f>COUNTIF(Rates_Raw!$AF$5:$AF$464,B217)</x:f>
        <x:v>1</x:v>
      </x:c>
      <x:c r="G217" t="str">
        <x:f>IF(F217=1,"UNIQUE",IF(COUNTIFS(Rates_Raw!$AF$5:$AF$464,B217,Rates_Raw!$H$5:$H$464,Rates_Raw!H217,Rates_Raw!$L$5:$L$464,Rates_Raw!L217)=F217,"REPEATED SOURCE ROW","CONFLICTING KEY"))</x:f>
        <x:v>UNIQUE</x:v>
      </x:c>
      <x:c r="H217" t="str">
        <x:f>IF(F217&gt;1,"REVIEW","OK")</x:f>
        <x:v>OK</x:v>
      </x:c>
      <x:c r="I217" t="str">
        <x:f>Rates_Raw!H217</x:f>
        <x:v>1110C</x:v>
      </x:c>
      <x:c r="J217" t="str">
        <x:f>Rates_Raw!L217</x:f>
        <x:v>$65.6875</x:v>
      </x:c>
    </x:row>
    <x:row r="218">
      <x:c r="A218" t="n">
        <x:f>Rates_Raw!A218</x:f>
        <x:v>33190</x:v>
      </x:c>
      <x:c r="B218" t="str">
        <x:f>Rates_Raw!AF218</x:f>
        <x:v>1110|SFMTA|2026-01-03</x:v>
      </x:c>
      <x:c r="C218" t="str">
        <x:f>Rates_Raw!D218</x:f>
        <x:v>1110</x:v>
      </x:c>
      <x:c r="D218" t="str">
        <x:f>Rates_Raw!C218</x:f>
        <x:v>2026/01/03</x:v>
      </x:c>
      <x:c r="E218" t="str">
        <x:f>Rates_Raw!F218</x:f>
        <x:v>351</x:v>
      </x:c>
      <x:c r="F218" t="n">
        <x:f>COUNTIF(Rates_Raw!$AF$5:$AF$464,B218)</x:f>
        <x:v>1</x:v>
      </x:c>
      <x:c r="G218" t="str">
        <x:f>IF(F218=1,"UNIQUE",IF(COUNTIFS(Rates_Raw!$AF$5:$AF$464,B218,Rates_Raw!$H$5:$H$464,Rates_Raw!H218,Rates_Raw!$L$5:$L$464,Rates_Raw!L218)=F218,"REPEATED SOURCE ROW","CONFLICTING KEY"))</x:f>
        <x:v>UNIQUE</x:v>
      </x:c>
      <x:c r="H218" t="str">
        <x:f>IF(F218&gt;1,"REVIEW","OK")</x:f>
        <x:v>OK</x:v>
      </x:c>
      <x:c r="I218" t="str">
        <x:f>Rates_Raw!H218</x:f>
        <x:v>1110C</x:v>
      </x:c>
      <x:c r="J218" t="str">
        <x:f>Rates_Raw!L218</x:f>
        <x:v>$65.6875</x:v>
      </x:c>
    </x:row>
    <x:row r="219">
      <x:c r="A219" t="n">
        <x:f>Rates_Raw!A219</x:f>
        <x:v>26344</x:v>
      </x:c>
      <x:c r="B219" t="str">
        <x:f>Rates_Raw!AF219</x:f>
        <x:v>1117|COMMN|2024-01-06</x:v>
      </x:c>
      <x:c r="C219" t="str">
        <x:f>Rates_Raw!D219</x:f>
        <x:v>1117</x:v>
      </x:c>
      <x:c r="D219" t="str">
        <x:f>Rates_Raw!C219</x:f>
        <x:v>2024/01/06</x:v>
      </x:c>
      <x:c r="E219" t="str">
        <x:f>Rates_Raw!F219</x:f>
        <x:v>351</x:v>
      </x:c>
      <x:c r="F219" t="n">
        <x:f>COUNTIF(Rates_Raw!$AF$5:$AF$464,B219)</x:f>
        <x:v>1</x:v>
      </x:c>
      <x:c r="G219" t="str">
        <x:f>IF(F219=1,"UNIQUE",IF(COUNTIFS(Rates_Raw!$AF$5:$AF$464,B219,Rates_Raw!$H$5:$H$464,Rates_Raw!H219,Rates_Raw!$L$5:$L$464,Rates_Raw!L219)=F219,"REPEATED SOURCE ROW","CONFLICTING KEY"))</x:f>
        <x:v>UNIQUE</x:v>
      </x:c>
      <x:c r="H219" t="str">
        <x:f>IF(F219&gt;1,"REVIEW","OK")</x:f>
        <x:v>OK</x:v>
      </x:c>
      <x:c r="I219" t="str">
        <x:f>Rates_Raw!H219</x:f>
        <x:v>1117Y</x:v>
      </x:c>
      <x:c r="J219" t="str">
        <x:f>Rates_Raw!L219</x:f>
        <x:v>$176.2625</x:v>
      </x:c>
    </x:row>
    <x:row r="220">
      <x:c r="A220" t="n">
        <x:f>Rates_Raw!A220</x:f>
        <x:v>28086</x:v>
      </x:c>
      <x:c r="B220" t="str">
        <x:f>Rates_Raw!AF220</x:f>
        <x:v>1117|COMMN|2024-07-01</x:v>
      </x:c>
      <x:c r="C220" t="str">
        <x:f>Rates_Raw!D220</x:f>
        <x:v>1117</x:v>
      </x:c>
      <x:c r="D220" t="str">
        <x:f>Rates_Raw!C220</x:f>
        <x:v>2024/07/01</x:v>
      </x:c>
      <x:c r="E220" t="str">
        <x:f>Rates_Raw!F220</x:f>
        <x:v>351</x:v>
      </x:c>
      <x:c r="F220" t="n">
        <x:f>COUNTIF(Rates_Raw!$AF$5:$AF$464,B220)</x:f>
        <x:v>1</x:v>
      </x:c>
      <x:c r="G220" t="str">
        <x:f>IF(F220=1,"UNIQUE",IF(COUNTIFS(Rates_Raw!$AF$5:$AF$464,B220,Rates_Raw!$H$5:$H$464,Rates_Raw!H220,Rates_Raw!$L$5:$L$464,Rates_Raw!L220)=F220,"REPEATED SOURCE ROW","CONFLICTING KEY"))</x:f>
        <x:v>UNIQUE</x:v>
      </x:c>
      <x:c r="H220" t="str">
        <x:f>IF(F220&gt;1,"REVIEW","OK")</x:f>
        <x:v>OK</x:v>
      </x:c>
      <x:c r="I220" t="str">
        <x:f>Rates_Raw!H220</x:f>
        <x:v>1117Z</x:v>
      </x:c>
      <x:c r="J220" t="str">
        <x:f>Rates_Raw!L220</x:f>
        <x:v>$178.9125</x:v>
      </x:c>
    </x:row>
    <x:row r="221">
      <x:c r="A221" t="n">
        <x:f>Rates_Raw!A221</x:f>
        <x:v>29792</x:v>
      </x:c>
      <x:c r="B221" t="str">
        <x:f>Rates_Raw!AF221</x:f>
        <x:v>1117|COMMN|2025-01-04</x:v>
      </x:c>
      <x:c r="C221" t="str">
        <x:f>Rates_Raw!D221</x:f>
        <x:v>1117</x:v>
      </x:c>
      <x:c r="D221" t="str">
        <x:f>Rates_Raw!C221</x:f>
        <x:v>2025/01/04</x:v>
      </x:c>
      <x:c r="E221" t="str">
        <x:f>Rates_Raw!F221</x:f>
        <x:v>351</x:v>
      </x:c>
      <x:c r="F221" t="n">
        <x:f>COUNTIF(Rates_Raw!$AF$5:$AF$464,B221)</x:f>
        <x:v>1</x:v>
      </x:c>
      <x:c r="G221" t="str">
        <x:f>IF(F221=1,"UNIQUE",IF(COUNTIFS(Rates_Raw!$AF$5:$AF$464,B221,Rates_Raw!$H$5:$H$464,Rates_Raw!H221,Rates_Raw!$L$5:$L$464,Rates_Raw!L221)=F221,"REPEATED SOURCE ROW","CONFLICTING KEY"))</x:f>
        <x:v>UNIQUE</x:v>
      </x:c>
      <x:c r="H221" t="str">
        <x:f>IF(F221&gt;1,"REVIEW","OK")</x:f>
        <x:v>OK</x:v>
      </x:c>
      <x:c r="I221" t="str">
        <x:f>Rates_Raw!H221</x:f>
        <x:v>1117A</x:v>
      </x:c>
      <x:c r="J221" t="str">
        <x:f>Rates_Raw!L221</x:f>
        <x:v>$181.6000</x:v>
      </x:c>
    </x:row>
    <x:row r="222">
      <x:c r="A222" t="n">
        <x:f>Rates_Raw!A222</x:f>
        <x:v>31505</x:v>
      </x:c>
      <x:c r="B222" t="str">
        <x:f>Rates_Raw!AF222</x:f>
        <x:v>1117|COMMN|2025-07-01</x:v>
      </x:c>
      <x:c r="C222" t="str">
        <x:f>Rates_Raw!D222</x:f>
        <x:v>1117</x:v>
      </x:c>
      <x:c r="D222" t="str">
        <x:f>Rates_Raw!C222</x:f>
        <x:v>2025/07/01</x:v>
      </x:c>
      <x:c r="E222" t="str">
        <x:f>Rates_Raw!F222</x:f>
        <x:v>351</x:v>
      </x:c>
      <x:c r="F222" t="n">
        <x:f>COUNTIF(Rates_Raw!$AF$5:$AF$464,B222)</x:f>
        <x:v>1</x:v>
      </x:c>
      <x:c r="G222" t="str">
        <x:f>IF(F222=1,"UNIQUE",IF(COUNTIFS(Rates_Raw!$AF$5:$AF$464,B222,Rates_Raw!$H$5:$H$464,Rates_Raw!H222,Rates_Raw!$L$5:$L$464,Rates_Raw!L222)=F222,"REPEATED SOURCE ROW","CONFLICTING KEY"))</x:f>
        <x:v>UNIQUE</x:v>
      </x:c>
      <x:c r="H222" t="str">
        <x:f>IF(F222&gt;1,"REVIEW","OK")</x:f>
        <x:v>OK</x:v>
      </x:c>
      <x:c r="I222" t="str">
        <x:f>Rates_Raw!H222</x:f>
        <x:v>1117B</x:v>
      </x:c>
      <x:c r="J222" t="str">
        <x:f>Rates_Raw!L222</x:f>
        <x:v>$185.2500</x:v>
      </x:c>
    </x:row>
    <x:row r="223">
      <x:c r="A223" t="n">
        <x:f>Rates_Raw!A223</x:f>
        <x:v>33191</x:v>
      </x:c>
      <x:c r="B223" t="str">
        <x:f>Rates_Raw!AF223</x:f>
        <x:v>1117|COMMN|2026-01-03</x:v>
      </x:c>
      <x:c r="C223" t="str">
        <x:f>Rates_Raw!D223</x:f>
        <x:v>1117</x:v>
      </x:c>
      <x:c r="D223" t="str">
        <x:f>Rates_Raw!C223</x:f>
        <x:v>2026/01/03</x:v>
      </x:c>
      <x:c r="E223" t="str">
        <x:f>Rates_Raw!F223</x:f>
        <x:v>351</x:v>
      </x:c>
      <x:c r="F223" t="n">
        <x:f>COUNTIF(Rates_Raw!$AF$5:$AF$464,B223)</x:f>
        <x:v>1</x:v>
      </x:c>
      <x:c r="G223" t="str">
        <x:f>IF(F223=1,"UNIQUE",IF(COUNTIFS(Rates_Raw!$AF$5:$AF$464,B223,Rates_Raw!$H$5:$H$464,Rates_Raw!H223,Rates_Raw!$L$5:$L$464,Rates_Raw!L223)=F223,"REPEATED SOURCE ROW","CONFLICTING KEY"))</x:f>
        <x:v>UNIQUE</x:v>
      </x:c>
      <x:c r="H223" t="str">
        <x:f>IF(F223&gt;1,"REVIEW","OK")</x:f>
        <x:v>OK</x:v>
      </x:c>
      <x:c r="I223" t="str">
        <x:f>Rates_Raw!H223</x:f>
        <x:v>1117C</x:v>
      </x:c>
      <x:c r="J223" t="str">
        <x:f>Rates_Raw!L223</x:f>
        <x:v>$188.0250</x:v>
      </x:c>
    </x:row>
    <x:row r="224">
      <x:c r="A224" t="n">
        <x:f>Rates_Raw!A224</x:f>
        <x:v>16015</x:v>
      </x:c>
      <x:c r="B224" t="str">
        <x:f>Rates_Raw!AF224</x:f>
        <x:v>1222|COMMN|2020-07-01</x:v>
      </x:c>
      <x:c r="C224" t="str">
        <x:f>Rates_Raw!D224</x:f>
        <x:v>1222</x:v>
      </x:c>
      <x:c r="D224" t="str">
        <x:f>Rates_Raw!C224</x:f>
        <x:v>2020/07/01</x:v>
      </x:c>
      <x:c r="E224" t="str">
        <x:f>Rates_Raw!F224</x:f>
        <x:v>790</x:v>
      </x:c>
      <x:c r="F224" t="n">
        <x:f>COUNTIF(Rates_Raw!$AF$5:$AF$464,B224)</x:f>
        <x:v>1</x:v>
      </x:c>
      <x:c r="G224" t="str">
        <x:f>IF(F224=1,"UNIQUE",IF(COUNTIFS(Rates_Raw!$AF$5:$AF$464,B224,Rates_Raw!$H$5:$H$464,Rates_Raw!H224,Rates_Raw!$L$5:$L$464,Rates_Raw!L224)=F224,"REPEATED SOURCE ROW","CONFLICTING KEY"))</x:f>
        <x:v>UNIQUE</x:v>
      </x:c>
      <x:c r="H224" t="str">
        <x:f>IF(F224&gt;1,"REVIEW","OK")</x:f>
        <x:v>OK</x:v>
      </x:c>
      <x:c r="I224" t="str">
        <x:f>Rates_Raw!H224</x:f>
        <x:v>1222S</x:v>
      </x:c>
      <x:c r="J224" t="str">
        <x:f>Rates_Raw!L224</x:f>
        <x:v>$35.1125</x:v>
      </x:c>
    </x:row>
    <x:row r="225">
      <x:c r="A225" t="n">
        <x:f>Rates_Raw!A225</x:f>
        <x:v>26364</x:v>
      </x:c>
      <x:c r="B225" t="str">
        <x:f>Rates_Raw!AF225</x:f>
        <x:v>1222|COMMN|2024-01-06</x:v>
      </x:c>
      <x:c r="C225" t="str">
        <x:f>Rates_Raw!D225</x:f>
        <x:v>1222</x:v>
      </x:c>
      <x:c r="D225" t="str">
        <x:f>Rates_Raw!C225</x:f>
        <x:v>2024/01/06</x:v>
      </x:c>
      <x:c r="E225" t="str">
        <x:f>Rates_Raw!F225</x:f>
        <x:v>790</x:v>
      </x:c>
      <x:c r="F225" t="n">
        <x:f>COUNTIF(Rates_Raw!$AF$5:$AF$464,B225)</x:f>
        <x:v>1</x:v>
      </x:c>
      <x:c r="G225" t="str">
        <x:f>IF(F225=1,"UNIQUE",IF(COUNTIFS(Rates_Raw!$AF$5:$AF$464,B225,Rates_Raw!$H$5:$H$464,Rates_Raw!H225,Rates_Raw!$L$5:$L$464,Rates_Raw!L225)=F225,"REPEATED SOURCE ROW","CONFLICTING KEY"))</x:f>
        <x:v>UNIQUE</x:v>
      </x:c>
      <x:c r="H225" t="str">
        <x:f>IF(F225&gt;1,"REVIEW","OK")</x:f>
        <x:v>OK</x:v>
      </x:c>
      <x:c r="I225" t="str">
        <x:f>Rates_Raw!H225</x:f>
        <x:v>1222Y</x:v>
      </x:c>
      <x:c r="J225" t="str">
        <x:f>Rates_Raw!L225</x:f>
        <x:v>$41.5000</x:v>
      </x:c>
    </x:row>
    <x:row r="226">
      <x:c r="A226" t="n">
        <x:f>Rates_Raw!A226</x:f>
        <x:v>26365</x:v>
      </x:c>
      <x:c r="B226" t="str">
        <x:f>Rates_Raw!AF226</x:f>
        <x:v>1222|SFMTA|2024-01-06</x:v>
      </x:c>
      <x:c r="C226" t="str">
        <x:f>Rates_Raw!D226</x:f>
        <x:v>1222</x:v>
      </x:c>
      <x:c r="D226" t="str">
        <x:f>Rates_Raw!C226</x:f>
        <x:v>2024/01/06</x:v>
      </x:c>
      <x:c r="E226" t="str">
        <x:f>Rates_Raw!F226</x:f>
        <x:v>790</x:v>
      </x:c>
      <x:c r="F226" t="n">
        <x:f>COUNTIF(Rates_Raw!$AF$5:$AF$464,B226)</x:f>
        <x:v>1</x:v>
      </x:c>
      <x:c r="G226" t="str">
        <x:f>IF(F226=1,"UNIQUE",IF(COUNTIFS(Rates_Raw!$AF$5:$AF$464,B226,Rates_Raw!$H$5:$H$464,Rates_Raw!H226,Rates_Raw!$L$5:$L$464,Rates_Raw!L226)=F226,"REPEATED SOURCE ROW","CONFLICTING KEY"))</x:f>
        <x:v>UNIQUE</x:v>
      </x:c>
      <x:c r="H226" t="str">
        <x:f>IF(F226&gt;1,"REVIEW","OK")</x:f>
        <x:v>OK</x:v>
      </x:c>
      <x:c r="I226" t="str">
        <x:f>Rates_Raw!H226</x:f>
        <x:v>1222Y</x:v>
      </x:c>
      <x:c r="J226" t="str">
        <x:f>Rates_Raw!L226</x:f>
        <x:v>$41.5000</x:v>
      </x:c>
    </x:row>
    <x:row r="227">
      <x:c r="A227" t="n">
        <x:f>Rates_Raw!A227</x:f>
        <x:v>28102</x:v>
      </x:c>
      <x:c r="B227" t="str">
        <x:f>Rates_Raw!AF227</x:f>
        <x:v>1222|COMMN|2024-07-01</x:v>
      </x:c>
      <x:c r="C227" t="str">
        <x:f>Rates_Raw!D227</x:f>
        <x:v>1222</x:v>
      </x:c>
      <x:c r="D227" t="str">
        <x:f>Rates_Raw!C227</x:f>
        <x:v>2024/07/01</x:v>
      </x:c>
      <x:c r="E227" t="str">
        <x:f>Rates_Raw!F227</x:f>
        <x:v>790</x:v>
      </x:c>
      <x:c r="F227" t="n">
        <x:f>COUNTIF(Rates_Raw!$AF$5:$AF$464,B227)</x:f>
        <x:v>1</x:v>
      </x:c>
      <x:c r="G227" t="str">
        <x:f>IF(F227=1,"UNIQUE",IF(COUNTIFS(Rates_Raw!$AF$5:$AF$464,B227,Rates_Raw!$H$5:$H$464,Rates_Raw!H227,Rates_Raw!$L$5:$L$464,Rates_Raw!L227)=F227,"REPEATED SOURCE ROW","CONFLICTING KEY"))</x:f>
        <x:v>UNIQUE</x:v>
      </x:c>
      <x:c r="H227" t="str">
        <x:f>IF(F227&gt;1,"REVIEW","OK")</x:f>
        <x:v>OK</x:v>
      </x:c>
      <x:c r="I227" t="str">
        <x:f>Rates_Raw!H227</x:f>
        <x:v>1222Z</x:v>
      </x:c>
      <x:c r="J227" t="str">
        <x:f>Rates_Raw!L227</x:f>
        <x:v>$42.1250</x:v>
      </x:c>
    </x:row>
    <x:row r="228">
      <x:c r="A228" t="n">
        <x:f>Rates_Raw!A228</x:f>
        <x:v>28103</x:v>
      </x:c>
      <x:c r="B228" t="str">
        <x:f>Rates_Raw!AF228</x:f>
        <x:v>1222|SFMTA|2024-07-01</x:v>
      </x:c>
      <x:c r="C228" t="str">
        <x:f>Rates_Raw!D228</x:f>
        <x:v>1222</x:v>
      </x:c>
      <x:c r="D228" t="str">
        <x:f>Rates_Raw!C228</x:f>
        <x:v>2024/07/01</x:v>
      </x:c>
      <x:c r="E228" t="str">
        <x:f>Rates_Raw!F228</x:f>
        <x:v>790</x:v>
      </x:c>
      <x:c r="F228" t="n">
        <x:f>COUNTIF(Rates_Raw!$AF$5:$AF$464,B228)</x:f>
        <x:v>1</x:v>
      </x:c>
      <x:c r="G228" t="str">
        <x:f>IF(F228=1,"UNIQUE",IF(COUNTIFS(Rates_Raw!$AF$5:$AF$464,B228,Rates_Raw!$H$5:$H$464,Rates_Raw!H228,Rates_Raw!$L$5:$L$464,Rates_Raw!L228)=F228,"REPEATED SOURCE ROW","CONFLICTING KEY"))</x:f>
        <x:v>UNIQUE</x:v>
      </x:c>
      <x:c r="H228" t="str">
        <x:f>IF(F228&gt;1,"REVIEW","OK")</x:f>
        <x:v>OK</x:v>
      </x:c>
      <x:c r="I228" t="str">
        <x:f>Rates_Raw!H228</x:f>
        <x:v>1222Z</x:v>
      </x:c>
      <x:c r="J228" t="str">
        <x:f>Rates_Raw!L228</x:f>
        <x:v>$42.1250</x:v>
      </x:c>
    </x:row>
    <x:row r="229">
      <x:c r="A229" t="n">
        <x:f>Rates_Raw!A229</x:f>
        <x:v>29808</x:v>
      </x:c>
      <x:c r="B229" t="str">
        <x:f>Rates_Raw!AF229</x:f>
        <x:v>1222|COMMN|2025-01-04</x:v>
      </x:c>
      <x:c r="C229" t="str">
        <x:f>Rates_Raw!D229</x:f>
        <x:v>1222</x:v>
      </x:c>
      <x:c r="D229" t="str">
        <x:f>Rates_Raw!C229</x:f>
        <x:v>2025/01/04</x:v>
      </x:c>
      <x:c r="E229" t="str">
        <x:f>Rates_Raw!F229</x:f>
        <x:v>790</x:v>
      </x:c>
      <x:c r="F229" t="n">
        <x:f>COUNTIF(Rates_Raw!$AF$5:$AF$464,B229)</x:f>
        <x:v>1</x:v>
      </x:c>
      <x:c r="G229" t="str">
        <x:f>IF(F229=1,"UNIQUE",IF(COUNTIFS(Rates_Raw!$AF$5:$AF$464,B229,Rates_Raw!$H$5:$H$464,Rates_Raw!H229,Rates_Raw!$L$5:$L$464,Rates_Raw!L229)=F229,"REPEATED SOURCE ROW","CONFLICTING KEY"))</x:f>
        <x:v>UNIQUE</x:v>
      </x:c>
      <x:c r="H229" t="str">
        <x:f>IF(F229&gt;1,"REVIEW","OK")</x:f>
        <x:v>OK</x:v>
      </x:c>
      <x:c r="I229" t="str">
        <x:f>Rates_Raw!H229</x:f>
        <x:v>1222A</x:v>
      </x:c>
      <x:c r="J229" t="str">
        <x:f>Rates_Raw!L229</x:f>
        <x:v>$42.7625</x:v>
      </x:c>
    </x:row>
    <x:row r="230">
      <x:c r="A230" t="n">
        <x:f>Rates_Raw!A230</x:f>
        <x:v>29809</x:v>
      </x:c>
      <x:c r="B230" t="str">
        <x:f>Rates_Raw!AF230</x:f>
        <x:v>1222|SFMTA|2025-01-04</x:v>
      </x:c>
      <x:c r="C230" t="str">
        <x:f>Rates_Raw!D230</x:f>
        <x:v>1222</x:v>
      </x:c>
      <x:c r="D230" t="str">
        <x:f>Rates_Raw!C230</x:f>
        <x:v>2025/01/04</x:v>
      </x:c>
      <x:c r="E230" t="str">
        <x:f>Rates_Raw!F230</x:f>
        <x:v>790</x:v>
      </x:c>
      <x:c r="F230" t="n">
        <x:f>COUNTIF(Rates_Raw!$AF$5:$AF$464,B230)</x:f>
        <x:v>1</x:v>
      </x:c>
      <x:c r="G230" t="str">
        <x:f>IF(F230=1,"UNIQUE",IF(COUNTIFS(Rates_Raw!$AF$5:$AF$464,B230,Rates_Raw!$H$5:$H$464,Rates_Raw!H230,Rates_Raw!$L$5:$L$464,Rates_Raw!L230)=F230,"REPEATED SOURCE ROW","CONFLICTING KEY"))</x:f>
        <x:v>UNIQUE</x:v>
      </x:c>
      <x:c r="H230" t="str">
        <x:f>IF(F230&gt;1,"REVIEW","OK")</x:f>
        <x:v>OK</x:v>
      </x:c>
      <x:c r="I230" t="str">
        <x:f>Rates_Raw!H230</x:f>
        <x:v>1222A</x:v>
      </x:c>
      <x:c r="J230" t="str">
        <x:f>Rates_Raw!L230</x:f>
        <x:v>$42.7625</x:v>
      </x:c>
    </x:row>
    <x:row r="231">
      <x:c r="A231" t="n">
        <x:f>Rates_Raw!A231</x:f>
        <x:v>31521</x:v>
      </x:c>
      <x:c r="B231" t="str">
        <x:f>Rates_Raw!AF231</x:f>
        <x:v>1222|COMMN|2025-07-01</x:v>
      </x:c>
      <x:c r="C231" t="str">
        <x:f>Rates_Raw!D231</x:f>
        <x:v>1222</x:v>
      </x:c>
      <x:c r="D231" t="str">
        <x:f>Rates_Raw!C231</x:f>
        <x:v>2025/07/01</x:v>
      </x:c>
      <x:c r="E231" t="str">
        <x:f>Rates_Raw!F231</x:f>
        <x:v>790</x:v>
      </x:c>
      <x:c r="F231" t="n">
        <x:f>COUNTIF(Rates_Raw!$AF$5:$AF$464,B231)</x:f>
        <x:v>1</x:v>
      </x:c>
      <x:c r="G231" t="str">
        <x:f>IF(F231=1,"UNIQUE",IF(COUNTIFS(Rates_Raw!$AF$5:$AF$464,B231,Rates_Raw!$H$5:$H$464,Rates_Raw!H231,Rates_Raw!$L$5:$L$464,Rates_Raw!L231)=F231,"REPEATED SOURCE ROW","CONFLICTING KEY"))</x:f>
        <x:v>UNIQUE</x:v>
      </x:c>
      <x:c r="H231" t="str">
        <x:f>IF(F231&gt;1,"REVIEW","OK")</x:f>
        <x:v>OK</x:v>
      </x:c>
      <x:c r="I231" t="str">
        <x:f>Rates_Raw!H231</x:f>
        <x:v>1222B</x:v>
      </x:c>
      <x:c r="J231" t="str">
        <x:f>Rates_Raw!L231</x:f>
        <x:v>$43.6250</x:v>
      </x:c>
    </x:row>
    <x:row r="232">
      <x:c r="A232" t="n">
        <x:f>Rates_Raw!A232</x:f>
        <x:v>31522</x:v>
      </x:c>
      <x:c r="B232" t="str">
        <x:f>Rates_Raw!AF232</x:f>
        <x:v>1222|SFMTA|2025-07-01</x:v>
      </x:c>
      <x:c r="C232" t="str">
        <x:f>Rates_Raw!D232</x:f>
        <x:v>1222</x:v>
      </x:c>
      <x:c r="D232" t="str">
        <x:f>Rates_Raw!C232</x:f>
        <x:v>2025/07/01</x:v>
      </x:c>
      <x:c r="E232" t="str">
        <x:f>Rates_Raw!F232</x:f>
        <x:v>790</x:v>
      </x:c>
      <x:c r="F232" t="n">
        <x:f>COUNTIF(Rates_Raw!$AF$5:$AF$464,B232)</x:f>
        <x:v>1</x:v>
      </x:c>
      <x:c r="G232" t="str">
        <x:f>IF(F232=1,"UNIQUE",IF(COUNTIFS(Rates_Raw!$AF$5:$AF$464,B232,Rates_Raw!$H$5:$H$464,Rates_Raw!H232,Rates_Raw!$L$5:$L$464,Rates_Raw!L232)=F232,"REPEATED SOURCE ROW","CONFLICTING KEY"))</x:f>
        <x:v>UNIQUE</x:v>
      </x:c>
      <x:c r="H232" t="str">
        <x:f>IF(F232&gt;1,"REVIEW","OK")</x:f>
        <x:v>OK</x:v>
      </x:c>
      <x:c r="I232" t="str">
        <x:f>Rates_Raw!H232</x:f>
        <x:v>1222B</x:v>
      </x:c>
      <x:c r="J232" t="str">
        <x:f>Rates_Raw!L232</x:f>
        <x:v>$43.6250</x:v>
      </x:c>
    </x:row>
    <x:row r="233">
      <x:c r="A233" t="n">
        <x:f>Rates_Raw!A233</x:f>
        <x:v>33206</x:v>
      </x:c>
      <x:c r="B233" t="str">
        <x:f>Rates_Raw!AF233</x:f>
        <x:v>1222|COMMN|2026-01-03</x:v>
      </x:c>
      <x:c r="C233" t="str">
        <x:f>Rates_Raw!D233</x:f>
        <x:v>1222</x:v>
      </x:c>
      <x:c r="D233" t="str">
        <x:f>Rates_Raw!C233</x:f>
        <x:v>2026/01/03</x:v>
      </x:c>
      <x:c r="E233" t="str">
        <x:f>Rates_Raw!F233</x:f>
        <x:v>790</x:v>
      </x:c>
      <x:c r="F233" t="n">
        <x:f>COUNTIF(Rates_Raw!$AF$5:$AF$464,B233)</x:f>
        <x:v>1</x:v>
      </x:c>
      <x:c r="G233" t="str">
        <x:f>IF(F233=1,"UNIQUE",IF(COUNTIFS(Rates_Raw!$AF$5:$AF$464,B233,Rates_Raw!$H$5:$H$464,Rates_Raw!H233,Rates_Raw!$L$5:$L$464,Rates_Raw!L233)=F233,"REPEATED SOURCE ROW","CONFLICTING KEY"))</x:f>
        <x:v>UNIQUE</x:v>
      </x:c>
      <x:c r="H233" t="str">
        <x:f>IF(F233&gt;1,"REVIEW","OK")</x:f>
        <x:v>OK</x:v>
      </x:c>
      <x:c r="I233" t="str">
        <x:f>Rates_Raw!H233</x:f>
        <x:v>1222C</x:v>
      </x:c>
      <x:c r="J233" t="str">
        <x:f>Rates_Raw!L233</x:f>
        <x:v>$44.2750</x:v>
      </x:c>
    </x:row>
    <x:row r="234">
      <x:c r="A234" t="n">
        <x:f>Rates_Raw!A234</x:f>
        <x:v>33207</x:v>
      </x:c>
      <x:c r="B234" t="str">
        <x:f>Rates_Raw!AF234</x:f>
        <x:v>1222|SFMTA|2026-01-03</x:v>
      </x:c>
      <x:c r="C234" t="str">
        <x:f>Rates_Raw!D234</x:f>
        <x:v>1222</x:v>
      </x:c>
      <x:c r="D234" t="str">
        <x:f>Rates_Raw!C234</x:f>
        <x:v>2026/01/03</x:v>
      </x:c>
      <x:c r="E234" t="str">
        <x:f>Rates_Raw!F234</x:f>
        <x:v>790</x:v>
      </x:c>
      <x:c r="F234" t="n">
        <x:f>COUNTIF(Rates_Raw!$AF$5:$AF$464,B234)</x:f>
        <x:v>1</x:v>
      </x:c>
      <x:c r="G234" t="str">
        <x:f>IF(F234=1,"UNIQUE",IF(COUNTIFS(Rates_Raw!$AF$5:$AF$464,B234,Rates_Raw!$H$5:$H$464,Rates_Raw!H234,Rates_Raw!$L$5:$L$464,Rates_Raw!L234)=F234,"REPEATED SOURCE ROW","CONFLICTING KEY"))</x:f>
        <x:v>UNIQUE</x:v>
      </x:c>
      <x:c r="H234" t="str">
        <x:f>IF(F234&gt;1,"REVIEW","OK")</x:f>
        <x:v>OK</x:v>
      </x:c>
      <x:c r="I234" t="str">
        <x:f>Rates_Raw!H234</x:f>
        <x:v>1222C</x:v>
      </x:c>
      <x:c r="J234" t="str">
        <x:f>Rates_Raw!L234</x:f>
        <x:v>$44.2750</x:v>
      </x:c>
    </x:row>
    <x:row r="235">
      <x:c r="A235" t="n">
        <x:f>Rates_Raw!A235</x:f>
        <x:v>16017</x:v>
      </x:c>
      <x:c r="B235" t="str">
        <x:f>Rates_Raw!AF235</x:f>
        <x:v>1224|COMMN|2020-07-01</x:v>
      </x:c>
      <x:c r="C235" t="str">
        <x:f>Rates_Raw!D235</x:f>
        <x:v>1224</x:v>
      </x:c>
      <x:c r="D235" t="str">
        <x:f>Rates_Raw!C235</x:f>
        <x:v>2020/07/01</x:v>
      </x:c>
      <x:c r="E235" t="str">
        <x:f>Rates_Raw!F235</x:f>
        <x:v>790</x:v>
      </x:c>
      <x:c r="F235" t="n">
        <x:f>COUNTIF(Rates_Raw!$AF$5:$AF$464,B235)</x:f>
        <x:v>1</x:v>
      </x:c>
      <x:c r="G235" t="str">
        <x:f>IF(F235=1,"UNIQUE",IF(COUNTIFS(Rates_Raw!$AF$5:$AF$464,B235,Rates_Raw!$H$5:$H$464,Rates_Raw!H235,Rates_Raw!$L$5:$L$464,Rates_Raw!L235)=F235,"REPEATED SOURCE ROW","CONFLICTING KEY"))</x:f>
        <x:v>UNIQUE</x:v>
      </x:c>
      <x:c r="H235" t="str">
        <x:f>IF(F235&gt;1,"REVIEW","OK")</x:f>
        <x:v>OK</x:v>
      </x:c>
      <x:c r="I235" t="str">
        <x:f>Rates_Raw!H235</x:f>
        <x:v>1224S</x:v>
      </x:c>
      <x:c r="J235" t="str">
        <x:f>Rates_Raw!L235</x:f>
        <x:v>$38.7125</x:v>
      </x:c>
    </x:row>
    <x:row r="236">
      <x:c r="A236" t="n">
        <x:f>Rates_Raw!A236</x:f>
        <x:v>26366</x:v>
      </x:c>
      <x:c r="B236" t="str">
        <x:f>Rates_Raw!AF236</x:f>
        <x:v>1224|COMMN|2024-01-06</x:v>
      </x:c>
      <x:c r="C236" t="str">
        <x:f>Rates_Raw!D236</x:f>
        <x:v>1224</x:v>
      </x:c>
      <x:c r="D236" t="str">
        <x:f>Rates_Raw!C236</x:f>
        <x:v>2024/01/06</x:v>
      </x:c>
      <x:c r="E236" t="str">
        <x:f>Rates_Raw!F236</x:f>
        <x:v>790</x:v>
      </x:c>
      <x:c r="F236" t="n">
        <x:f>COUNTIF(Rates_Raw!$AF$5:$AF$464,B236)</x:f>
        <x:v>1</x:v>
      </x:c>
      <x:c r="G236" t="str">
        <x:f>IF(F236=1,"UNIQUE",IF(COUNTIFS(Rates_Raw!$AF$5:$AF$464,B236,Rates_Raw!$H$5:$H$464,Rates_Raw!H236,Rates_Raw!$L$5:$L$464,Rates_Raw!L236)=F236,"REPEATED SOURCE ROW","CONFLICTING KEY"))</x:f>
        <x:v>UNIQUE</x:v>
      </x:c>
      <x:c r="H236" t="str">
        <x:f>IF(F236&gt;1,"REVIEW","OK")</x:f>
        <x:v>OK</x:v>
      </x:c>
      <x:c r="I236" t="str">
        <x:f>Rates_Raw!H236</x:f>
        <x:v>1224Y</x:v>
      </x:c>
      <x:c r="J236" t="str">
        <x:f>Rates_Raw!L236</x:f>
        <x:v>$45.7625</x:v>
      </x:c>
    </x:row>
    <x:row r="237">
      <x:c r="A237" t="n">
        <x:f>Rates_Raw!A237</x:f>
        <x:v>26367</x:v>
      </x:c>
      <x:c r="B237" t="str">
        <x:f>Rates_Raw!AF237</x:f>
        <x:v>1224|SFMTA|2024-01-06</x:v>
      </x:c>
      <x:c r="C237" t="str">
        <x:f>Rates_Raw!D237</x:f>
        <x:v>1224</x:v>
      </x:c>
      <x:c r="D237" t="str">
        <x:f>Rates_Raw!C237</x:f>
        <x:v>2024/01/06</x:v>
      </x:c>
      <x:c r="E237" t="str">
        <x:f>Rates_Raw!F237</x:f>
        <x:v>790</x:v>
      </x:c>
      <x:c r="F237" t="n">
        <x:f>COUNTIF(Rates_Raw!$AF$5:$AF$464,B237)</x:f>
        <x:v>1</x:v>
      </x:c>
      <x:c r="G237" t="str">
        <x:f>IF(F237=1,"UNIQUE",IF(COUNTIFS(Rates_Raw!$AF$5:$AF$464,B237,Rates_Raw!$H$5:$H$464,Rates_Raw!H237,Rates_Raw!$L$5:$L$464,Rates_Raw!L237)=F237,"REPEATED SOURCE ROW","CONFLICTING KEY"))</x:f>
        <x:v>UNIQUE</x:v>
      </x:c>
      <x:c r="H237" t="str">
        <x:f>IF(F237&gt;1,"REVIEW","OK")</x:f>
        <x:v>OK</x:v>
      </x:c>
      <x:c r="I237" t="str">
        <x:f>Rates_Raw!H237</x:f>
        <x:v>1224Y</x:v>
      </x:c>
      <x:c r="J237" t="str">
        <x:f>Rates_Raw!L237</x:f>
        <x:v>$45.7625</x:v>
      </x:c>
    </x:row>
    <x:row r="238">
      <x:c r="A238" t="n">
        <x:f>Rates_Raw!A238</x:f>
        <x:v>28104</x:v>
      </x:c>
      <x:c r="B238" t="str">
        <x:f>Rates_Raw!AF238</x:f>
        <x:v>1224|COMMN|2024-07-01</x:v>
      </x:c>
      <x:c r="C238" t="str">
        <x:f>Rates_Raw!D238</x:f>
        <x:v>1224</x:v>
      </x:c>
      <x:c r="D238" t="str">
        <x:f>Rates_Raw!C238</x:f>
        <x:v>2024/07/01</x:v>
      </x:c>
      <x:c r="E238" t="str">
        <x:f>Rates_Raw!F238</x:f>
        <x:v>790</x:v>
      </x:c>
      <x:c r="F238" t="n">
        <x:f>COUNTIF(Rates_Raw!$AF$5:$AF$464,B238)</x:f>
        <x:v>1</x:v>
      </x:c>
      <x:c r="G238" t="str">
        <x:f>IF(F238=1,"UNIQUE",IF(COUNTIFS(Rates_Raw!$AF$5:$AF$464,B238,Rates_Raw!$H$5:$H$464,Rates_Raw!H238,Rates_Raw!$L$5:$L$464,Rates_Raw!L238)=F238,"REPEATED SOURCE ROW","CONFLICTING KEY"))</x:f>
        <x:v>UNIQUE</x:v>
      </x:c>
      <x:c r="H238" t="str">
        <x:f>IF(F238&gt;1,"REVIEW","OK")</x:f>
        <x:v>OK</x:v>
      </x:c>
      <x:c r="I238" t="str">
        <x:f>Rates_Raw!H238</x:f>
        <x:v>1224Z</x:v>
      </x:c>
      <x:c r="J238" t="str">
        <x:f>Rates_Raw!L238</x:f>
        <x:v>$46.4500</x:v>
      </x:c>
    </x:row>
    <x:row r="239">
      <x:c r="A239" t="n">
        <x:f>Rates_Raw!A239</x:f>
        <x:v>28105</x:v>
      </x:c>
      <x:c r="B239" t="str">
        <x:f>Rates_Raw!AF239</x:f>
        <x:v>1224|SFMTA|2024-07-01</x:v>
      </x:c>
      <x:c r="C239" t="str">
        <x:f>Rates_Raw!D239</x:f>
        <x:v>1224</x:v>
      </x:c>
      <x:c r="D239" t="str">
        <x:f>Rates_Raw!C239</x:f>
        <x:v>2024/07/01</x:v>
      </x:c>
      <x:c r="E239" t="str">
        <x:f>Rates_Raw!F239</x:f>
        <x:v>790</x:v>
      </x:c>
      <x:c r="F239" t="n">
        <x:f>COUNTIF(Rates_Raw!$AF$5:$AF$464,B239)</x:f>
        <x:v>1</x:v>
      </x:c>
      <x:c r="G239" t="str">
        <x:f>IF(F239=1,"UNIQUE",IF(COUNTIFS(Rates_Raw!$AF$5:$AF$464,B239,Rates_Raw!$H$5:$H$464,Rates_Raw!H239,Rates_Raw!$L$5:$L$464,Rates_Raw!L239)=F239,"REPEATED SOURCE ROW","CONFLICTING KEY"))</x:f>
        <x:v>UNIQUE</x:v>
      </x:c>
      <x:c r="H239" t="str">
        <x:f>IF(F239&gt;1,"REVIEW","OK")</x:f>
        <x:v>OK</x:v>
      </x:c>
      <x:c r="I239" t="str">
        <x:f>Rates_Raw!H239</x:f>
        <x:v>1224Z</x:v>
      </x:c>
      <x:c r="J239" t="str">
        <x:f>Rates_Raw!L239</x:f>
        <x:v>$46.4500</x:v>
      </x:c>
    </x:row>
    <x:row r="240">
      <x:c r="A240" t="n">
        <x:f>Rates_Raw!A240</x:f>
        <x:v>29810</x:v>
      </x:c>
      <x:c r="B240" t="str">
        <x:f>Rates_Raw!AF240</x:f>
        <x:v>1224|COMMN|2025-01-04</x:v>
      </x:c>
      <x:c r="C240" t="str">
        <x:f>Rates_Raw!D240</x:f>
        <x:v>1224</x:v>
      </x:c>
      <x:c r="D240" t="str">
        <x:f>Rates_Raw!C240</x:f>
        <x:v>2025/01/04</x:v>
      </x:c>
      <x:c r="E240" t="str">
        <x:f>Rates_Raw!F240</x:f>
        <x:v>790</x:v>
      </x:c>
      <x:c r="F240" t="n">
        <x:f>COUNTIF(Rates_Raw!$AF$5:$AF$464,B240)</x:f>
        <x:v>1</x:v>
      </x:c>
      <x:c r="G240" t="str">
        <x:f>IF(F240=1,"UNIQUE",IF(COUNTIFS(Rates_Raw!$AF$5:$AF$464,B240,Rates_Raw!$H$5:$H$464,Rates_Raw!H240,Rates_Raw!$L$5:$L$464,Rates_Raw!L240)=F240,"REPEATED SOURCE ROW","CONFLICTING KEY"))</x:f>
        <x:v>UNIQUE</x:v>
      </x:c>
      <x:c r="H240" t="str">
        <x:f>IF(F240&gt;1,"REVIEW","OK")</x:f>
        <x:v>OK</x:v>
      </x:c>
      <x:c r="I240" t="str">
        <x:f>Rates_Raw!H240</x:f>
        <x:v>1224A</x:v>
      </x:c>
      <x:c r="J240" t="str">
        <x:f>Rates_Raw!L240</x:f>
        <x:v>$47.1500</x:v>
      </x:c>
    </x:row>
    <x:row r="241">
      <x:c r="A241" t="n">
        <x:f>Rates_Raw!A241</x:f>
        <x:v>29811</x:v>
      </x:c>
      <x:c r="B241" t="str">
        <x:f>Rates_Raw!AF241</x:f>
        <x:v>1224|SFMTA|2025-01-04</x:v>
      </x:c>
      <x:c r="C241" t="str">
        <x:f>Rates_Raw!D241</x:f>
        <x:v>1224</x:v>
      </x:c>
      <x:c r="D241" t="str">
        <x:f>Rates_Raw!C241</x:f>
        <x:v>2025/01/04</x:v>
      </x:c>
      <x:c r="E241" t="str">
        <x:f>Rates_Raw!F241</x:f>
        <x:v>790</x:v>
      </x:c>
      <x:c r="F241" t="n">
        <x:f>COUNTIF(Rates_Raw!$AF$5:$AF$464,B241)</x:f>
        <x:v>1</x:v>
      </x:c>
      <x:c r="G241" t="str">
        <x:f>IF(F241=1,"UNIQUE",IF(COUNTIFS(Rates_Raw!$AF$5:$AF$464,B241,Rates_Raw!$H$5:$H$464,Rates_Raw!H241,Rates_Raw!$L$5:$L$464,Rates_Raw!L241)=F241,"REPEATED SOURCE ROW","CONFLICTING KEY"))</x:f>
        <x:v>UNIQUE</x:v>
      </x:c>
      <x:c r="H241" t="str">
        <x:f>IF(F241&gt;1,"REVIEW","OK")</x:f>
        <x:v>OK</x:v>
      </x:c>
      <x:c r="I241" t="str">
        <x:f>Rates_Raw!H241</x:f>
        <x:v>1224A</x:v>
      </x:c>
      <x:c r="J241" t="str">
        <x:f>Rates_Raw!L241</x:f>
        <x:v>$47.1500</x:v>
      </x:c>
    </x:row>
    <x:row r="242">
      <x:c r="A242" t="n">
        <x:f>Rates_Raw!A242</x:f>
        <x:v>31523</x:v>
      </x:c>
      <x:c r="B242" t="str">
        <x:f>Rates_Raw!AF242</x:f>
        <x:v>1224|COMMN|2025-07-01</x:v>
      </x:c>
      <x:c r="C242" t="str">
        <x:f>Rates_Raw!D242</x:f>
        <x:v>1224</x:v>
      </x:c>
      <x:c r="D242" t="str">
        <x:f>Rates_Raw!C242</x:f>
        <x:v>2025/07/01</x:v>
      </x:c>
      <x:c r="E242" t="str">
        <x:f>Rates_Raw!F242</x:f>
        <x:v>790</x:v>
      </x:c>
      <x:c r="F242" t="n">
        <x:f>COUNTIF(Rates_Raw!$AF$5:$AF$464,B242)</x:f>
        <x:v>1</x:v>
      </x:c>
      <x:c r="G242" t="str">
        <x:f>IF(F242=1,"UNIQUE",IF(COUNTIFS(Rates_Raw!$AF$5:$AF$464,B242,Rates_Raw!$H$5:$H$464,Rates_Raw!H242,Rates_Raw!$L$5:$L$464,Rates_Raw!L242)=F242,"REPEATED SOURCE ROW","CONFLICTING KEY"))</x:f>
        <x:v>UNIQUE</x:v>
      </x:c>
      <x:c r="H242" t="str">
        <x:f>IF(F242&gt;1,"REVIEW","OK")</x:f>
        <x:v>OK</x:v>
      </x:c>
      <x:c r="I242" t="str">
        <x:f>Rates_Raw!H242</x:f>
        <x:v>1224B</x:v>
      </x:c>
      <x:c r="J242" t="str">
        <x:f>Rates_Raw!L242</x:f>
        <x:v>$48.1000</x:v>
      </x:c>
    </x:row>
    <x:row r="243">
      <x:c r="A243" t="n">
        <x:f>Rates_Raw!A243</x:f>
        <x:v>31524</x:v>
      </x:c>
      <x:c r="B243" t="str">
        <x:f>Rates_Raw!AF243</x:f>
        <x:v>1224|SFMTA|2025-07-01</x:v>
      </x:c>
      <x:c r="C243" t="str">
        <x:f>Rates_Raw!D243</x:f>
        <x:v>1224</x:v>
      </x:c>
      <x:c r="D243" t="str">
        <x:f>Rates_Raw!C243</x:f>
        <x:v>2025/07/01</x:v>
      </x:c>
      <x:c r="E243" t="str">
        <x:f>Rates_Raw!F243</x:f>
        <x:v>790</x:v>
      </x:c>
      <x:c r="F243" t="n">
        <x:f>COUNTIF(Rates_Raw!$AF$5:$AF$464,B243)</x:f>
        <x:v>1</x:v>
      </x:c>
      <x:c r="G243" t="str">
        <x:f>IF(F243=1,"UNIQUE",IF(COUNTIFS(Rates_Raw!$AF$5:$AF$464,B243,Rates_Raw!$H$5:$H$464,Rates_Raw!H243,Rates_Raw!$L$5:$L$464,Rates_Raw!L243)=F243,"REPEATED SOURCE ROW","CONFLICTING KEY"))</x:f>
        <x:v>UNIQUE</x:v>
      </x:c>
      <x:c r="H243" t="str">
        <x:f>IF(F243&gt;1,"REVIEW","OK")</x:f>
        <x:v>OK</x:v>
      </x:c>
      <x:c r="I243" t="str">
        <x:f>Rates_Raw!H243</x:f>
        <x:v>1224B</x:v>
      </x:c>
      <x:c r="J243" t="str">
        <x:f>Rates_Raw!L243</x:f>
        <x:v>$48.1000</x:v>
      </x:c>
    </x:row>
    <x:row r="244">
      <x:c r="A244" t="n">
        <x:f>Rates_Raw!A244</x:f>
        <x:v>33208</x:v>
      </x:c>
      <x:c r="B244" t="str">
        <x:f>Rates_Raw!AF244</x:f>
        <x:v>1224|COMMN|2026-01-03</x:v>
      </x:c>
      <x:c r="C244" t="str">
        <x:f>Rates_Raw!D244</x:f>
        <x:v>1224</x:v>
      </x:c>
      <x:c r="D244" t="str">
        <x:f>Rates_Raw!C244</x:f>
        <x:v>2026/01/03</x:v>
      </x:c>
      <x:c r="E244" t="str">
        <x:f>Rates_Raw!F244</x:f>
        <x:v>790</x:v>
      </x:c>
      <x:c r="F244" t="n">
        <x:f>COUNTIF(Rates_Raw!$AF$5:$AF$464,B244)</x:f>
        <x:v>1</x:v>
      </x:c>
      <x:c r="G244" t="str">
        <x:f>IF(F244=1,"UNIQUE",IF(COUNTIFS(Rates_Raw!$AF$5:$AF$464,B244,Rates_Raw!$H$5:$H$464,Rates_Raw!H244,Rates_Raw!$L$5:$L$464,Rates_Raw!L244)=F244,"REPEATED SOURCE ROW","CONFLICTING KEY"))</x:f>
        <x:v>UNIQUE</x:v>
      </x:c>
      <x:c r="H244" t="str">
        <x:f>IF(F244&gt;1,"REVIEW","OK")</x:f>
        <x:v>OK</x:v>
      </x:c>
      <x:c r="I244" t="str">
        <x:f>Rates_Raw!H244</x:f>
        <x:v>1224C</x:v>
      </x:c>
      <x:c r="J244" t="str">
        <x:f>Rates_Raw!L244</x:f>
        <x:v>$48.8250</x:v>
      </x:c>
    </x:row>
    <x:row r="245">
      <x:c r="A245" t="n">
        <x:f>Rates_Raw!A245</x:f>
        <x:v>33209</x:v>
      </x:c>
      <x:c r="B245" t="str">
        <x:f>Rates_Raw!AF245</x:f>
        <x:v>1224|SFMTA|2026-01-03</x:v>
      </x:c>
      <x:c r="C245" t="str">
        <x:f>Rates_Raw!D245</x:f>
        <x:v>1224</x:v>
      </x:c>
      <x:c r="D245" t="str">
        <x:f>Rates_Raw!C245</x:f>
        <x:v>2026/01/03</x:v>
      </x:c>
      <x:c r="E245" t="str">
        <x:f>Rates_Raw!F245</x:f>
        <x:v>790</x:v>
      </x:c>
      <x:c r="F245" t="n">
        <x:f>COUNTIF(Rates_Raw!$AF$5:$AF$464,B245)</x:f>
        <x:v>1</x:v>
      </x:c>
      <x:c r="G245" t="str">
        <x:f>IF(F245=1,"UNIQUE",IF(COUNTIFS(Rates_Raw!$AF$5:$AF$464,B245,Rates_Raw!$H$5:$H$464,Rates_Raw!H245,Rates_Raw!$L$5:$L$464,Rates_Raw!L245)=F245,"REPEATED SOURCE ROW","CONFLICTING KEY"))</x:f>
        <x:v>UNIQUE</x:v>
      </x:c>
      <x:c r="H245" t="str">
        <x:f>IF(F245&gt;1,"REVIEW","OK")</x:f>
        <x:v>OK</x:v>
      </x:c>
      <x:c r="I245" t="str">
        <x:f>Rates_Raw!H245</x:f>
        <x:v>1224C</x:v>
      </x:c>
      <x:c r="J245" t="str">
        <x:f>Rates_Raw!L245</x:f>
        <x:v>$48.8250</x:v>
      </x:c>
    </x:row>
    <x:row r="246">
      <x:c r="A246" t="n">
        <x:f>Rates_Raw!A246</x:f>
        <x:v>16019</x:v>
      </x:c>
      <x:c r="B246" t="str">
        <x:f>Rates_Raw!AF246</x:f>
        <x:v>1226|COMMN|2020-07-01</x:v>
      </x:c>
      <x:c r="C246" t="str">
        <x:f>Rates_Raw!D246</x:f>
        <x:v>1226</x:v>
      </x:c>
      <x:c r="D246" t="str">
        <x:f>Rates_Raw!C246</x:f>
        <x:v>2020/07/01</x:v>
      </x:c>
      <x:c r="E246" t="str">
        <x:f>Rates_Raw!F246</x:f>
        <x:v>790</x:v>
      </x:c>
      <x:c r="F246" t="n">
        <x:f>COUNTIF(Rates_Raw!$AF$5:$AF$464,B246)</x:f>
        <x:v>1</x:v>
      </x:c>
      <x:c r="G246" t="str">
        <x:f>IF(F246=1,"UNIQUE",IF(COUNTIFS(Rates_Raw!$AF$5:$AF$464,B246,Rates_Raw!$H$5:$H$464,Rates_Raw!H246,Rates_Raw!$L$5:$L$464,Rates_Raw!L246)=F246,"REPEATED SOURCE ROW","CONFLICTING KEY"))</x:f>
        <x:v>UNIQUE</x:v>
      </x:c>
      <x:c r="H246" t="str">
        <x:f>IF(F246&gt;1,"REVIEW","OK")</x:f>
        <x:v>OK</x:v>
      </x:c>
      <x:c r="I246" t="str">
        <x:f>Rates_Raw!H246</x:f>
        <x:v>1226S</x:v>
      </x:c>
      <x:c r="J246" t="str">
        <x:f>Rates_Raw!L246</x:f>
        <x:v>$40.8250</x:v>
      </x:c>
    </x:row>
    <x:row r="247">
      <x:c r="A247" t="n">
        <x:f>Rates_Raw!A247</x:f>
        <x:v>26368</x:v>
      </x:c>
      <x:c r="B247" t="str">
        <x:f>Rates_Raw!AF247</x:f>
        <x:v>1226|COMMN|2024-01-06</x:v>
      </x:c>
      <x:c r="C247" t="str">
        <x:f>Rates_Raw!D247</x:f>
        <x:v>1226</x:v>
      </x:c>
      <x:c r="D247" t="str">
        <x:f>Rates_Raw!C247</x:f>
        <x:v>2024/01/06</x:v>
      </x:c>
      <x:c r="E247" t="str">
        <x:f>Rates_Raw!F247</x:f>
        <x:v>790</x:v>
      </x:c>
      <x:c r="F247" t="n">
        <x:f>COUNTIF(Rates_Raw!$AF$5:$AF$464,B247)</x:f>
        <x:v>1</x:v>
      </x:c>
      <x:c r="G247" t="str">
        <x:f>IF(F247=1,"UNIQUE",IF(COUNTIFS(Rates_Raw!$AF$5:$AF$464,B247,Rates_Raw!$H$5:$H$464,Rates_Raw!H247,Rates_Raw!$L$5:$L$464,Rates_Raw!L247)=F247,"REPEATED SOURCE ROW","CONFLICTING KEY"))</x:f>
        <x:v>UNIQUE</x:v>
      </x:c>
      <x:c r="H247" t="str">
        <x:f>IF(F247&gt;1,"REVIEW","OK")</x:f>
        <x:v>OK</x:v>
      </x:c>
      <x:c r="I247" t="str">
        <x:f>Rates_Raw!H247</x:f>
        <x:v>1226Y</x:v>
      </x:c>
      <x:c r="J247" t="str">
        <x:f>Rates_Raw!L247</x:f>
        <x:v>$48.2500</x:v>
      </x:c>
    </x:row>
    <x:row r="248">
      <x:c r="A248" t="n">
        <x:f>Rates_Raw!A248</x:f>
        <x:v>26369</x:v>
      </x:c>
      <x:c r="B248" t="str">
        <x:f>Rates_Raw!AF248</x:f>
        <x:v>1226|SFMTA|2024-01-06</x:v>
      </x:c>
      <x:c r="C248" t="str">
        <x:f>Rates_Raw!D248</x:f>
        <x:v>1226</x:v>
      </x:c>
      <x:c r="D248" t="str">
        <x:f>Rates_Raw!C248</x:f>
        <x:v>2024/01/06</x:v>
      </x:c>
      <x:c r="E248" t="str">
        <x:f>Rates_Raw!F248</x:f>
        <x:v>790</x:v>
      </x:c>
      <x:c r="F248" t="n">
        <x:f>COUNTIF(Rates_Raw!$AF$5:$AF$464,B248)</x:f>
        <x:v>1</x:v>
      </x:c>
      <x:c r="G248" t="str">
        <x:f>IF(F248=1,"UNIQUE",IF(COUNTIFS(Rates_Raw!$AF$5:$AF$464,B248,Rates_Raw!$H$5:$H$464,Rates_Raw!H248,Rates_Raw!$L$5:$L$464,Rates_Raw!L248)=F248,"REPEATED SOURCE ROW","CONFLICTING KEY"))</x:f>
        <x:v>UNIQUE</x:v>
      </x:c>
      <x:c r="H248" t="str">
        <x:f>IF(F248&gt;1,"REVIEW","OK")</x:f>
        <x:v>OK</x:v>
      </x:c>
      <x:c r="I248" t="str">
        <x:f>Rates_Raw!H248</x:f>
        <x:v>1226Y</x:v>
      </x:c>
      <x:c r="J248" t="str">
        <x:f>Rates_Raw!L248</x:f>
        <x:v>$48.2500</x:v>
      </x:c>
    </x:row>
    <x:row r="249">
      <x:c r="A249" t="n">
        <x:f>Rates_Raw!A249</x:f>
        <x:v>28106</x:v>
      </x:c>
      <x:c r="B249" t="str">
        <x:f>Rates_Raw!AF249</x:f>
        <x:v>1226|COMMN|2024-07-01</x:v>
      </x:c>
      <x:c r="C249" t="str">
        <x:f>Rates_Raw!D249</x:f>
        <x:v>1226</x:v>
      </x:c>
      <x:c r="D249" t="str">
        <x:f>Rates_Raw!C249</x:f>
        <x:v>2024/07/01</x:v>
      </x:c>
      <x:c r="E249" t="str">
        <x:f>Rates_Raw!F249</x:f>
        <x:v>790</x:v>
      </x:c>
      <x:c r="F249" t="n">
        <x:f>COUNTIF(Rates_Raw!$AF$5:$AF$464,B249)</x:f>
        <x:v>1</x:v>
      </x:c>
      <x:c r="G249" t="str">
        <x:f>IF(F249=1,"UNIQUE",IF(COUNTIFS(Rates_Raw!$AF$5:$AF$464,B249,Rates_Raw!$H$5:$H$464,Rates_Raw!H249,Rates_Raw!$L$5:$L$464,Rates_Raw!L249)=F249,"REPEATED SOURCE ROW","CONFLICTING KEY"))</x:f>
        <x:v>UNIQUE</x:v>
      </x:c>
      <x:c r="H249" t="str">
        <x:f>IF(F249&gt;1,"REVIEW","OK")</x:f>
        <x:v>OK</x:v>
      </x:c>
      <x:c r="I249" t="str">
        <x:f>Rates_Raw!H249</x:f>
        <x:v>1226Z</x:v>
      </x:c>
      <x:c r="J249" t="str">
        <x:f>Rates_Raw!L249</x:f>
        <x:v>$48.9750</x:v>
      </x:c>
    </x:row>
    <x:row r="250">
      <x:c r="A250" t="n">
        <x:f>Rates_Raw!A250</x:f>
        <x:v>28107</x:v>
      </x:c>
      <x:c r="B250" t="str">
        <x:f>Rates_Raw!AF250</x:f>
        <x:v>1226|SFMTA|2024-07-01</x:v>
      </x:c>
      <x:c r="C250" t="str">
        <x:f>Rates_Raw!D250</x:f>
        <x:v>1226</x:v>
      </x:c>
      <x:c r="D250" t="str">
        <x:f>Rates_Raw!C250</x:f>
        <x:v>2024/07/01</x:v>
      </x:c>
      <x:c r="E250" t="str">
        <x:f>Rates_Raw!F250</x:f>
        <x:v>790</x:v>
      </x:c>
      <x:c r="F250" t="n">
        <x:f>COUNTIF(Rates_Raw!$AF$5:$AF$464,B250)</x:f>
        <x:v>1</x:v>
      </x:c>
      <x:c r="G250" t="str">
        <x:f>IF(F250=1,"UNIQUE",IF(COUNTIFS(Rates_Raw!$AF$5:$AF$464,B250,Rates_Raw!$H$5:$H$464,Rates_Raw!H250,Rates_Raw!$L$5:$L$464,Rates_Raw!L250)=F250,"REPEATED SOURCE ROW","CONFLICTING KEY"))</x:f>
        <x:v>UNIQUE</x:v>
      </x:c>
      <x:c r="H250" t="str">
        <x:f>IF(F250&gt;1,"REVIEW","OK")</x:f>
        <x:v>OK</x:v>
      </x:c>
      <x:c r="I250" t="str">
        <x:f>Rates_Raw!H250</x:f>
        <x:v>1226Z</x:v>
      </x:c>
      <x:c r="J250" t="str">
        <x:f>Rates_Raw!L250</x:f>
        <x:v>$48.9750</x:v>
      </x:c>
    </x:row>
    <x:row r="251">
      <x:c r="A251" t="n">
        <x:f>Rates_Raw!A251</x:f>
        <x:v>29812</x:v>
      </x:c>
      <x:c r="B251" t="str">
        <x:f>Rates_Raw!AF251</x:f>
        <x:v>1226|COMMN|2025-01-04</x:v>
      </x:c>
      <x:c r="C251" t="str">
        <x:f>Rates_Raw!D251</x:f>
        <x:v>1226</x:v>
      </x:c>
      <x:c r="D251" t="str">
        <x:f>Rates_Raw!C251</x:f>
        <x:v>2025/01/04</x:v>
      </x:c>
      <x:c r="E251" t="str">
        <x:f>Rates_Raw!F251</x:f>
        <x:v>790</x:v>
      </x:c>
      <x:c r="F251" t="n">
        <x:f>COUNTIF(Rates_Raw!$AF$5:$AF$464,B251)</x:f>
        <x:v>1</x:v>
      </x:c>
      <x:c r="G251" t="str">
        <x:f>IF(F251=1,"UNIQUE",IF(COUNTIFS(Rates_Raw!$AF$5:$AF$464,B251,Rates_Raw!$H$5:$H$464,Rates_Raw!H251,Rates_Raw!$L$5:$L$464,Rates_Raw!L251)=F251,"REPEATED SOURCE ROW","CONFLICTING KEY"))</x:f>
        <x:v>UNIQUE</x:v>
      </x:c>
      <x:c r="H251" t="str">
        <x:f>IF(F251&gt;1,"REVIEW","OK")</x:f>
        <x:v>OK</x:v>
      </x:c>
      <x:c r="I251" t="str">
        <x:f>Rates_Raw!H251</x:f>
        <x:v>1226A</x:v>
      </x:c>
      <x:c r="J251" t="str">
        <x:f>Rates_Raw!L251</x:f>
        <x:v>$49.7125</x:v>
      </x:c>
    </x:row>
    <x:row r="252">
      <x:c r="A252" t="n">
        <x:f>Rates_Raw!A252</x:f>
        <x:v>29813</x:v>
      </x:c>
      <x:c r="B252" t="str">
        <x:f>Rates_Raw!AF252</x:f>
        <x:v>1226|SFMTA|2025-01-04</x:v>
      </x:c>
      <x:c r="C252" t="str">
        <x:f>Rates_Raw!D252</x:f>
        <x:v>1226</x:v>
      </x:c>
      <x:c r="D252" t="str">
        <x:f>Rates_Raw!C252</x:f>
        <x:v>2025/01/04</x:v>
      </x:c>
      <x:c r="E252" t="str">
        <x:f>Rates_Raw!F252</x:f>
        <x:v>790</x:v>
      </x:c>
      <x:c r="F252" t="n">
        <x:f>COUNTIF(Rates_Raw!$AF$5:$AF$464,B252)</x:f>
        <x:v>1</x:v>
      </x:c>
      <x:c r="G252" t="str">
        <x:f>IF(F252=1,"UNIQUE",IF(COUNTIFS(Rates_Raw!$AF$5:$AF$464,B252,Rates_Raw!$H$5:$H$464,Rates_Raw!H252,Rates_Raw!$L$5:$L$464,Rates_Raw!L252)=F252,"REPEATED SOURCE ROW","CONFLICTING KEY"))</x:f>
        <x:v>UNIQUE</x:v>
      </x:c>
      <x:c r="H252" t="str">
        <x:f>IF(F252&gt;1,"REVIEW","OK")</x:f>
        <x:v>OK</x:v>
      </x:c>
      <x:c r="I252" t="str">
        <x:f>Rates_Raw!H252</x:f>
        <x:v>1226A</x:v>
      </x:c>
      <x:c r="J252" t="str">
        <x:f>Rates_Raw!L252</x:f>
        <x:v>$49.7125</x:v>
      </x:c>
    </x:row>
    <x:row r="253">
      <x:c r="A253" t="n">
        <x:f>Rates_Raw!A253</x:f>
        <x:v>31525</x:v>
      </x:c>
      <x:c r="B253" t="str">
        <x:f>Rates_Raw!AF253</x:f>
        <x:v>1226|COMMN|2025-07-01</x:v>
      </x:c>
      <x:c r="C253" t="str">
        <x:f>Rates_Raw!D253</x:f>
        <x:v>1226</x:v>
      </x:c>
      <x:c r="D253" t="str">
        <x:f>Rates_Raw!C253</x:f>
        <x:v>2025/07/01</x:v>
      </x:c>
      <x:c r="E253" t="str">
        <x:f>Rates_Raw!F253</x:f>
        <x:v>790</x:v>
      </x:c>
      <x:c r="F253" t="n">
        <x:f>COUNTIF(Rates_Raw!$AF$5:$AF$464,B253)</x:f>
        <x:v>1</x:v>
      </x:c>
      <x:c r="G253" t="str">
        <x:f>IF(F253=1,"UNIQUE",IF(COUNTIFS(Rates_Raw!$AF$5:$AF$464,B253,Rates_Raw!$H$5:$H$464,Rates_Raw!H253,Rates_Raw!$L$5:$L$464,Rates_Raw!L253)=F253,"REPEATED SOURCE ROW","CONFLICTING KEY"))</x:f>
        <x:v>UNIQUE</x:v>
      </x:c>
      <x:c r="H253" t="str">
        <x:f>IF(F253&gt;1,"REVIEW","OK")</x:f>
        <x:v>OK</x:v>
      </x:c>
      <x:c r="I253" t="str">
        <x:f>Rates_Raw!H253</x:f>
        <x:v>1226B</x:v>
      </x:c>
      <x:c r="J253" t="str">
        <x:f>Rates_Raw!L253</x:f>
        <x:v>$50.7125</x:v>
      </x:c>
    </x:row>
    <x:row r="254">
      <x:c r="A254" t="n">
        <x:f>Rates_Raw!A254</x:f>
        <x:v>31526</x:v>
      </x:c>
      <x:c r="B254" t="str">
        <x:f>Rates_Raw!AF254</x:f>
        <x:v>1226|SFMTA|2025-07-01</x:v>
      </x:c>
      <x:c r="C254" t="str">
        <x:f>Rates_Raw!D254</x:f>
        <x:v>1226</x:v>
      </x:c>
      <x:c r="D254" t="str">
        <x:f>Rates_Raw!C254</x:f>
        <x:v>2025/07/01</x:v>
      </x:c>
      <x:c r="E254" t="str">
        <x:f>Rates_Raw!F254</x:f>
        <x:v>790</x:v>
      </x:c>
      <x:c r="F254" t="n">
        <x:f>COUNTIF(Rates_Raw!$AF$5:$AF$464,B254)</x:f>
        <x:v>1</x:v>
      </x:c>
      <x:c r="G254" t="str">
        <x:f>IF(F254=1,"UNIQUE",IF(COUNTIFS(Rates_Raw!$AF$5:$AF$464,B254,Rates_Raw!$H$5:$H$464,Rates_Raw!H254,Rates_Raw!$L$5:$L$464,Rates_Raw!L254)=F254,"REPEATED SOURCE ROW","CONFLICTING KEY"))</x:f>
        <x:v>UNIQUE</x:v>
      </x:c>
      <x:c r="H254" t="str">
        <x:f>IF(F254&gt;1,"REVIEW","OK")</x:f>
        <x:v>OK</x:v>
      </x:c>
      <x:c r="I254" t="str">
        <x:f>Rates_Raw!H254</x:f>
        <x:v>1226B</x:v>
      </x:c>
      <x:c r="J254" t="str">
        <x:f>Rates_Raw!L254</x:f>
        <x:v>$50.7125</x:v>
      </x:c>
    </x:row>
    <x:row r="255">
      <x:c r="A255" t="n">
        <x:f>Rates_Raw!A255</x:f>
        <x:v>33210</x:v>
      </x:c>
      <x:c r="B255" t="str">
        <x:f>Rates_Raw!AF255</x:f>
        <x:v>1226|COMMN|2026-01-03</x:v>
      </x:c>
      <x:c r="C255" t="str">
        <x:f>Rates_Raw!D255</x:f>
        <x:v>1226</x:v>
      </x:c>
      <x:c r="D255" t="str">
        <x:f>Rates_Raw!C255</x:f>
        <x:v>2026/01/03</x:v>
      </x:c>
      <x:c r="E255" t="str">
        <x:f>Rates_Raw!F255</x:f>
        <x:v>790</x:v>
      </x:c>
      <x:c r="F255" t="n">
        <x:f>COUNTIF(Rates_Raw!$AF$5:$AF$464,B255)</x:f>
        <x:v>1</x:v>
      </x:c>
      <x:c r="G255" t="str">
        <x:f>IF(F255=1,"UNIQUE",IF(COUNTIFS(Rates_Raw!$AF$5:$AF$464,B255,Rates_Raw!$H$5:$H$464,Rates_Raw!H255,Rates_Raw!$L$5:$L$464,Rates_Raw!L255)=F255,"REPEATED SOURCE ROW","CONFLICTING KEY"))</x:f>
        <x:v>UNIQUE</x:v>
      </x:c>
      <x:c r="H255" t="str">
        <x:f>IF(F255&gt;1,"REVIEW","OK")</x:f>
        <x:v>OK</x:v>
      </x:c>
      <x:c r="I255" t="str">
        <x:f>Rates_Raw!H255</x:f>
        <x:v>1226C</x:v>
      </x:c>
      <x:c r="J255" t="str">
        <x:f>Rates_Raw!L255</x:f>
        <x:v>$51.4750</x:v>
      </x:c>
    </x:row>
    <x:row r="256">
      <x:c r="A256" t="n">
        <x:f>Rates_Raw!A256</x:f>
        <x:v>33211</x:v>
      </x:c>
      <x:c r="B256" t="str">
        <x:f>Rates_Raw!AF256</x:f>
        <x:v>1226|SFMTA|2026-01-03</x:v>
      </x:c>
      <x:c r="C256" t="str">
        <x:f>Rates_Raw!D256</x:f>
        <x:v>1226</x:v>
      </x:c>
      <x:c r="D256" t="str">
        <x:f>Rates_Raw!C256</x:f>
        <x:v>2026/01/03</x:v>
      </x:c>
      <x:c r="E256" t="str">
        <x:f>Rates_Raw!F256</x:f>
        <x:v>790</x:v>
      </x:c>
      <x:c r="F256" t="n">
        <x:f>COUNTIF(Rates_Raw!$AF$5:$AF$464,B256)</x:f>
        <x:v>1</x:v>
      </x:c>
      <x:c r="G256" t="str">
        <x:f>IF(F256=1,"UNIQUE",IF(COUNTIFS(Rates_Raw!$AF$5:$AF$464,B256,Rates_Raw!$H$5:$H$464,Rates_Raw!H256,Rates_Raw!$L$5:$L$464,Rates_Raw!L256)=F256,"REPEATED SOURCE ROW","CONFLICTING KEY"))</x:f>
        <x:v>UNIQUE</x:v>
      </x:c>
      <x:c r="H256" t="str">
        <x:f>IF(F256&gt;1,"REVIEW","OK")</x:f>
        <x:v>OK</x:v>
      </x:c>
      <x:c r="I256" t="str">
        <x:f>Rates_Raw!H256</x:f>
        <x:v>1226C</x:v>
      </x:c>
      <x:c r="J256" t="str">
        <x:f>Rates_Raw!L256</x:f>
        <x:v>$51.4750</x:v>
      </x:c>
    </x:row>
    <x:row r="257">
      <x:c r="A257" t="n">
        <x:f>Rates_Raw!A257</x:f>
        <x:v>16026</x:v>
      </x:c>
      <x:c r="B257" t="str">
        <x:f>Rates_Raw!AF257</x:f>
        <x:v>1231|COMMN|2020-07-01</x:v>
      </x:c>
      <x:c r="C257" t="str">
        <x:f>Rates_Raw!D257</x:f>
        <x:v>1231</x:v>
      </x:c>
      <x:c r="D257" t="str">
        <x:f>Rates_Raw!C257</x:f>
        <x:v>2020/07/01</x:v>
      </x:c>
      <x:c r="E257" t="str">
        <x:f>Rates_Raw!F257</x:f>
        <x:v>022</x:v>
      </x:c>
      <x:c r="F257" t="n">
        <x:f>COUNTIF(Rates_Raw!$AF$5:$AF$464,B257)</x:f>
        <x:v>1</x:v>
      </x:c>
      <x:c r="G257" t="str">
        <x:f>IF(F257=1,"UNIQUE",IF(COUNTIFS(Rates_Raw!$AF$5:$AF$464,B257,Rates_Raw!$H$5:$H$464,Rates_Raw!H257,Rates_Raw!$L$5:$L$464,Rates_Raw!L257)=F257,"REPEATED SOURCE ROW","CONFLICTING KEY"))</x:f>
        <x:v>UNIQUE</x:v>
      </x:c>
      <x:c r="H257" t="str">
        <x:f>IF(F257&gt;1,"REVIEW","OK")</x:f>
        <x:v>OK</x:v>
      </x:c>
      <x:c r="I257" t="str">
        <x:f>Rates_Raw!H257</x:f>
        <x:v>1231S</x:v>
      </x:c>
      <x:c r="J257" t="str">
        <x:f>Rates_Raw!L257</x:f>
        <x:v>$52.2625</x:v>
      </x:c>
    </x:row>
    <x:row r="258">
      <x:c r="A258" t="n">
        <x:f>Rates_Raw!A258</x:f>
        <x:v>26376</x:v>
      </x:c>
      <x:c r="B258" t="str">
        <x:f>Rates_Raw!AF258</x:f>
        <x:v>1231|COMMN|2024-01-06</x:v>
      </x:c>
      <x:c r="C258" t="str">
        <x:f>Rates_Raw!D258</x:f>
        <x:v>1231</x:v>
      </x:c>
      <x:c r="D258" t="str">
        <x:f>Rates_Raw!C258</x:f>
        <x:v>2024/01/06</x:v>
      </x:c>
      <x:c r="E258" t="str">
        <x:f>Rates_Raw!F258</x:f>
        <x:v>022</x:v>
      </x:c>
      <x:c r="F258" t="n">
        <x:f>COUNTIF(Rates_Raw!$AF$5:$AF$464,B258)</x:f>
        <x:v>1</x:v>
      </x:c>
      <x:c r="G258" t="str">
        <x:f>IF(F258=1,"UNIQUE",IF(COUNTIFS(Rates_Raw!$AF$5:$AF$464,B258,Rates_Raw!$H$5:$H$464,Rates_Raw!H258,Rates_Raw!$L$5:$L$464,Rates_Raw!L258)=F258,"REPEATED SOURCE ROW","CONFLICTING KEY"))</x:f>
        <x:v>UNIQUE</x:v>
      </x:c>
      <x:c r="H258" t="str">
        <x:f>IF(F258&gt;1,"REVIEW","OK")</x:f>
        <x:v>OK</x:v>
      </x:c>
      <x:c r="I258" t="str">
        <x:f>Rates_Raw!H258</x:f>
        <x:v>1231Y</x:v>
      </x:c>
      <x:c r="J258" t="str">
        <x:f>Rates_Raw!L258</x:f>
        <x:v>$61.7625</x:v>
      </x:c>
    </x:row>
    <x:row r="259">
      <x:c r="A259" t="n">
        <x:f>Rates_Raw!A259</x:f>
        <x:v>26377</x:v>
      </x:c>
      <x:c r="B259" t="str">
        <x:f>Rates_Raw!AF259</x:f>
        <x:v>1231|SFMTA|2024-01-06</x:v>
      </x:c>
      <x:c r="C259" t="str">
        <x:f>Rates_Raw!D259</x:f>
        <x:v>1231</x:v>
      </x:c>
      <x:c r="D259" t="str">
        <x:f>Rates_Raw!C259</x:f>
        <x:v>2024/01/06</x:v>
      </x:c>
      <x:c r="E259" t="str">
        <x:f>Rates_Raw!F259</x:f>
        <x:v>022</x:v>
      </x:c>
      <x:c r="F259" t="n">
        <x:f>COUNTIF(Rates_Raw!$AF$5:$AF$464,B259)</x:f>
        <x:v>1</x:v>
      </x:c>
      <x:c r="G259" t="str">
        <x:f>IF(F259=1,"UNIQUE",IF(COUNTIFS(Rates_Raw!$AF$5:$AF$464,B259,Rates_Raw!$H$5:$H$464,Rates_Raw!H259,Rates_Raw!$L$5:$L$464,Rates_Raw!L259)=F259,"REPEATED SOURCE ROW","CONFLICTING KEY"))</x:f>
        <x:v>UNIQUE</x:v>
      </x:c>
      <x:c r="H259" t="str">
        <x:f>IF(F259&gt;1,"REVIEW","OK")</x:f>
        <x:v>OK</x:v>
      </x:c>
      <x:c r="I259" t="str">
        <x:f>Rates_Raw!H259</x:f>
        <x:v>1231Y</x:v>
      </x:c>
      <x:c r="J259" t="str">
        <x:f>Rates_Raw!L259</x:f>
        <x:v>$61.7625</x:v>
      </x:c>
    </x:row>
    <x:row r="260">
      <x:c r="A260" t="n">
        <x:f>Rates_Raw!A260</x:f>
        <x:v>28114</x:v>
      </x:c>
      <x:c r="B260" t="str">
        <x:f>Rates_Raw!AF260</x:f>
        <x:v>1231|COMMN|2024-07-01</x:v>
      </x:c>
      <x:c r="C260" t="str">
        <x:f>Rates_Raw!D260</x:f>
        <x:v>1231</x:v>
      </x:c>
      <x:c r="D260" t="str">
        <x:f>Rates_Raw!C260</x:f>
        <x:v>2024/07/01</x:v>
      </x:c>
      <x:c r="E260" t="str">
        <x:f>Rates_Raw!F260</x:f>
        <x:v>022</x:v>
      </x:c>
      <x:c r="F260" t="n">
        <x:f>COUNTIF(Rates_Raw!$AF$5:$AF$464,B260)</x:f>
        <x:v>1</x:v>
      </x:c>
      <x:c r="G260" t="str">
        <x:f>IF(F260=1,"UNIQUE",IF(COUNTIFS(Rates_Raw!$AF$5:$AF$464,B260,Rates_Raw!$H$5:$H$464,Rates_Raw!H260,Rates_Raw!$L$5:$L$464,Rates_Raw!L260)=F260,"REPEATED SOURCE ROW","CONFLICTING KEY"))</x:f>
        <x:v>UNIQUE</x:v>
      </x:c>
      <x:c r="H260" t="str">
        <x:f>IF(F260&gt;1,"REVIEW","OK")</x:f>
        <x:v>OK</x:v>
      </x:c>
      <x:c r="I260" t="str">
        <x:f>Rates_Raw!H260</x:f>
        <x:v>1231Z</x:v>
      </x:c>
      <x:c r="J260" t="str">
        <x:f>Rates_Raw!L260</x:f>
        <x:v>$62.6875</x:v>
      </x:c>
    </x:row>
    <x:row r="261">
      <x:c r="A261" t="n">
        <x:f>Rates_Raw!A261</x:f>
        <x:v>28115</x:v>
      </x:c>
      <x:c r="B261" t="str">
        <x:f>Rates_Raw!AF261</x:f>
        <x:v>1231|SFMTA|2024-07-01</x:v>
      </x:c>
      <x:c r="C261" t="str">
        <x:f>Rates_Raw!D261</x:f>
        <x:v>1231</x:v>
      </x:c>
      <x:c r="D261" t="str">
        <x:f>Rates_Raw!C261</x:f>
        <x:v>2024/07/01</x:v>
      </x:c>
      <x:c r="E261" t="str">
        <x:f>Rates_Raw!F261</x:f>
        <x:v>022</x:v>
      </x:c>
      <x:c r="F261" t="n">
        <x:f>COUNTIF(Rates_Raw!$AF$5:$AF$464,B261)</x:f>
        <x:v>1</x:v>
      </x:c>
      <x:c r="G261" t="str">
        <x:f>IF(F261=1,"UNIQUE",IF(COUNTIFS(Rates_Raw!$AF$5:$AF$464,B261,Rates_Raw!$H$5:$H$464,Rates_Raw!H261,Rates_Raw!$L$5:$L$464,Rates_Raw!L261)=F261,"REPEATED SOURCE ROW","CONFLICTING KEY"))</x:f>
        <x:v>UNIQUE</x:v>
      </x:c>
      <x:c r="H261" t="str">
        <x:f>IF(F261&gt;1,"REVIEW","OK")</x:f>
        <x:v>OK</x:v>
      </x:c>
      <x:c r="I261" t="str">
        <x:f>Rates_Raw!H261</x:f>
        <x:v>1231Z</x:v>
      </x:c>
      <x:c r="J261" t="str">
        <x:f>Rates_Raw!L261</x:f>
        <x:v>$62.6875</x:v>
      </x:c>
    </x:row>
    <x:row r="262">
      <x:c r="A262" t="n">
        <x:f>Rates_Raw!A262</x:f>
        <x:v>29820</x:v>
      </x:c>
      <x:c r="B262" t="str">
        <x:f>Rates_Raw!AF262</x:f>
        <x:v>1231|COMMN|2025-01-04</x:v>
      </x:c>
      <x:c r="C262" t="str">
        <x:f>Rates_Raw!D262</x:f>
        <x:v>1231</x:v>
      </x:c>
      <x:c r="D262" t="str">
        <x:f>Rates_Raw!C262</x:f>
        <x:v>2025/01/04</x:v>
      </x:c>
      <x:c r="E262" t="str">
        <x:f>Rates_Raw!F262</x:f>
        <x:v>022</x:v>
      </x:c>
      <x:c r="F262" t="n">
        <x:f>COUNTIF(Rates_Raw!$AF$5:$AF$464,B262)</x:f>
        <x:v>1</x:v>
      </x:c>
      <x:c r="G262" t="str">
        <x:f>IF(F262=1,"UNIQUE",IF(COUNTIFS(Rates_Raw!$AF$5:$AF$464,B262,Rates_Raw!$H$5:$H$464,Rates_Raw!H262,Rates_Raw!$L$5:$L$464,Rates_Raw!L262)=F262,"REPEATED SOURCE ROW","CONFLICTING KEY"))</x:f>
        <x:v>UNIQUE</x:v>
      </x:c>
      <x:c r="H262" t="str">
        <x:f>IF(F262&gt;1,"REVIEW","OK")</x:f>
        <x:v>OK</x:v>
      </x:c>
      <x:c r="I262" t="str">
        <x:f>Rates_Raw!H262</x:f>
        <x:v>1231A</x:v>
      </x:c>
      <x:c r="J262" t="str">
        <x:f>Rates_Raw!L262</x:f>
        <x:v>$63.6250</x:v>
      </x:c>
    </x:row>
    <x:row r="263">
      <x:c r="A263" t="n">
        <x:f>Rates_Raw!A263</x:f>
        <x:v>29821</x:v>
      </x:c>
      <x:c r="B263" t="str">
        <x:f>Rates_Raw!AF263</x:f>
        <x:v>1231|SFMTA|2025-01-04</x:v>
      </x:c>
      <x:c r="C263" t="str">
        <x:f>Rates_Raw!D263</x:f>
        <x:v>1231</x:v>
      </x:c>
      <x:c r="D263" t="str">
        <x:f>Rates_Raw!C263</x:f>
        <x:v>2025/01/04</x:v>
      </x:c>
      <x:c r="E263" t="str">
        <x:f>Rates_Raw!F263</x:f>
        <x:v>022</x:v>
      </x:c>
      <x:c r="F263" t="n">
        <x:f>COUNTIF(Rates_Raw!$AF$5:$AF$464,B263)</x:f>
        <x:v>1</x:v>
      </x:c>
      <x:c r="G263" t="str">
        <x:f>IF(F263=1,"UNIQUE",IF(COUNTIFS(Rates_Raw!$AF$5:$AF$464,B263,Rates_Raw!$H$5:$H$464,Rates_Raw!H263,Rates_Raw!$L$5:$L$464,Rates_Raw!L263)=F263,"REPEATED SOURCE ROW","CONFLICTING KEY"))</x:f>
        <x:v>UNIQUE</x:v>
      </x:c>
      <x:c r="H263" t="str">
        <x:f>IF(F263&gt;1,"REVIEW","OK")</x:f>
        <x:v>OK</x:v>
      </x:c>
      <x:c r="I263" t="str">
        <x:f>Rates_Raw!H263</x:f>
        <x:v>1231A</x:v>
      </x:c>
      <x:c r="J263" t="str">
        <x:f>Rates_Raw!L263</x:f>
        <x:v>$63.6250</x:v>
      </x:c>
    </x:row>
    <x:row r="264">
      <x:c r="A264" t="n">
        <x:f>Rates_Raw!A264</x:f>
        <x:v>31533</x:v>
      </x:c>
      <x:c r="B264" t="str">
        <x:f>Rates_Raw!AF264</x:f>
        <x:v>1231|COMMN|2025-07-01</x:v>
      </x:c>
      <x:c r="C264" t="str">
        <x:f>Rates_Raw!D264</x:f>
        <x:v>1231</x:v>
      </x:c>
      <x:c r="D264" t="str">
        <x:f>Rates_Raw!C264</x:f>
        <x:v>2025/07/01</x:v>
      </x:c>
      <x:c r="E264" t="str">
        <x:f>Rates_Raw!F264</x:f>
        <x:v>022</x:v>
      </x:c>
      <x:c r="F264" t="n">
        <x:f>COUNTIF(Rates_Raw!$AF$5:$AF$464,B264)</x:f>
        <x:v>1</x:v>
      </x:c>
      <x:c r="G264" t="str">
        <x:f>IF(F264=1,"UNIQUE",IF(COUNTIFS(Rates_Raw!$AF$5:$AF$464,B264,Rates_Raw!$H$5:$H$464,Rates_Raw!H264,Rates_Raw!$L$5:$L$464,Rates_Raw!L264)=F264,"REPEATED SOURCE ROW","CONFLICTING KEY"))</x:f>
        <x:v>UNIQUE</x:v>
      </x:c>
      <x:c r="H264" t="str">
        <x:f>IF(F264&gt;1,"REVIEW","OK")</x:f>
        <x:v>OK</x:v>
      </x:c>
      <x:c r="I264" t="str">
        <x:f>Rates_Raw!H264</x:f>
        <x:v>1231B</x:v>
      </x:c>
      <x:c r="J264" t="str">
        <x:f>Rates_Raw!L264</x:f>
        <x:v>$64.9000</x:v>
      </x:c>
    </x:row>
    <x:row r="265">
      <x:c r="A265" t="n">
        <x:f>Rates_Raw!A265</x:f>
        <x:v>31534</x:v>
      </x:c>
      <x:c r="B265" t="str">
        <x:f>Rates_Raw!AF265</x:f>
        <x:v>1231|SFMTA|2025-07-01</x:v>
      </x:c>
      <x:c r="C265" t="str">
        <x:f>Rates_Raw!D265</x:f>
        <x:v>1231</x:v>
      </x:c>
      <x:c r="D265" t="str">
        <x:f>Rates_Raw!C265</x:f>
        <x:v>2025/07/01</x:v>
      </x:c>
      <x:c r="E265" t="str">
        <x:f>Rates_Raw!F265</x:f>
        <x:v>022</x:v>
      </x:c>
      <x:c r="F265" t="n">
        <x:f>COUNTIF(Rates_Raw!$AF$5:$AF$464,B265)</x:f>
        <x:v>1</x:v>
      </x:c>
      <x:c r="G265" t="str">
        <x:f>IF(F265=1,"UNIQUE",IF(COUNTIFS(Rates_Raw!$AF$5:$AF$464,B265,Rates_Raw!$H$5:$H$464,Rates_Raw!H265,Rates_Raw!$L$5:$L$464,Rates_Raw!L265)=F265,"REPEATED SOURCE ROW","CONFLICTING KEY"))</x:f>
        <x:v>UNIQUE</x:v>
      </x:c>
      <x:c r="H265" t="str">
        <x:f>IF(F265&gt;1,"REVIEW","OK")</x:f>
        <x:v>OK</x:v>
      </x:c>
      <x:c r="I265" t="str">
        <x:f>Rates_Raw!H265</x:f>
        <x:v>1231B</x:v>
      </x:c>
      <x:c r="J265" t="str">
        <x:f>Rates_Raw!L265</x:f>
        <x:v>$64.9000</x:v>
      </x:c>
    </x:row>
    <x:row r="266">
      <x:c r="A266" t="n">
        <x:f>Rates_Raw!A266</x:f>
        <x:v>33218</x:v>
      </x:c>
      <x:c r="B266" t="str">
        <x:f>Rates_Raw!AF266</x:f>
        <x:v>1231|COMMN|2026-01-03</x:v>
      </x:c>
      <x:c r="C266" t="str">
        <x:f>Rates_Raw!D266</x:f>
        <x:v>1231</x:v>
      </x:c>
      <x:c r="D266" t="str">
        <x:f>Rates_Raw!C266</x:f>
        <x:v>2026/01/03</x:v>
      </x:c>
      <x:c r="E266" t="str">
        <x:f>Rates_Raw!F266</x:f>
        <x:v>022</x:v>
      </x:c>
      <x:c r="F266" t="n">
        <x:f>COUNTIF(Rates_Raw!$AF$5:$AF$464,B266)</x:f>
        <x:v>1</x:v>
      </x:c>
      <x:c r="G266" t="str">
        <x:f>IF(F266=1,"UNIQUE",IF(COUNTIFS(Rates_Raw!$AF$5:$AF$464,B266,Rates_Raw!$H$5:$H$464,Rates_Raw!H266,Rates_Raw!$L$5:$L$464,Rates_Raw!L266)=F266,"REPEATED SOURCE ROW","CONFLICTING KEY"))</x:f>
        <x:v>UNIQUE</x:v>
      </x:c>
      <x:c r="H266" t="str">
        <x:f>IF(F266&gt;1,"REVIEW","OK")</x:f>
        <x:v>OK</x:v>
      </x:c>
      <x:c r="I266" t="str">
        <x:f>Rates_Raw!H266</x:f>
        <x:v>1231C</x:v>
      </x:c>
      <x:c r="J266" t="str">
        <x:f>Rates_Raw!L266</x:f>
        <x:v>$65.8750</x:v>
      </x:c>
    </x:row>
    <x:row r="267">
      <x:c r="A267" t="n">
        <x:f>Rates_Raw!A267</x:f>
        <x:v>33219</x:v>
      </x:c>
      <x:c r="B267" t="str">
        <x:f>Rates_Raw!AF267</x:f>
        <x:v>1231|SFMTA|2026-01-03</x:v>
      </x:c>
      <x:c r="C267" t="str">
        <x:f>Rates_Raw!D267</x:f>
        <x:v>1231</x:v>
      </x:c>
      <x:c r="D267" t="str">
        <x:f>Rates_Raw!C267</x:f>
        <x:v>2026/01/03</x:v>
      </x:c>
      <x:c r="E267" t="str">
        <x:f>Rates_Raw!F267</x:f>
        <x:v>022</x:v>
      </x:c>
      <x:c r="F267" t="n">
        <x:f>COUNTIF(Rates_Raw!$AF$5:$AF$464,B267)</x:f>
        <x:v>1</x:v>
      </x:c>
      <x:c r="G267" t="str">
        <x:f>IF(F267=1,"UNIQUE",IF(COUNTIFS(Rates_Raw!$AF$5:$AF$464,B267,Rates_Raw!$H$5:$H$464,Rates_Raw!H267,Rates_Raw!$L$5:$L$464,Rates_Raw!L267)=F267,"REPEATED SOURCE ROW","CONFLICTING KEY"))</x:f>
        <x:v>UNIQUE</x:v>
      </x:c>
      <x:c r="H267" t="str">
        <x:f>IF(F267&gt;1,"REVIEW","OK")</x:f>
        <x:v>OK</x:v>
      </x:c>
      <x:c r="I267" t="str">
        <x:f>Rates_Raw!H267</x:f>
        <x:v>1231C</x:v>
      </x:c>
      <x:c r="J267" t="str">
        <x:f>Rates_Raw!L267</x:f>
        <x:v>$65.8750</x:v>
      </x:c>
    </x:row>
    <x:row r="268">
      <x:c r="A268" t="n">
        <x:f>Rates_Raw!A268</x:f>
        <x:v>26380</x:v>
      </x:c>
      <x:c r="B268" t="str">
        <x:f>Rates_Raw!AF268</x:f>
        <x:v>1233|COMMN|2024-01-06</x:v>
      </x:c>
      <x:c r="C268" t="str">
        <x:f>Rates_Raw!D268</x:f>
        <x:v>1233</x:v>
      </x:c>
      <x:c r="D268" t="str">
        <x:f>Rates_Raw!C268</x:f>
        <x:v>2024/01/06</x:v>
      </x:c>
      <x:c r="E268" t="str">
        <x:f>Rates_Raw!F268</x:f>
        <x:v>022</x:v>
      </x:c>
      <x:c r="F268" t="n">
        <x:f>COUNTIF(Rates_Raw!$AF$5:$AF$464,B268)</x:f>
        <x:v>1</x:v>
      </x:c>
      <x:c r="G268" t="str">
        <x:f>IF(F268=1,"UNIQUE",IF(COUNTIFS(Rates_Raw!$AF$5:$AF$464,B268,Rates_Raw!$H$5:$H$464,Rates_Raw!H268,Rates_Raw!$L$5:$L$464,Rates_Raw!L268)=F268,"REPEATED SOURCE ROW","CONFLICTING KEY"))</x:f>
        <x:v>UNIQUE</x:v>
      </x:c>
      <x:c r="H268" t="str">
        <x:f>IF(F268&gt;1,"REVIEW","OK")</x:f>
        <x:v>OK</x:v>
      </x:c>
      <x:c r="I268" t="str">
        <x:f>Rates_Raw!H268</x:f>
        <x:v>1233Y</x:v>
      </x:c>
      <x:c r="J268" t="str">
        <x:f>Rates_Raw!L268</x:f>
        <x:v>$52.9000</x:v>
      </x:c>
    </x:row>
    <x:row r="269">
      <x:c r="A269" t="n">
        <x:f>Rates_Raw!A269</x:f>
        <x:v>26381</x:v>
      </x:c>
      <x:c r="B269" t="str">
        <x:f>Rates_Raw!AF269</x:f>
        <x:v>1233|SFMTA|2024-01-06</x:v>
      </x:c>
      <x:c r="C269" t="str">
        <x:f>Rates_Raw!D269</x:f>
        <x:v>1233</x:v>
      </x:c>
      <x:c r="D269" t="str">
        <x:f>Rates_Raw!C269</x:f>
        <x:v>2024/01/06</x:v>
      </x:c>
      <x:c r="E269" t="str">
        <x:f>Rates_Raw!F269</x:f>
        <x:v>022</x:v>
      </x:c>
      <x:c r="F269" t="n">
        <x:f>COUNTIF(Rates_Raw!$AF$5:$AF$464,B269)</x:f>
        <x:v>1</x:v>
      </x:c>
      <x:c r="G269" t="str">
        <x:f>IF(F269=1,"UNIQUE",IF(COUNTIFS(Rates_Raw!$AF$5:$AF$464,B269,Rates_Raw!$H$5:$H$464,Rates_Raw!H269,Rates_Raw!$L$5:$L$464,Rates_Raw!L269)=F269,"REPEATED SOURCE ROW","CONFLICTING KEY"))</x:f>
        <x:v>UNIQUE</x:v>
      </x:c>
      <x:c r="H269" t="str">
        <x:f>IF(F269&gt;1,"REVIEW","OK")</x:f>
        <x:v>OK</x:v>
      </x:c>
      <x:c r="I269" t="str">
        <x:f>Rates_Raw!H269</x:f>
        <x:v>1233Y</x:v>
      </x:c>
      <x:c r="J269" t="str">
        <x:f>Rates_Raw!L269</x:f>
        <x:v>$52.9000</x:v>
      </x:c>
    </x:row>
    <x:row r="270">
      <x:c r="A270" t="n">
        <x:f>Rates_Raw!A270</x:f>
        <x:v>28118</x:v>
      </x:c>
      <x:c r="B270" t="str">
        <x:f>Rates_Raw!AF270</x:f>
        <x:v>1233|COMMN|2024-07-01</x:v>
      </x:c>
      <x:c r="C270" t="str">
        <x:f>Rates_Raw!D270</x:f>
        <x:v>1233</x:v>
      </x:c>
      <x:c r="D270" t="str">
        <x:f>Rates_Raw!C270</x:f>
        <x:v>2024/07/01</x:v>
      </x:c>
      <x:c r="E270" t="str">
        <x:f>Rates_Raw!F270</x:f>
        <x:v>022</x:v>
      </x:c>
      <x:c r="F270" t="n">
        <x:f>COUNTIF(Rates_Raw!$AF$5:$AF$464,B270)</x:f>
        <x:v>1</x:v>
      </x:c>
      <x:c r="G270" t="str">
        <x:f>IF(F270=1,"UNIQUE",IF(COUNTIFS(Rates_Raw!$AF$5:$AF$464,B270,Rates_Raw!$H$5:$H$464,Rates_Raw!H270,Rates_Raw!$L$5:$L$464,Rates_Raw!L270)=F270,"REPEATED SOURCE ROW","CONFLICTING KEY"))</x:f>
        <x:v>UNIQUE</x:v>
      </x:c>
      <x:c r="H270" t="str">
        <x:f>IF(F270&gt;1,"REVIEW","OK")</x:f>
        <x:v>OK</x:v>
      </x:c>
      <x:c r="I270" t="str">
        <x:f>Rates_Raw!H270</x:f>
        <x:v>1233Z</x:v>
      </x:c>
      <x:c r="J270" t="str">
        <x:f>Rates_Raw!L270</x:f>
        <x:v>$53.6875</x:v>
      </x:c>
    </x:row>
    <x:row r="271">
      <x:c r="A271" t="n">
        <x:f>Rates_Raw!A271</x:f>
        <x:v>28119</x:v>
      </x:c>
      <x:c r="B271" t="str">
        <x:f>Rates_Raw!AF271</x:f>
        <x:v>1233|SFMTA|2024-07-01</x:v>
      </x:c>
      <x:c r="C271" t="str">
        <x:f>Rates_Raw!D271</x:f>
        <x:v>1233</x:v>
      </x:c>
      <x:c r="D271" t="str">
        <x:f>Rates_Raw!C271</x:f>
        <x:v>2024/07/01</x:v>
      </x:c>
      <x:c r="E271" t="str">
        <x:f>Rates_Raw!F271</x:f>
        <x:v>022</x:v>
      </x:c>
      <x:c r="F271" t="n">
        <x:f>COUNTIF(Rates_Raw!$AF$5:$AF$464,B271)</x:f>
        <x:v>1</x:v>
      </x:c>
      <x:c r="G271" t="str">
        <x:f>IF(F271=1,"UNIQUE",IF(COUNTIFS(Rates_Raw!$AF$5:$AF$464,B271,Rates_Raw!$H$5:$H$464,Rates_Raw!H271,Rates_Raw!$L$5:$L$464,Rates_Raw!L271)=F271,"REPEATED SOURCE ROW","CONFLICTING KEY"))</x:f>
        <x:v>UNIQUE</x:v>
      </x:c>
      <x:c r="H271" t="str">
        <x:f>IF(F271&gt;1,"REVIEW","OK")</x:f>
        <x:v>OK</x:v>
      </x:c>
      <x:c r="I271" t="str">
        <x:f>Rates_Raw!H271</x:f>
        <x:v>1233Z</x:v>
      </x:c>
      <x:c r="J271" t="str">
        <x:f>Rates_Raw!L271</x:f>
        <x:v>$53.6875</x:v>
      </x:c>
    </x:row>
    <x:row r="272">
      <x:c r="A272" t="n">
        <x:f>Rates_Raw!A272</x:f>
        <x:v>29824</x:v>
      </x:c>
      <x:c r="B272" t="str">
        <x:f>Rates_Raw!AF272</x:f>
        <x:v>1233|COMMN|2025-01-04</x:v>
      </x:c>
      <x:c r="C272" t="str">
        <x:f>Rates_Raw!D272</x:f>
        <x:v>1233</x:v>
      </x:c>
      <x:c r="D272" t="str">
        <x:f>Rates_Raw!C272</x:f>
        <x:v>2025/01/04</x:v>
      </x:c>
      <x:c r="E272" t="str">
        <x:f>Rates_Raw!F272</x:f>
        <x:v>022</x:v>
      </x:c>
      <x:c r="F272" t="n">
        <x:f>COUNTIF(Rates_Raw!$AF$5:$AF$464,B272)</x:f>
        <x:v>1</x:v>
      </x:c>
      <x:c r="G272" t="str">
        <x:f>IF(F272=1,"UNIQUE",IF(COUNTIFS(Rates_Raw!$AF$5:$AF$464,B272,Rates_Raw!$H$5:$H$464,Rates_Raw!H272,Rates_Raw!$L$5:$L$464,Rates_Raw!L272)=F272,"REPEATED SOURCE ROW","CONFLICTING KEY"))</x:f>
        <x:v>UNIQUE</x:v>
      </x:c>
      <x:c r="H272" t="str">
        <x:f>IF(F272&gt;1,"REVIEW","OK")</x:f>
        <x:v>OK</x:v>
      </x:c>
      <x:c r="I272" t="str">
        <x:f>Rates_Raw!H272</x:f>
        <x:v>1233A</x:v>
      </x:c>
      <x:c r="J272" t="str">
        <x:f>Rates_Raw!L272</x:f>
        <x:v>$54.4875</x:v>
      </x:c>
    </x:row>
    <x:row r="273">
      <x:c r="A273" t="n">
        <x:f>Rates_Raw!A273</x:f>
        <x:v>29825</x:v>
      </x:c>
      <x:c r="B273" t="str">
        <x:f>Rates_Raw!AF273</x:f>
        <x:v>1233|SFMTA|2025-01-04</x:v>
      </x:c>
      <x:c r="C273" t="str">
        <x:f>Rates_Raw!D273</x:f>
        <x:v>1233</x:v>
      </x:c>
      <x:c r="D273" t="str">
        <x:f>Rates_Raw!C273</x:f>
        <x:v>2025/01/04</x:v>
      </x:c>
      <x:c r="E273" t="str">
        <x:f>Rates_Raw!F273</x:f>
        <x:v>022</x:v>
      </x:c>
      <x:c r="F273" t="n">
        <x:f>COUNTIF(Rates_Raw!$AF$5:$AF$464,B273)</x:f>
        <x:v>1</x:v>
      </x:c>
      <x:c r="G273" t="str">
        <x:f>IF(F273=1,"UNIQUE",IF(COUNTIFS(Rates_Raw!$AF$5:$AF$464,B273,Rates_Raw!$H$5:$H$464,Rates_Raw!H273,Rates_Raw!$L$5:$L$464,Rates_Raw!L273)=F273,"REPEATED SOURCE ROW","CONFLICTING KEY"))</x:f>
        <x:v>UNIQUE</x:v>
      </x:c>
      <x:c r="H273" t="str">
        <x:f>IF(F273&gt;1,"REVIEW","OK")</x:f>
        <x:v>OK</x:v>
      </x:c>
      <x:c r="I273" t="str">
        <x:f>Rates_Raw!H273</x:f>
        <x:v>1233A</x:v>
      </x:c>
      <x:c r="J273" t="str">
        <x:f>Rates_Raw!L273</x:f>
        <x:v>$54.4875</x:v>
      </x:c>
    </x:row>
    <x:row r="274">
      <x:c r="A274" t="n">
        <x:f>Rates_Raw!A274</x:f>
        <x:v>31537</x:v>
      </x:c>
      <x:c r="B274" t="str">
        <x:f>Rates_Raw!AF274</x:f>
        <x:v>1233|COMMN|2025-07-01</x:v>
      </x:c>
      <x:c r="C274" t="str">
        <x:f>Rates_Raw!D274</x:f>
        <x:v>1233</x:v>
      </x:c>
      <x:c r="D274" t="str">
        <x:f>Rates_Raw!C274</x:f>
        <x:v>2025/07/01</x:v>
      </x:c>
      <x:c r="E274" t="str">
        <x:f>Rates_Raw!F274</x:f>
        <x:v>022</x:v>
      </x:c>
      <x:c r="F274" t="n">
        <x:f>COUNTIF(Rates_Raw!$AF$5:$AF$464,B274)</x:f>
        <x:v>1</x:v>
      </x:c>
      <x:c r="G274" t="str">
        <x:f>IF(F274=1,"UNIQUE",IF(COUNTIFS(Rates_Raw!$AF$5:$AF$464,B274,Rates_Raw!$H$5:$H$464,Rates_Raw!H274,Rates_Raw!$L$5:$L$464,Rates_Raw!L274)=F274,"REPEATED SOURCE ROW","CONFLICTING KEY"))</x:f>
        <x:v>UNIQUE</x:v>
      </x:c>
      <x:c r="H274" t="str">
        <x:f>IF(F274&gt;1,"REVIEW","OK")</x:f>
        <x:v>OK</x:v>
      </x:c>
      <x:c r="I274" t="str">
        <x:f>Rates_Raw!H274</x:f>
        <x:v>1233B</x:v>
      </x:c>
      <x:c r="J274" t="str">
        <x:f>Rates_Raw!L274</x:f>
        <x:v>$55.5875</x:v>
      </x:c>
    </x:row>
    <x:row r="275">
      <x:c r="A275" t="n">
        <x:f>Rates_Raw!A275</x:f>
        <x:v>31538</x:v>
      </x:c>
      <x:c r="B275" t="str">
        <x:f>Rates_Raw!AF275</x:f>
        <x:v>1233|SFMTA|2025-07-01</x:v>
      </x:c>
      <x:c r="C275" t="str">
        <x:f>Rates_Raw!D275</x:f>
        <x:v>1233</x:v>
      </x:c>
      <x:c r="D275" t="str">
        <x:f>Rates_Raw!C275</x:f>
        <x:v>2025/07/01</x:v>
      </x:c>
      <x:c r="E275" t="str">
        <x:f>Rates_Raw!F275</x:f>
        <x:v>022</x:v>
      </x:c>
      <x:c r="F275" t="n">
        <x:f>COUNTIF(Rates_Raw!$AF$5:$AF$464,B275)</x:f>
        <x:v>1</x:v>
      </x:c>
      <x:c r="G275" t="str">
        <x:f>IF(F275=1,"UNIQUE",IF(COUNTIFS(Rates_Raw!$AF$5:$AF$464,B275,Rates_Raw!$H$5:$H$464,Rates_Raw!H275,Rates_Raw!$L$5:$L$464,Rates_Raw!L275)=F275,"REPEATED SOURCE ROW","CONFLICTING KEY"))</x:f>
        <x:v>UNIQUE</x:v>
      </x:c>
      <x:c r="H275" t="str">
        <x:f>IF(F275&gt;1,"REVIEW","OK")</x:f>
        <x:v>OK</x:v>
      </x:c>
      <x:c r="I275" t="str">
        <x:f>Rates_Raw!H275</x:f>
        <x:v>1233B</x:v>
      </x:c>
      <x:c r="J275" t="str">
        <x:f>Rates_Raw!L275</x:f>
        <x:v>$55.5875</x:v>
      </x:c>
    </x:row>
    <x:row r="276">
      <x:c r="A276" t="n">
        <x:f>Rates_Raw!A276</x:f>
        <x:v>33222</x:v>
      </x:c>
      <x:c r="B276" t="str">
        <x:f>Rates_Raw!AF276</x:f>
        <x:v>1233|COMMN|2026-01-03</x:v>
      </x:c>
      <x:c r="C276" t="str">
        <x:f>Rates_Raw!D276</x:f>
        <x:v>1233</x:v>
      </x:c>
      <x:c r="D276" t="str">
        <x:f>Rates_Raw!C276</x:f>
        <x:v>2026/01/03</x:v>
      </x:c>
      <x:c r="E276" t="str">
        <x:f>Rates_Raw!F276</x:f>
        <x:v>022</x:v>
      </x:c>
      <x:c r="F276" t="n">
        <x:f>COUNTIF(Rates_Raw!$AF$5:$AF$464,B276)</x:f>
        <x:v>1</x:v>
      </x:c>
      <x:c r="G276" t="str">
        <x:f>IF(F276=1,"UNIQUE",IF(COUNTIFS(Rates_Raw!$AF$5:$AF$464,B276,Rates_Raw!$H$5:$H$464,Rates_Raw!H276,Rates_Raw!$L$5:$L$464,Rates_Raw!L276)=F276,"REPEATED SOURCE ROW","CONFLICTING KEY"))</x:f>
        <x:v>UNIQUE</x:v>
      </x:c>
      <x:c r="H276" t="str">
        <x:f>IF(F276&gt;1,"REVIEW","OK")</x:f>
        <x:v>OK</x:v>
      </x:c>
      <x:c r="I276" t="str">
        <x:f>Rates_Raw!H276</x:f>
        <x:v>1233C</x:v>
      </x:c>
      <x:c r="J276" t="str">
        <x:f>Rates_Raw!L276</x:f>
        <x:v>$56.4250</x:v>
      </x:c>
    </x:row>
    <x:row r="277">
      <x:c r="A277" t="n">
        <x:f>Rates_Raw!A277</x:f>
        <x:v>33223</x:v>
      </x:c>
      <x:c r="B277" t="str">
        <x:f>Rates_Raw!AF277</x:f>
        <x:v>1233|SFMTA|2026-01-03</x:v>
      </x:c>
      <x:c r="C277" t="str">
        <x:f>Rates_Raw!D277</x:f>
        <x:v>1233</x:v>
      </x:c>
      <x:c r="D277" t="str">
        <x:f>Rates_Raw!C277</x:f>
        <x:v>2026/01/03</x:v>
      </x:c>
      <x:c r="E277" t="str">
        <x:f>Rates_Raw!F277</x:f>
        <x:v>022</x:v>
      </x:c>
      <x:c r="F277" t="n">
        <x:f>COUNTIF(Rates_Raw!$AF$5:$AF$464,B277)</x:f>
        <x:v>1</x:v>
      </x:c>
      <x:c r="G277" t="str">
        <x:f>IF(F277=1,"UNIQUE",IF(COUNTIFS(Rates_Raw!$AF$5:$AF$464,B277,Rates_Raw!$H$5:$H$464,Rates_Raw!H277,Rates_Raw!$L$5:$L$464,Rates_Raw!L277)=F277,"REPEATED SOURCE ROW","CONFLICTING KEY"))</x:f>
        <x:v>UNIQUE</x:v>
      </x:c>
      <x:c r="H277" t="str">
        <x:f>IF(F277&gt;1,"REVIEW","OK")</x:f>
        <x:v>OK</x:v>
      </x:c>
      <x:c r="I277" t="str">
        <x:f>Rates_Raw!H277</x:f>
        <x:v>1233C</x:v>
      </x:c>
      <x:c r="J277" t="str">
        <x:f>Rates_Raw!L277</x:f>
        <x:v>$56.4250</x:v>
      </x:c>
    </x:row>
    <x:row r="278">
      <x:c r="A278" t="n">
        <x:f>Rates_Raw!A278</x:f>
        <x:v>26386</x:v>
      </x:c>
      <x:c r="B278" t="str">
        <x:f>Rates_Raw!AF278</x:f>
        <x:v>1246|COMMN|2024-01-06</x:v>
      </x:c>
      <x:c r="C278" t="str">
        <x:f>Rates_Raw!D278</x:f>
        <x:v>1246</x:v>
      </x:c>
      <x:c r="D278" t="str">
        <x:f>Rates_Raw!C278</x:f>
        <x:v>2024/01/06</x:v>
      </x:c>
      <x:c r="E278" t="str">
        <x:f>Rates_Raw!F278</x:f>
        <x:v>022</x:v>
      </x:c>
      <x:c r="F278" t="n">
        <x:f>COUNTIF(Rates_Raw!$AF$5:$AF$464,B278)</x:f>
        <x:v>1</x:v>
      </x:c>
      <x:c r="G278" t="str">
        <x:f>IF(F278=1,"UNIQUE",IF(COUNTIFS(Rates_Raw!$AF$5:$AF$464,B278,Rates_Raw!$H$5:$H$464,Rates_Raw!H278,Rates_Raw!$L$5:$L$464,Rates_Raw!L278)=F278,"REPEATED SOURCE ROW","CONFLICTING KEY"))</x:f>
        <x:v>UNIQUE</x:v>
      </x:c>
      <x:c r="H278" t="str">
        <x:f>IF(F278&gt;1,"REVIEW","OK")</x:f>
        <x:v>OK</x:v>
      </x:c>
      <x:c r="I278" t="str">
        <x:f>Rates_Raw!H278</x:f>
        <x:v>1246Y</x:v>
      </x:c>
      <x:c r="J278" t="str">
        <x:f>Rates_Raw!L278</x:f>
        <x:v>$69.7750</x:v>
      </x:c>
    </x:row>
    <x:row r="279">
      <x:c r="A279" t="n">
        <x:f>Rates_Raw!A279</x:f>
        <x:v>26387</x:v>
      </x:c>
      <x:c r="B279" t="str">
        <x:f>Rates_Raw!AF279</x:f>
        <x:v>1246|SFMTA|2024-01-06</x:v>
      </x:c>
      <x:c r="C279" t="str">
        <x:f>Rates_Raw!D279</x:f>
        <x:v>1246</x:v>
      </x:c>
      <x:c r="D279" t="str">
        <x:f>Rates_Raw!C279</x:f>
        <x:v>2024/01/06</x:v>
      </x:c>
      <x:c r="E279" t="str">
        <x:f>Rates_Raw!F279</x:f>
        <x:v>022</x:v>
      </x:c>
      <x:c r="F279" t="n">
        <x:f>COUNTIF(Rates_Raw!$AF$5:$AF$464,B279)</x:f>
        <x:v>1</x:v>
      </x:c>
      <x:c r="G279" t="str">
        <x:f>IF(F279=1,"UNIQUE",IF(COUNTIFS(Rates_Raw!$AF$5:$AF$464,B279,Rates_Raw!$H$5:$H$464,Rates_Raw!H279,Rates_Raw!$L$5:$L$464,Rates_Raw!L279)=F279,"REPEATED SOURCE ROW","CONFLICTING KEY"))</x:f>
        <x:v>UNIQUE</x:v>
      </x:c>
      <x:c r="H279" t="str">
        <x:f>IF(F279&gt;1,"REVIEW","OK")</x:f>
        <x:v>OK</x:v>
      </x:c>
      <x:c r="I279" t="str">
        <x:f>Rates_Raw!H279</x:f>
        <x:v>1246Y</x:v>
      </x:c>
      <x:c r="J279" t="str">
        <x:f>Rates_Raw!L279</x:f>
        <x:v>$69.7750</x:v>
      </x:c>
    </x:row>
    <x:row r="280">
      <x:c r="A280" t="n">
        <x:f>Rates_Raw!A280</x:f>
        <x:v>28124</x:v>
      </x:c>
      <x:c r="B280" t="str">
        <x:f>Rates_Raw!AF280</x:f>
        <x:v>1246|COMMN|2024-07-01</x:v>
      </x:c>
      <x:c r="C280" t="str">
        <x:f>Rates_Raw!D280</x:f>
        <x:v>1246</x:v>
      </x:c>
      <x:c r="D280" t="str">
        <x:f>Rates_Raw!C280</x:f>
        <x:v>2024/07/01</x:v>
      </x:c>
      <x:c r="E280" t="str">
        <x:f>Rates_Raw!F280</x:f>
        <x:v>022</x:v>
      </x:c>
      <x:c r="F280" t="n">
        <x:f>COUNTIF(Rates_Raw!$AF$5:$AF$464,B280)</x:f>
        <x:v>1</x:v>
      </x:c>
      <x:c r="G280" t="str">
        <x:f>IF(F280=1,"UNIQUE",IF(COUNTIFS(Rates_Raw!$AF$5:$AF$464,B280,Rates_Raw!$H$5:$H$464,Rates_Raw!H280,Rates_Raw!$L$5:$L$464,Rates_Raw!L280)=F280,"REPEATED SOURCE ROW","CONFLICTING KEY"))</x:f>
        <x:v>UNIQUE</x:v>
      </x:c>
      <x:c r="H280" t="str">
        <x:f>IF(F280&gt;1,"REVIEW","OK")</x:f>
        <x:v>OK</x:v>
      </x:c>
      <x:c r="I280" t="str">
        <x:f>Rates_Raw!H280</x:f>
        <x:v>1246Z</x:v>
      </x:c>
      <x:c r="J280" t="str">
        <x:f>Rates_Raw!L280</x:f>
        <x:v>$70.8250</x:v>
      </x:c>
    </x:row>
    <x:row r="281">
      <x:c r="A281" t="n">
        <x:f>Rates_Raw!A281</x:f>
        <x:v>28125</x:v>
      </x:c>
      <x:c r="B281" t="str">
        <x:f>Rates_Raw!AF281</x:f>
        <x:v>1246|SFMTA|2024-07-01</x:v>
      </x:c>
      <x:c r="C281" t="str">
        <x:f>Rates_Raw!D281</x:f>
        <x:v>1246</x:v>
      </x:c>
      <x:c r="D281" t="str">
        <x:f>Rates_Raw!C281</x:f>
        <x:v>2024/07/01</x:v>
      </x:c>
      <x:c r="E281" t="str">
        <x:f>Rates_Raw!F281</x:f>
        <x:v>022</x:v>
      </x:c>
      <x:c r="F281" t="n">
        <x:f>COUNTIF(Rates_Raw!$AF$5:$AF$464,B281)</x:f>
        <x:v>1</x:v>
      </x:c>
      <x:c r="G281" t="str">
        <x:f>IF(F281=1,"UNIQUE",IF(COUNTIFS(Rates_Raw!$AF$5:$AF$464,B281,Rates_Raw!$H$5:$H$464,Rates_Raw!H281,Rates_Raw!$L$5:$L$464,Rates_Raw!L281)=F281,"REPEATED SOURCE ROW","CONFLICTING KEY"))</x:f>
        <x:v>UNIQUE</x:v>
      </x:c>
      <x:c r="H281" t="str">
        <x:f>IF(F281&gt;1,"REVIEW","OK")</x:f>
        <x:v>OK</x:v>
      </x:c>
      <x:c r="I281" t="str">
        <x:f>Rates_Raw!H281</x:f>
        <x:v>1246Z</x:v>
      </x:c>
      <x:c r="J281" t="str">
        <x:f>Rates_Raw!L281</x:f>
        <x:v>$70.8250</x:v>
      </x:c>
    </x:row>
    <x:row r="282">
      <x:c r="A282" t="n">
        <x:f>Rates_Raw!A282</x:f>
        <x:v>29830</x:v>
      </x:c>
      <x:c r="B282" t="str">
        <x:f>Rates_Raw!AF282</x:f>
        <x:v>1246|COMMN|2025-01-04</x:v>
      </x:c>
      <x:c r="C282" t="str">
        <x:f>Rates_Raw!D282</x:f>
        <x:v>1246</x:v>
      </x:c>
      <x:c r="D282" t="str">
        <x:f>Rates_Raw!C282</x:f>
        <x:v>2025/01/04</x:v>
      </x:c>
      <x:c r="E282" t="str">
        <x:f>Rates_Raw!F282</x:f>
        <x:v>022</x:v>
      </x:c>
      <x:c r="F282" t="n">
        <x:f>COUNTIF(Rates_Raw!$AF$5:$AF$464,B282)</x:f>
        <x:v>1</x:v>
      </x:c>
      <x:c r="G282" t="str">
        <x:f>IF(F282=1,"UNIQUE",IF(COUNTIFS(Rates_Raw!$AF$5:$AF$464,B282,Rates_Raw!$H$5:$H$464,Rates_Raw!H282,Rates_Raw!$L$5:$L$464,Rates_Raw!L282)=F282,"REPEATED SOURCE ROW","CONFLICTING KEY"))</x:f>
        <x:v>UNIQUE</x:v>
      </x:c>
      <x:c r="H282" t="str">
        <x:f>IF(F282&gt;1,"REVIEW","OK")</x:f>
        <x:v>OK</x:v>
      </x:c>
      <x:c r="I282" t="str">
        <x:f>Rates_Raw!H282</x:f>
        <x:v>1246A</x:v>
      </x:c>
      <x:c r="J282" t="str">
        <x:f>Rates_Raw!L282</x:f>
        <x:v>$71.8875</x:v>
      </x:c>
    </x:row>
    <x:row r="283">
      <x:c r="A283" t="n">
        <x:f>Rates_Raw!A283</x:f>
        <x:v>29831</x:v>
      </x:c>
      <x:c r="B283" t="str">
        <x:f>Rates_Raw!AF283</x:f>
        <x:v>1246|SFMTA|2025-01-04</x:v>
      </x:c>
      <x:c r="C283" t="str">
        <x:f>Rates_Raw!D283</x:f>
        <x:v>1246</x:v>
      </x:c>
      <x:c r="D283" t="str">
        <x:f>Rates_Raw!C283</x:f>
        <x:v>2025/01/04</x:v>
      </x:c>
      <x:c r="E283" t="str">
        <x:f>Rates_Raw!F283</x:f>
        <x:v>022</x:v>
      </x:c>
      <x:c r="F283" t="n">
        <x:f>COUNTIF(Rates_Raw!$AF$5:$AF$464,B283)</x:f>
        <x:v>1</x:v>
      </x:c>
      <x:c r="G283" t="str">
        <x:f>IF(F283=1,"UNIQUE",IF(COUNTIFS(Rates_Raw!$AF$5:$AF$464,B283,Rates_Raw!$H$5:$H$464,Rates_Raw!H283,Rates_Raw!$L$5:$L$464,Rates_Raw!L283)=F283,"REPEATED SOURCE ROW","CONFLICTING KEY"))</x:f>
        <x:v>UNIQUE</x:v>
      </x:c>
      <x:c r="H283" t="str">
        <x:f>IF(F283&gt;1,"REVIEW","OK")</x:f>
        <x:v>OK</x:v>
      </x:c>
      <x:c r="I283" t="str">
        <x:f>Rates_Raw!H283</x:f>
        <x:v>1246A</x:v>
      </x:c>
      <x:c r="J283" t="str">
        <x:f>Rates_Raw!L283</x:f>
        <x:v>$71.8875</x:v>
      </x:c>
    </x:row>
    <x:row r="284">
      <x:c r="A284" t="n">
        <x:f>Rates_Raw!A284</x:f>
        <x:v>31543</x:v>
      </x:c>
      <x:c r="B284" t="str">
        <x:f>Rates_Raw!AF284</x:f>
        <x:v>1246|COMMN|2025-07-01</x:v>
      </x:c>
      <x:c r="C284" t="str">
        <x:f>Rates_Raw!D284</x:f>
        <x:v>1246</x:v>
      </x:c>
      <x:c r="D284" t="str">
        <x:f>Rates_Raw!C284</x:f>
        <x:v>2025/07/01</x:v>
      </x:c>
      <x:c r="E284" t="str">
        <x:f>Rates_Raw!F284</x:f>
        <x:v>022</x:v>
      </x:c>
      <x:c r="F284" t="n">
        <x:f>COUNTIF(Rates_Raw!$AF$5:$AF$464,B284)</x:f>
        <x:v>1</x:v>
      </x:c>
      <x:c r="G284" t="str">
        <x:f>IF(F284=1,"UNIQUE",IF(COUNTIFS(Rates_Raw!$AF$5:$AF$464,B284,Rates_Raw!$H$5:$H$464,Rates_Raw!H284,Rates_Raw!$L$5:$L$464,Rates_Raw!L284)=F284,"REPEATED SOURCE ROW","CONFLICTING KEY"))</x:f>
        <x:v>UNIQUE</x:v>
      </x:c>
      <x:c r="H284" t="str">
        <x:f>IF(F284&gt;1,"REVIEW","OK")</x:f>
        <x:v>OK</x:v>
      </x:c>
      <x:c r="I284" t="str">
        <x:f>Rates_Raw!H284</x:f>
        <x:v>1246B</x:v>
      </x:c>
      <x:c r="J284" t="str">
        <x:f>Rates_Raw!L284</x:f>
        <x:v>$73.3375</x:v>
      </x:c>
    </x:row>
    <x:row r="285">
      <x:c r="A285" t="n">
        <x:f>Rates_Raw!A285</x:f>
        <x:v>31544</x:v>
      </x:c>
      <x:c r="B285" t="str">
        <x:f>Rates_Raw!AF285</x:f>
        <x:v>1246|SFMTA|2025-07-01</x:v>
      </x:c>
      <x:c r="C285" t="str">
        <x:f>Rates_Raw!D285</x:f>
        <x:v>1246</x:v>
      </x:c>
      <x:c r="D285" t="str">
        <x:f>Rates_Raw!C285</x:f>
        <x:v>2025/07/01</x:v>
      </x:c>
      <x:c r="E285" t="str">
        <x:f>Rates_Raw!F285</x:f>
        <x:v>022</x:v>
      </x:c>
      <x:c r="F285" t="n">
        <x:f>COUNTIF(Rates_Raw!$AF$5:$AF$464,B285)</x:f>
        <x:v>1</x:v>
      </x:c>
      <x:c r="G285" t="str">
        <x:f>IF(F285=1,"UNIQUE",IF(COUNTIFS(Rates_Raw!$AF$5:$AF$464,B285,Rates_Raw!$H$5:$H$464,Rates_Raw!H285,Rates_Raw!$L$5:$L$464,Rates_Raw!L285)=F285,"REPEATED SOURCE ROW","CONFLICTING KEY"))</x:f>
        <x:v>UNIQUE</x:v>
      </x:c>
      <x:c r="H285" t="str">
        <x:f>IF(F285&gt;1,"REVIEW","OK")</x:f>
        <x:v>OK</x:v>
      </x:c>
      <x:c r="I285" t="str">
        <x:f>Rates_Raw!H285</x:f>
        <x:v>1246B</x:v>
      </x:c>
      <x:c r="J285" t="str">
        <x:f>Rates_Raw!L285</x:f>
        <x:v>$73.3375</x:v>
      </x:c>
    </x:row>
    <x:row r="286">
      <x:c r="A286" t="n">
        <x:f>Rates_Raw!A286</x:f>
        <x:v>33228</x:v>
      </x:c>
      <x:c r="B286" t="str">
        <x:f>Rates_Raw!AF286</x:f>
        <x:v>1246|COMMN|2026-01-03</x:v>
      </x:c>
      <x:c r="C286" t="str">
        <x:f>Rates_Raw!D286</x:f>
        <x:v>1246</x:v>
      </x:c>
      <x:c r="D286" t="str">
        <x:f>Rates_Raw!C286</x:f>
        <x:v>2026/01/03</x:v>
      </x:c>
      <x:c r="E286" t="str">
        <x:f>Rates_Raw!F286</x:f>
        <x:v>022</x:v>
      </x:c>
      <x:c r="F286" t="n">
        <x:f>COUNTIF(Rates_Raw!$AF$5:$AF$464,B286)</x:f>
        <x:v>1</x:v>
      </x:c>
      <x:c r="G286" t="str">
        <x:f>IF(F286=1,"UNIQUE",IF(COUNTIFS(Rates_Raw!$AF$5:$AF$464,B286,Rates_Raw!$H$5:$H$464,Rates_Raw!H286,Rates_Raw!$L$5:$L$464,Rates_Raw!L286)=F286,"REPEATED SOURCE ROW","CONFLICTING KEY"))</x:f>
        <x:v>UNIQUE</x:v>
      </x:c>
      <x:c r="H286" t="str">
        <x:f>IF(F286&gt;1,"REVIEW","OK")</x:f>
        <x:v>OK</x:v>
      </x:c>
      <x:c r="I286" t="str">
        <x:f>Rates_Raw!H286</x:f>
        <x:v>1246C</x:v>
      </x:c>
      <x:c r="J286" t="str">
        <x:f>Rates_Raw!L286</x:f>
        <x:v>$74.4375</x:v>
      </x:c>
    </x:row>
    <x:row r="287">
      <x:c r="A287" t="n">
        <x:f>Rates_Raw!A287</x:f>
        <x:v>33229</x:v>
      </x:c>
      <x:c r="B287" t="str">
        <x:f>Rates_Raw!AF287</x:f>
        <x:v>1246|SFMTA|2026-01-03</x:v>
      </x:c>
      <x:c r="C287" t="str">
        <x:f>Rates_Raw!D287</x:f>
        <x:v>1246</x:v>
      </x:c>
      <x:c r="D287" t="str">
        <x:f>Rates_Raw!C287</x:f>
        <x:v>2026/01/03</x:v>
      </x:c>
      <x:c r="E287" t="str">
        <x:f>Rates_Raw!F287</x:f>
        <x:v>022</x:v>
      </x:c>
      <x:c r="F287" t="n">
        <x:f>COUNTIF(Rates_Raw!$AF$5:$AF$464,B287)</x:f>
        <x:v>1</x:v>
      </x:c>
      <x:c r="G287" t="str">
        <x:f>IF(F287=1,"UNIQUE",IF(COUNTIFS(Rates_Raw!$AF$5:$AF$464,B287,Rates_Raw!$H$5:$H$464,Rates_Raw!H287,Rates_Raw!$L$5:$L$464,Rates_Raw!L287)=F287,"REPEATED SOURCE ROW","CONFLICTING KEY"))</x:f>
        <x:v>UNIQUE</x:v>
      </x:c>
      <x:c r="H287" t="str">
        <x:f>IF(F287&gt;1,"REVIEW","OK")</x:f>
        <x:v>OK</x:v>
      </x:c>
      <x:c r="I287" t="str">
        <x:f>Rates_Raw!H287</x:f>
        <x:v>1246C</x:v>
      </x:c>
      <x:c r="J287" t="str">
        <x:f>Rates_Raw!L287</x:f>
        <x:v>$74.4375</x:v>
      </x:c>
    </x:row>
    <x:row r="288">
      <x:c r="A288" t="n">
        <x:f>Rates_Raw!A288</x:f>
        <x:v>26393</x:v>
      </x:c>
      <x:c r="B288" t="str">
        <x:f>Rates_Raw!AF288</x:f>
        <x:v>1280|COMMN|2024-01-06</x:v>
      </x:c>
      <x:c r="C288" t="str">
        <x:f>Rates_Raw!D288</x:f>
        <x:v>1280</x:v>
      </x:c>
      <x:c r="D288" t="str">
        <x:f>Rates_Raw!C288</x:f>
        <x:v>2024/01/06</x:v>
      </x:c>
      <x:c r="E288" t="str">
        <x:f>Rates_Raw!F288</x:f>
        <x:v>001</x:v>
      </x:c>
      <x:c r="F288" t="n">
        <x:f>COUNTIF(Rates_Raw!$AF$5:$AF$464,B288)</x:f>
        <x:v>1</x:v>
      </x:c>
      <x:c r="G288" t="str">
        <x:f>IF(F288=1,"UNIQUE",IF(COUNTIFS(Rates_Raw!$AF$5:$AF$464,B288,Rates_Raw!$H$5:$H$464,Rates_Raw!H288,Rates_Raw!$L$5:$L$464,Rates_Raw!L288)=F288,"REPEATED SOURCE ROW","CONFLICTING KEY"))</x:f>
        <x:v>UNIQUE</x:v>
      </x:c>
      <x:c r="H288" t="str">
        <x:f>IF(F288&gt;1,"REVIEW","OK")</x:f>
        <x:v>OK</x:v>
      </x:c>
      <x:c r="I288" t="str">
        <x:f>Rates_Raw!H288</x:f>
        <x:v>1280Y</x:v>
      </x:c>
      <x:c r="J288" t="str">
        <x:f>Rates_Raw!L288</x:f>
        <x:v>$53.3875</x:v>
      </x:c>
    </x:row>
    <x:row r="289">
      <x:c r="A289" t="n">
        <x:f>Rates_Raw!A289</x:f>
        <x:v>28131</x:v>
      </x:c>
      <x:c r="B289" t="str">
        <x:f>Rates_Raw!AF289</x:f>
        <x:v>1280|COMMN|2024-07-01</x:v>
      </x:c>
      <x:c r="C289" t="str">
        <x:f>Rates_Raw!D289</x:f>
        <x:v>1280</x:v>
      </x:c>
      <x:c r="D289" t="str">
        <x:f>Rates_Raw!C289</x:f>
        <x:v>2024/07/01</x:v>
      </x:c>
      <x:c r="E289" t="str">
        <x:f>Rates_Raw!F289</x:f>
        <x:v>001</x:v>
      </x:c>
      <x:c r="F289" t="n">
        <x:f>COUNTIF(Rates_Raw!$AF$5:$AF$464,B289)</x:f>
        <x:v>1</x:v>
      </x:c>
      <x:c r="G289" t="str">
        <x:f>IF(F289=1,"UNIQUE",IF(COUNTIFS(Rates_Raw!$AF$5:$AF$464,B289,Rates_Raw!$H$5:$H$464,Rates_Raw!H289,Rates_Raw!$L$5:$L$464,Rates_Raw!L289)=F289,"REPEATED SOURCE ROW","CONFLICTING KEY"))</x:f>
        <x:v>UNIQUE</x:v>
      </x:c>
      <x:c r="H289" t="str">
        <x:f>IF(F289&gt;1,"REVIEW","OK")</x:f>
        <x:v>OK</x:v>
      </x:c>
      <x:c r="I289" t="str">
        <x:f>Rates_Raw!H289</x:f>
        <x:v>1280Z</x:v>
      </x:c>
      <x:c r="J289" t="str">
        <x:f>Rates_Raw!L289</x:f>
        <x:v>$54.1875</x:v>
      </x:c>
    </x:row>
    <x:row r="290">
      <x:c r="A290" t="n">
        <x:f>Rates_Raw!A290</x:f>
        <x:v>29837</x:v>
      </x:c>
      <x:c r="B290" t="str">
        <x:f>Rates_Raw!AF290</x:f>
        <x:v>1280|COMMN|2025-01-04</x:v>
      </x:c>
      <x:c r="C290" t="str">
        <x:f>Rates_Raw!D290</x:f>
        <x:v>1280</x:v>
      </x:c>
      <x:c r="D290" t="str">
        <x:f>Rates_Raw!C290</x:f>
        <x:v>2025/01/04</x:v>
      </x:c>
      <x:c r="E290" t="str">
        <x:f>Rates_Raw!F290</x:f>
        <x:v>001</x:v>
      </x:c>
      <x:c r="F290" t="n">
        <x:f>COUNTIF(Rates_Raw!$AF$5:$AF$464,B290)</x:f>
        <x:v>1</x:v>
      </x:c>
      <x:c r="G290" t="str">
        <x:f>IF(F290=1,"UNIQUE",IF(COUNTIFS(Rates_Raw!$AF$5:$AF$464,B290,Rates_Raw!$H$5:$H$464,Rates_Raw!H290,Rates_Raw!$L$5:$L$464,Rates_Raw!L290)=F290,"REPEATED SOURCE ROW","CONFLICTING KEY"))</x:f>
        <x:v>UNIQUE</x:v>
      </x:c>
      <x:c r="H290" t="str">
        <x:f>IF(F290&gt;1,"REVIEW","OK")</x:f>
        <x:v>OK</x:v>
      </x:c>
      <x:c r="I290" t="str">
        <x:f>Rates_Raw!H290</x:f>
        <x:v>1280A</x:v>
      </x:c>
      <x:c r="J290" t="str">
        <x:f>Rates_Raw!L290</x:f>
        <x:v>$55.0000</x:v>
      </x:c>
    </x:row>
    <x:row r="291">
      <x:c r="A291" t="n">
        <x:f>Rates_Raw!A291</x:f>
        <x:v>31550</x:v>
      </x:c>
      <x:c r="B291" t="str">
        <x:f>Rates_Raw!AF291</x:f>
        <x:v>1280|COMMN|2025-07-01</x:v>
      </x:c>
      <x:c r="C291" t="str">
        <x:f>Rates_Raw!D291</x:f>
        <x:v>1280</x:v>
      </x:c>
      <x:c r="D291" t="str">
        <x:f>Rates_Raw!C291</x:f>
        <x:v>2025/07/01</x:v>
      </x:c>
      <x:c r="E291" t="str">
        <x:f>Rates_Raw!F291</x:f>
        <x:v>001</x:v>
      </x:c>
      <x:c r="F291" t="n">
        <x:f>COUNTIF(Rates_Raw!$AF$5:$AF$464,B291)</x:f>
        <x:v>1</x:v>
      </x:c>
      <x:c r="G291" t="str">
        <x:f>IF(F291=1,"UNIQUE",IF(COUNTIFS(Rates_Raw!$AF$5:$AF$464,B291,Rates_Raw!$H$5:$H$464,Rates_Raw!H291,Rates_Raw!$L$5:$L$464,Rates_Raw!L291)=F291,"REPEATED SOURCE ROW","CONFLICTING KEY"))</x:f>
        <x:v>UNIQUE</x:v>
      </x:c>
      <x:c r="H291" t="str">
        <x:f>IF(F291&gt;1,"REVIEW","OK")</x:f>
        <x:v>OK</x:v>
      </x:c>
      <x:c r="I291" t="str">
        <x:f>Rates_Raw!H291</x:f>
        <x:v>1280B</x:v>
      </x:c>
      <x:c r="J291" t="str">
        <x:f>Rates_Raw!L291</x:f>
        <x:v>$56.1000</x:v>
      </x:c>
    </x:row>
    <x:row r="292">
      <x:c r="A292" t="n">
        <x:f>Rates_Raw!A292</x:f>
        <x:v>33235</x:v>
      </x:c>
      <x:c r="B292" t="str">
        <x:f>Rates_Raw!AF292</x:f>
        <x:v>1280|COMMN|2026-01-03</x:v>
      </x:c>
      <x:c r="C292" t="str">
        <x:f>Rates_Raw!D292</x:f>
        <x:v>1280</x:v>
      </x:c>
      <x:c r="D292" t="str">
        <x:f>Rates_Raw!C292</x:f>
        <x:v>2026/01/03</x:v>
      </x:c>
      <x:c r="E292" t="str">
        <x:f>Rates_Raw!F292</x:f>
        <x:v>001</x:v>
      </x:c>
      <x:c r="F292" t="n">
        <x:f>COUNTIF(Rates_Raw!$AF$5:$AF$464,B292)</x:f>
        <x:v>1</x:v>
      </x:c>
      <x:c r="G292" t="str">
        <x:f>IF(F292=1,"UNIQUE",IF(COUNTIFS(Rates_Raw!$AF$5:$AF$464,B292,Rates_Raw!$H$5:$H$464,Rates_Raw!H292,Rates_Raw!$L$5:$L$464,Rates_Raw!L292)=F292,"REPEATED SOURCE ROW","CONFLICTING KEY"))</x:f>
        <x:v>UNIQUE</x:v>
      </x:c>
      <x:c r="H292" t="str">
        <x:f>IF(F292&gt;1,"REVIEW","OK")</x:f>
        <x:v>OK</x:v>
      </x:c>
      <x:c r="I292" t="str">
        <x:f>Rates_Raw!H292</x:f>
        <x:v>1280C</x:v>
      </x:c>
      <x:c r="J292" t="str">
        <x:f>Rates_Raw!L292</x:f>
        <x:v>$56.9375</x:v>
      </x:c>
    </x:row>
    <x:row r="293">
      <x:c r="A293" t="n">
        <x:f>Rates_Raw!A293</x:f>
        <x:v>26394</x:v>
      </x:c>
      <x:c r="B293" t="str">
        <x:f>Rates_Raw!AF293</x:f>
        <x:v>1281|COMMN|2024-01-06</x:v>
      </x:c>
      <x:c r="C293" t="str">
        <x:f>Rates_Raw!D293</x:f>
        <x:v>1281</x:v>
      </x:c>
      <x:c r="D293" t="str">
        <x:f>Rates_Raw!C293</x:f>
        <x:v>2024/01/06</x:v>
      </x:c>
      <x:c r="E293" t="str">
        <x:f>Rates_Raw!F293</x:f>
        <x:v>001</x:v>
      </x:c>
      <x:c r="F293" t="n">
        <x:f>COUNTIF(Rates_Raw!$AF$5:$AF$464,B293)</x:f>
        <x:v>1</x:v>
      </x:c>
      <x:c r="G293" t="str">
        <x:f>IF(F293=1,"UNIQUE",IF(COUNTIFS(Rates_Raw!$AF$5:$AF$464,B293,Rates_Raw!$H$5:$H$464,Rates_Raw!H293,Rates_Raw!$L$5:$L$464,Rates_Raw!L293)=F293,"REPEATED SOURCE ROW","CONFLICTING KEY"))</x:f>
        <x:v>UNIQUE</x:v>
      </x:c>
      <x:c r="H293" t="str">
        <x:f>IF(F293&gt;1,"REVIEW","OK")</x:f>
        <x:v>OK</x:v>
      </x:c>
      <x:c r="I293" t="str">
        <x:f>Rates_Raw!H293</x:f>
        <x:v>1281Y</x:v>
      </x:c>
      <x:c r="J293" t="str">
        <x:f>Rates_Raw!L293</x:f>
        <x:v>$64.5250</x:v>
      </x:c>
    </x:row>
    <x:row r="294">
      <x:c r="A294" t="n">
        <x:f>Rates_Raw!A294</x:f>
        <x:v>28132</x:v>
      </x:c>
      <x:c r="B294" t="str">
        <x:f>Rates_Raw!AF294</x:f>
        <x:v>1281|COMMN|2024-07-01</x:v>
      </x:c>
      <x:c r="C294" t="str">
        <x:f>Rates_Raw!D294</x:f>
        <x:v>1281</x:v>
      </x:c>
      <x:c r="D294" t="str">
        <x:f>Rates_Raw!C294</x:f>
        <x:v>2024/07/01</x:v>
      </x:c>
      <x:c r="E294" t="str">
        <x:f>Rates_Raw!F294</x:f>
        <x:v>001</x:v>
      </x:c>
      <x:c r="F294" t="n">
        <x:f>COUNTIF(Rates_Raw!$AF$5:$AF$464,B294)</x:f>
        <x:v>1</x:v>
      </x:c>
      <x:c r="G294" t="str">
        <x:f>IF(F294=1,"UNIQUE",IF(COUNTIFS(Rates_Raw!$AF$5:$AF$464,B294,Rates_Raw!$H$5:$H$464,Rates_Raw!H294,Rates_Raw!$L$5:$L$464,Rates_Raw!L294)=F294,"REPEATED SOURCE ROW","CONFLICTING KEY"))</x:f>
        <x:v>UNIQUE</x:v>
      </x:c>
      <x:c r="H294" t="str">
        <x:f>IF(F294&gt;1,"REVIEW","OK")</x:f>
        <x:v>OK</x:v>
      </x:c>
      <x:c r="I294" t="str">
        <x:f>Rates_Raw!H294</x:f>
        <x:v>1281Z</x:v>
      </x:c>
      <x:c r="J294" t="str">
        <x:f>Rates_Raw!L294</x:f>
        <x:v>$65.4875</x:v>
      </x:c>
    </x:row>
    <x:row r="295">
      <x:c r="A295" t="n">
        <x:f>Rates_Raw!A295</x:f>
        <x:v>29838</x:v>
      </x:c>
      <x:c r="B295" t="str">
        <x:f>Rates_Raw!AF295</x:f>
        <x:v>1281|COMMN|2025-01-04</x:v>
      </x:c>
      <x:c r="C295" t="str">
        <x:f>Rates_Raw!D295</x:f>
        <x:v>1281</x:v>
      </x:c>
      <x:c r="D295" t="str">
        <x:f>Rates_Raw!C295</x:f>
        <x:v>2025/01/04</x:v>
      </x:c>
      <x:c r="E295" t="str">
        <x:f>Rates_Raw!F295</x:f>
        <x:v>001</x:v>
      </x:c>
      <x:c r="F295" t="n">
        <x:f>COUNTIF(Rates_Raw!$AF$5:$AF$464,B295)</x:f>
        <x:v>1</x:v>
      </x:c>
      <x:c r="G295" t="str">
        <x:f>IF(F295=1,"UNIQUE",IF(COUNTIFS(Rates_Raw!$AF$5:$AF$464,B295,Rates_Raw!$H$5:$H$464,Rates_Raw!H295,Rates_Raw!$L$5:$L$464,Rates_Raw!L295)=F295,"REPEATED SOURCE ROW","CONFLICTING KEY"))</x:f>
        <x:v>UNIQUE</x:v>
      </x:c>
      <x:c r="H295" t="str">
        <x:f>IF(F295&gt;1,"REVIEW","OK")</x:f>
        <x:v>OK</x:v>
      </x:c>
      <x:c r="I295" t="str">
        <x:f>Rates_Raw!H295</x:f>
        <x:v>1281A</x:v>
      </x:c>
      <x:c r="J295" t="str">
        <x:f>Rates_Raw!L295</x:f>
        <x:v>$66.4750</x:v>
      </x:c>
    </x:row>
    <x:row r="296">
      <x:c r="A296" t="n">
        <x:f>Rates_Raw!A296</x:f>
        <x:v>31551</x:v>
      </x:c>
      <x:c r="B296" t="str">
        <x:f>Rates_Raw!AF296</x:f>
        <x:v>1281|COMMN|2025-07-01</x:v>
      </x:c>
      <x:c r="C296" t="str">
        <x:f>Rates_Raw!D296</x:f>
        <x:v>1281</x:v>
      </x:c>
      <x:c r="D296" t="str">
        <x:f>Rates_Raw!C296</x:f>
        <x:v>2025/07/01</x:v>
      </x:c>
      <x:c r="E296" t="str">
        <x:f>Rates_Raw!F296</x:f>
        <x:v>001</x:v>
      </x:c>
      <x:c r="F296" t="n">
        <x:f>COUNTIF(Rates_Raw!$AF$5:$AF$464,B296)</x:f>
        <x:v>1</x:v>
      </x:c>
      <x:c r="G296" t="str">
        <x:f>IF(F296=1,"UNIQUE",IF(COUNTIFS(Rates_Raw!$AF$5:$AF$464,B296,Rates_Raw!$H$5:$H$464,Rates_Raw!H296,Rates_Raw!$L$5:$L$464,Rates_Raw!L296)=F296,"REPEATED SOURCE ROW","CONFLICTING KEY"))</x:f>
        <x:v>UNIQUE</x:v>
      </x:c>
      <x:c r="H296" t="str">
        <x:f>IF(F296&gt;1,"REVIEW","OK")</x:f>
        <x:v>OK</x:v>
      </x:c>
      <x:c r="I296" t="str">
        <x:f>Rates_Raw!H296</x:f>
        <x:v>1281B</x:v>
      </x:c>
      <x:c r="J296" t="str">
        <x:f>Rates_Raw!L296</x:f>
        <x:v>$67.8125</x:v>
      </x:c>
    </x:row>
    <x:row r="297">
      <x:c r="A297" t="n">
        <x:f>Rates_Raw!A297</x:f>
        <x:v>33236</x:v>
      </x:c>
      <x:c r="B297" t="str">
        <x:f>Rates_Raw!AF297</x:f>
        <x:v>1281|COMMN|2026-01-03</x:v>
      </x:c>
      <x:c r="C297" t="str">
        <x:f>Rates_Raw!D297</x:f>
        <x:v>1281</x:v>
      </x:c>
      <x:c r="D297" t="str">
        <x:f>Rates_Raw!C297</x:f>
        <x:v>2026/01/03</x:v>
      </x:c>
      <x:c r="E297" t="str">
        <x:f>Rates_Raw!F297</x:f>
        <x:v>001</x:v>
      </x:c>
      <x:c r="F297" t="n">
        <x:f>COUNTIF(Rates_Raw!$AF$5:$AF$464,B297)</x:f>
        <x:v>1</x:v>
      </x:c>
      <x:c r="G297" t="str">
        <x:f>IF(F297=1,"UNIQUE",IF(COUNTIFS(Rates_Raw!$AF$5:$AF$464,B297,Rates_Raw!$H$5:$H$464,Rates_Raw!H297,Rates_Raw!$L$5:$L$464,Rates_Raw!L297)=F297,"REPEATED SOURCE ROW","CONFLICTING KEY"))</x:f>
        <x:v>UNIQUE</x:v>
      </x:c>
      <x:c r="H297" t="str">
        <x:f>IF(F297&gt;1,"REVIEW","OK")</x:f>
        <x:v>OK</x:v>
      </x:c>
      <x:c r="I297" t="str">
        <x:f>Rates_Raw!H297</x:f>
        <x:v>1281C</x:v>
      </x:c>
      <x:c r="J297" t="str">
        <x:f>Rates_Raw!L297</x:f>
        <x:v>$68.8250</x:v>
      </x:c>
    </x:row>
    <x:row r="298">
      <x:c r="A298" t="n">
        <x:f>Rates_Raw!A298</x:f>
        <x:v>26395</x:v>
      </x:c>
      <x:c r="B298" t="str">
        <x:f>Rates_Raw!AF298</x:f>
        <x:v>1302|COMMN|2024-01-06</x:v>
      </x:c>
      <x:c r="C298" t="str">
        <x:f>Rates_Raw!D298</x:f>
        <x:v>1302</x:v>
      </x:c>
      <x:c r="D298" t="str">
        <x:f>Rates_Raw!C298</x:f>
        <x:v>2024/01/06</x:v>
      </x:c>
      <x:c r="E298" t="str">
        <x:f>Rates_Raw!F298</x:f>
        <x:v>790</x:v>
      </x:c>
      <x:c r="F298" t="n">
        <x:f>COUNTIF(Rates_Raw!$AF$5:$AF$464,B298)</x:f>
        <x:v>1</x:v>
      </x:c>
      <x:c r="G298" t="str">
        <x:f>IF(F298=1,"UNIQUE",IF(COUNTIFS(Rates_Raw!$AF$5:$AF$464,B298,Rates_Raw!$H$5:$H$464,Rates_Raw!H298,Rates_Raw!$L$5:$L$464,Rates_Raw!L298)=F298,"REPEATED SOURCE ROW","CONFLICTING KEY"))</x:f>
        <x:v>UNIQUE</x:v>
      </x:c>
      <x:c r="H298" t="str">
        <x:f>IF(F298&gt;1,"REVIEW","OK")</x:f>
        <x:v>OK</x:v>
      </x:c>
      <x:c r="I298" t="str">
        <x:f>Rates_Raw!H298</x:f>
        <x:v>1302Y</x:v>
      </x:c>
      <x:c r="J298" t="str">
        <x:f>Rates_Raw!L298</x:f>
        <x:v>$39.1375</x:v>
      </x:c>
    </x:row>
    <x:row r="299">
      <x:c r="A299" t="n">
        <x:f>Rates_Raw!A299</x:f>
        <x:v>28133</x:v>
      </x:c>
      <x:c r="B299" t="str">
        <x:f>Rates_Raw!AF299</x:f>
        <x:v>1302|COMMN|2024-07-01</x:v>
      </x:c>
      <x:c r="C299" t="str">
        <x:f>Rates_Raw!D299</x:f>
        <x:v>1302</x:v>
      </x:c>
      <x:c r="D299" t="str">
        <x:f>Rates_Raw!C299</x:f>
        <x:v>2024/07/01</x:v>
      </x:c>
      <x:c r="E299" t="str">
        <x:f>Rates_Raw!F299</x:f>
        <x:v>790</x:v>
      </x:c>
      <x:c r="F299" t="n">
        <x:f>COUNTIF(Rates_Raw!$AF$5:$AF$464,B299)</x:f>
        <x:v>1</x:v>
      </x:c>
      <x:c r="G299" t="str">
        <x:f>IF(F299=1,"UNIQUE",IF(COUNTIFS(Rates_Raw!$AF$5:$AF$464,B299,Rates_Raw!$H$5:$H$464,Rates_Raw!H299,Rates_Raw!$L$5:$L$464,Rates_Raw!L299)=F299,"REPEATED SOURCE ROW","CONFLICTING KEY"))</x:f>
        <x:v>UNIQUE</x:v>
      </x:c>
      <x:c r="H299" t="str">
        <x:f>IF(F299&gt;1,"REVIEW","OK")</x:f>
        <x:v>OK</x:v>
      </x:c>
      <x:c r="I299" t="str">
        <x:f>Rates_Raw!H299</x:f>
        <x:v>1302Z</x:v>
      </x:c>
      <x:c r="J299" t="str">
        <x:f>Rates_Raw!L299</x:f>
        <x:v>$39.7250</x:v>
      </x:c>
    </x:row>
    <x:row r="300">
      <x:c r="A300" t="n">
        <x:f>Rates_Raw!A300</x:f>
        <x:v>29839</x:v>
      </x:c>
      <x:c r="B300" t="str">
        <x:f>Rates_Raw!AF300</x:f>
        <x:v>1302|COMMN|2025-01-04</x:v>
      </x:c>
      <x:c r="C300" t="str">
        <x:f>Rates_Raw!D300</x:f>
        <x:v>1302</x:v>
      </x:c>
      <x:c r="D300" t="str">
        <x:f>Rates_Raw!C300</x:f>
        <x:v>2025/01/04</x:v>
      </x:c>
      <x:c r="E300" t="str">
        <x:f>Rates_Raw!F300</x:f>
        <x:v>790</x:v>
      </x:c>
      <x:c r="F300" t="n">
        <x:f>COUNTIF(Rates_Raw!$AF$5:$AF$464,B300)</x:f>
        <x:v>1</x:v>
      </x:c>
      <x:c r="G300" t="str">
        <x:f>IF(F300=1,"UNIQUE",IF(COUNTIFS(Rates_Raw!$AF$5:$AF$464,B300,Rates_Raw!$H$5:$H$464,Rates_Raw!H300,Rates_Raw!$L$5:$L$464,Rates_Raw!L300)=F300,"REPEATED SOURCE ROW","CONFLICTING KEY"))</x:f>
        <x:v>UNIQUE</x:v>
      </x:c>
      <x:c r="H300" t="str">
        <x:f>IF(F300&gt;1,"REVIEW","OK")</x:f>
        <x:v>OK</x:v>
      </x:c>
      <x:c r="I300" t="str">
        <x:f>Rates_Raw!H300</x:f>
        <x:v>1302A</x:v>
      </x:c>
      <x:c r="J300" t="str">
        <x:f>Rates_Raw!L300</x:f>
        <x:v>$40.3250</x:v>
      </x:c>
    </x:row>
    <x:row r="301">
      <x:c r="A301" t="n">
        <x:f>Rates_Raw!A301</x:f>
        <x:v>31552</x:v>
      </x:c>
      <x:c r="B301" t="str">
        <x:f>Rates_Raw!AF301</x:f>
        <x:v>1302|COMMN|2025-07-01</x:v>
      </x:c>
      <x:c r="C301" t="str">
        <x:f>Rates_Raw!D301</x:f>
        <x:v>1302</x:v>
      </x:c>
      <x:c r="D301" t="str">
        <x:f>Rates_Raw!C301</x:f>
        <x:v>2025/07/01</x:v>
      </x:c>
      <x:c r="E301" t="str">
        <x:f>Rates_Raw!F301</x:f>
        <x:v>790</x:v>
      </x:c>
      <x:c r="F301" t="n">
        <x:f>COUNTIF(Rates_Raw!$AF$5:$AF$464,B301)</x:f>
        <x:v>1</x:v>
      </x:c>
      <x:c r="G301" t="str">
        <x:f>IF(F301=1,"UNIQUE",IF(COUNTIFS(Rates_Raw!$AF$5:$AF$464,B301,Rates_Raw!$H$5:$H$464,Rates_Raw!H301,Rates_Raw!$L$5:$L$464,Rates_Raw!L301)=F301,"REPEATED SOURCE ROW","CONFLICTING KEY"))</x:f>
        <x:v>UNIQUE</x:v>
      </x:c>
      <x:c r="H301" t="str">
        <x:f>IF(F301&gt;1,"REVIEW","OK")</x:f>
        <x:v>OK</x:v>
      </x:c>
      <x:c r="I301" t="str">
        <x:f>Rates_Raw!H301</x:f>
        <x:v>1302B</x:v>
      </x:c>
      <x:c r="J301" t="str">
        <x:f>Rates_Raw!L301</x:f>
        <x:v>$41.1375</x:v>
      </x:c>
    </x:row>
    <x:row r="302">
      <x:c r="A302" t="n">
        <x:f>Rates_Raw!A302</x:f>
        <x:v>33237</x:v>
      </x:c>
      <x:c r="B302" t="str">
        <x:f>Rates_Raw!AF302</x:f>
        <x:v>1302|COMMN|2026-01-03</x:v>
      </x:c>
      <x:c r="C302" t="str">
        <x:f>Rates_Raw!D302</x:f>
        <x:v>1302</x:v>
      </x:c>
      <x:c r="D302" t="str">
        <x:f>Rates_Raw!C302</x:f>
        <x:v>2026/01/03</x:v>
      </x:c>
      <x:c r="E302" t="str">
        <x:f>Rates_Raw!F302</x:f>
        <x:v>790</x:v>
      </x:c>
      <x:c r="F302" t="n">
        <x:f>COUNTIF(Rates_Raw!$AF$5:$AF$464,B302)</x:f>
        <x:v>1</x:v>
      </x:c>
      <x:c r="G302" t="str">
        <x:f>IF(F302=1,"UNIQUE",IF(COUNTIFS(Rates_Raw!$AF$5:$AF$464,B302,Rates_Raw!$H$5:$H$464,Rates_Raw!H302,Rates_Raw!$L$5:$L$464,Rates_Raw!L302)=F302,"REPEATED SOURCE ROW","CONFLICTING KEY"))</x:f>
        <x:v>UNIQUE</x:v>
      </x:c>
      <x:c r="H302" t="str">
        <x:f>IF(F302&gt;1,"REVIEW","OK")</x:f>
        <x:v>OK</x:v>
      </x:c>
      <x:c r="I302" t="str">
        <x:f>Rates_Raw!H302</x:f>
        <x:v>1302C</x:v>
      </x:c>
      <x:c r="J302" t="str">
        <x:f>Rates_Raw!L302</x:f>
        <x:v>$41.7500</x:v>
      </x:c>
    </x:row>
    <x:row r="303">
      <x:c r="A303" t="n">
        <x:f>Rates_Raw!A303</x:f>
        <x:v>26396</x:v>
      </x:c>
      <x:c r="B303" t="str">
        <x:f>Rates_Raw!AF303</x:f>
        <x:v>1304|COMMN|2024-01-06</x:v>
      </x:c>
      <x:c r="C303" t="str">
        <x:f>Rates_Raw!D303</x:f>
        <x:v>1304</x:v>
      </x:c>
      <x:c r="D303" t="str">
        <x:f>Rates_Raw!C303</x:f>
        <x:v>2024/01/06</x:v>
      </x:c>
      <x:c r="E303" t="str">
        <x:f>Rates_Raw!F303</x:f>
        <x:v>790</x:v>
      </x:c>
      <x:c r="F303" t="n">
        <x:f>COUNTIF(Rates_Raw!$AF$5:$AF$464,B303)</x:f>
        <x:v>1</x:v>
      </x:c>
      <x:c r="G303" t="str">
        <x:f>IF(F303=1,"UNIQUE",IF(COUNTIFS(Rates_Raw!$AF$5:$AF$464,B303,Rates_Raw!$H$5:$H$464,Rates_Raw!H303,Rates_Raw!$L$5:$L$464,Rates_Raw!L303)=F303,"REPEATED SOURCE ROW","CONFLICTING KEY"))</x:f>
        <x:v>UNIQUE</x:v>
      </x:c>
      <x:c r="H303" t="str">
        <x:f>IF(F303&gt;1,"REVIEW","OK")</x:f>
        <x:v>OK</x:v>
      </x:c>
      <x:c r="I303" t="str">
        <x:f>Rates_Raw!H303</x:f>
        <x:v>1304Y</x:v>
      </x:c>
      <x:c r="J303" t="str">
        <x:f>Rates_Raw!L303</x:f>
        <x:v>$40.3250</x:v>
      </x:c>
    </x:row>
    <x:row r="304">
      <x:c r="A304" t="n">
        <x:f>Rates_Raw!A304</x:f>
        <x:v>28134</x:v>
      </x:c>
      <x:c r="B304" t="str">
        <x:f>Rates_Raw!AF304</x:f>
        <x:v>1304|COMMN|2024-07-01</x:v>
      </x:c>
      <x:c r="C304" t="str">
        <x:f>Rates_Raw!D304</x:f>
        <x:v>1304</x:v>
      </x:c>
      <x:c r="D304" t="str">
        <x:f>Rates_Raw!C304</x:f>
        <x:v>2024/07/01</x:v>
      </x:c>
      <x:c r="E304" t="str">
        <x:f>Rates_Raw!F304</x:f>
        <x:v>790</x:v>
      </x:c>
      <x:c r="F304" t="n">
        <x:f>COUNTIF(Rates_Raw!$AF$5:$AF$464,B304)</x:f>
        <x:v>1</x:v>
      </x:c>
      <x:c r="G304" t="str">
        <x:f>IF(F304=1,"UNIQUE",IF(COUNTIFS(Rates_Raw!$AF$5:$AF$464,B304,Rates_Raw!$H$5:$H$464,Rates_Raw!H304,Rates_Raw!$L$5:$L$464,Rates_Raw!L304)=F304,"REPEATED SOURCE ROW","CONFLICTING KEY"))</x:f>
        <x:v>UNIQUE</x:v>
      </x:c>
      <x:c r="H304" t="str">
        <x:f>IF(F304&gt;1,"REVIEW","OK")</x:f>
        <x:v>OK</x:v>
      </x:c>
      <x:c r="I304" t="str">
        <x:f>Rates_Raw!H304</x:f>
        <x:v>1304Z</x:v>
      </x:c>
      <x:c r="J304" t="str">
        <x:f>Rates_Raw!L304</x:f>
        <x:v>$40.9250</x:v>
      </x:c>
    </x:row>
    <x:row r="305">
      <x:c r="A305" t="n">
        <x:f>Rates_Raw!A305</x:f>
        <x:v>29840</x:v>
      </x:c>
      <x:c r="B305" t="str">
        <x:f>Rates_Raw!AF305</x:f>
        <x:v>1304|COMMN|2025-01-04</x:v>
      </x:c>
      <x:c r="C305" t="str">
        <x:f>Rates_Raw!D305</x:f>
        <x:v>1304</x:v>
      </x:c>
      <x:c r="D305" t="str">
        <x:f>Rates_Raw!C305</x:f>
        <x:v>2025/01/04</x:v>
      </x:c>
      <x:c r="E305" t="str">
        <x:f>Rates_Raw!F305</x:f>
        <x:v>790</x:v>
      </x:c>
      <x:c r="F305" t="n">
        <x:f>COUNTIF(Rates_Raw!$AF$5:$AF$464,B305)</x:f>
        <x:v>1</x:v>
      </x:c>
      <x:c r="G305" t="str">
        <x:f>IF(F305=1,"UNIQUE",IF(COUNTIFS(Rates_Raw!$AF$5:$AF$464,B305,Rates_Raw!$H$5:$H$464,Rates_Raw!H305,Rates_Raw!$L$5:$L$464,Rates_Raw!L305)=F305,"REPEATED SOURCE ROW","CONFLICTING KEY"))</x:f>
        <x:v>UNIQUE</x:v>
      </x:c>
      <x:c r="H305" t="str">
        <x:f>IF(F305&gt;1,"REVIEW","OK")</x:f>
        <x:v>OK</x:v>
      </x:c>
      <x:c r="I305" t="str">
        <x:f>Rates_Raw!H305</x:f>
        <x:v>1304A</x:v>
      </x:c>
      <x:c r="J305" t="str">
        <x:f>Rates_Raw!L305</x:f>
        <x:v>$41.5375</x:v>
      </x:c>
    </x:row>
    <x:row r="306">
      <x:c r="A306" t="n">
        <x:f>Rates_Raw!A306</x:f>
        <x:v>31553</x:v>
      </x:c>
      <x:c r="B306" t="str">
        <x:f>Rates_Raw!AF306</x:f>
        <x:v>1304|COMMN|2025-07-01</x:v>
      </x:c>
      <x:c r="C306" t="str">
        <x:f>Rates_Raw!D306</x:f>
        <x:v>1304</x:v>
      </x:c>
      <x:c r="D306" t="str">
        <x:f>Rates_Raw!C306</x:f>
        <x:v>2025/07/01</x:v>
      </x:c>
      <x:c r="E306" t="str">
        <x:f>Rates_Raw!F306</x:f>
        <x:v>790</x:v>
      </x:c>
      <x:c r="F306" t="n">
        <x:f>COUNTIF(Rates_Raw!$AF$5:$AF$464,B306)</x:f>
        <x:v>1</x:v>
      </x:c>
      <x:c r="G306" t="str">
        <x:f>IF(F306=1,"UNIQUE",IF(COUNTIFS(Rates_Raw!$AF$5:$AF$464,B306,Rates_Raw!$H$5:$H$464,Rates_Raw!H306,Rates_Raw!$L$5:$L$464,Rates_Raw!L306)=F306,"REPEATED SOURCE ROW","CONFLICTING KEY"))</x:f>
        <x:v>UNIQUE</x:v>
      </x:c>
      <x:c r="H306" t="str">
        <x:f>IF(F306&gt;1,"REVIEW","OK")</x:f>
        <x:v>OK</x:v>
      </x:c>
      <x:c r="I306" t="str">
        <x:f>Rates_Raw!H306</x:f>
        <x:v>1304B</x:v>
      </x:c>
      <x:c r="J306" t="str">
        <x:f>Rates_Raw!L306</x:f>
        <x:v>$42.3750</x:v>
      </x:c>
    </x:row>
    <x:row r="307">
      <x:c r="A307" t="n">
        <x:f>Rates_Raw!A307</x:f>
        <x:v>33238</x:v>
      </x:c>
      <x:c r="B307" t="str">
        <x:f>Rates_Raw!AF307</x:f>
        <x:v>1304|COMMN|2026-01-03</x:v>
      </x:c>
      <x:c r="C307" t="str">
        <x:f>Rates_Raw!D307</x:f>
        <x:v>1304</x:v>
      </x:c>
      <x:c r="D307" t="str">
        <x:f>Rates_Raw!C307</x:f>
        <x:v>2026/01/03</x:v>
      </x:c>
      <x:c r="E307" t="str">
        <x:f>Rates_Raw!F307</x:f>
        <x:v>790</x:v>
      </x:c>
      <x:c r="F307" t="n">
        <x:f>COUNTIF(Rates_Raw!$AF$5:$AF$464,B307)</x:f>
        <x:v>1</x:v>
      </x:c>
      <x:c r="G307" t="str">
        <x:f>IF(F307=1,"UNIQUE",IF(COUNTIFS(Rates_Raw!$AF$5:$AF$464,B307,Rates_Raw!$H$5:$H$464,Rates_Raw!H307,Rates_Raw!$L$5:$L$464,Rates_Raw!L307)=F307,"REPEATED SOURCE ROW","CONFLICTING KEY"))</x:f>
        <x:v>UNIQUE</x:v>
      </x:c>
      <x:c r="H307" t="str">
        <x:f>IF(F307&gt;1,"REVIEW","OK")</x:f>
        <x:v>OK</x:v>
      </x:c>
      <x:c r="I307" t="str">
        <x:f>Rates_Raw!H307</x:f>
        <x:v>1304C</x:v>
      </x:c>
      <x:c r="J307" t="str">
        <x:f>Rates_Raw!L307</x:f>
        <x:v>$43.0125</x:v>
      </x:c>
    </x:row>
    <x:row r="308">
      <x:c r="A308" t="n">
        <x:f>Rates_Raw!A308</x:f>
        <x:v>26397</x:v>
      </x:c>
      <x:c r="B308" t="str">
        <x:f>Rates_Raw!AF308</x:f>
        <x:v>1306|COMMN|2024-01-06</x:v>
      </x:c>
      <x:c r="C308" t="str">
        <x:f>Rates_Raw!D308</x:f>
        <x:v>1306</x:v>
      </x:c>
      <x:c r="D308" t="str">
        <x:f>Rates_Raw!C308</x:f>
        <x:v>2024/01/06</x:v>
      </x:c>
      <x:c r="E308" t="str">
        <x:f>Rates_Raw!F308</x:f>
        <x:v>790</x:v>
      </x:c>
      <x:c r="F308" t="n">
        <x:f>COUNTIF(Rates_Raw!$AF$5:$AF$464,B308)</x:f>
        <x:v>1</x:v>
      </x:c>
      <x:c r="G308" t="str">
        <x:f>IF(F308=1,"UNIQUE",IF(COUNTIFS(Rates_Raw!$AF$5:$AF$464,B308,Rates_Raw!$H$5:$H$464,Rates_Raw!H308,Rates_Raw!$L$5:$L$464,Rates_Raw!L308)=F308,"REPEATED SOURCE ROW","CONFLICTING KEY"))</x:f>
        <x:v>UNIQUE</x:v>
      </x:c>
      <x:c r="H308" t="str">
        <x:f>IF(F308&gt;1,"REVIEW","OK")</x:f>
        <x:v>OK</x:v>
      </x:c>
      <x:c r="I308" t="str">
        <x:f>Rates_Raw!H308</x:f>
        <x:v>1306Y</x:v>
      </x:c>
      <x:c r="J308" t="str">
        <x:f>Rates_Raw!L308</x:f>
        <x:v>$45.6625</x:v>
      </x:c>
    </x:row>
    <x:row r="309">
      <x:c r="A309" t="n">
        <x:f>Rates_Raw!A309</x:f>
        <x:v>28135</x:v>
      </x:c>
      <x:c r="B309" t="str">
        <x:f>Rates_Raw!AF309</x:f>
        <x:v>1306|COMMN|2024-07-01</x:v>
      </x:c>
      <x:c r="C309" t="str">
        <x:f>Rates_Raw!D309</x:f>
        <x:v>1306</x:v>
      </x:c>
      <x:c r="D309" t="str">
        <x:f>Rates_Raw!C309</x:f>
        <x:v>2024/07/01</x:v>
      </x:c>
      <x:c r="E309" t="str">
        <x:f>Rates_Raw!F309</x:f>
        <x:v>790</x:v>
      </x:c>
      <x:c r="F309" t="n">
        <x:f>COUNTIF(Rates_Raw!$AF$5:$AF$464,B309)</x:f>
        <x:v>1</x:v>
      </x:c>
      <x:c r="G309" t="str">
        <x:f>IF(F309=1,"UNIQUE",IF(COUNTIFS(Rates_Raw!$AF$5:$AF$464,B309,Rates_Raw!$H$5:$H$464,Rates_Raw!H309,Rates_Raw!$L$5:$L$464,Rates_Raw!L309)=F309,"REPEATED SOURCE ROW","CONFLICTING KEY"))</x:f>
        <x:v>UNIQUE</x:v>
      </x:c>
      <x:c r="H309" t="str">
        <x:f>IF(F309&gt;1,"REVIEW","OK")</x:f>
        <x:v>OK</x:v>
      </x:c>
      <x:c r="I309" t="str">
        <x:f>Rates_Raw!H309</x:f>
        <x:v>1306Z</x:v>
      </x:c>
      <x:c r="J309" t="str">
        <x:f>Rates_Raw!L309</x:f>
        <x:v>$46.3500</x:v>
      </x:c>
    </x:row>
    <x:row r="310">
      <x:c r="A310" t="n">
        <x:f>Rates_Raw!A310</x:f>
        <x:v>29841</x:v>
      </x:c>
      <x:c r="B310" t="str">
        <x:f>Rates_Raw!AF310</x:f>
        <x:v>1306|COMMN|2025-01-04</x:v>
      </x:c>
      <x:c r="C310" t="str">
        <x:f>Rates_Raw!D310</x:f>
        <x:v>1306</x:v>
      </x:c>
      <x:c r="D310" t="str">
        <x:f>Rates_Raw!C310</x:f>
        <x:v>2025/01/04</x:v>
      </x:c>
      <x:c r="E310" t="str">
        <x:f>Rates_Raw!F310</x:f>
        <x:v>790</x:v>
      </x:c>
      <x:c r="F310" t="n">
        <x:f>COUNTIF(Rates_Raw!$AF$5:$AF$464,B310)</x:f>
        <x:v>1</x:v>
      </x:c>
      <x:c r="G310" t="str">
        <x:f>IF(F310=1,"UNIQUE",IF(COUNTIFS(Rates_Raw!$AF$5:$AF$464,B310,Rates_Raw!$H$5:$H$464,Rates_Raw!H310,Rates_Raw!$L$5:$L$464,Rates_Raw!L310)=F310,"REPEATED SOURCE ROW","CONFLICTING KEY"))</x:f>
        <x:v>UNIQUE</x:v>
      </x:c>
      <x:c r="H310" t="str">
        <x:f>IF(F310&gt;1,"REVIEW","OK")</x:f>
        <x:v>OK</x:v>
      </x:c>
      <x:c r="I310" t="str">
        <x:f>Rates_Raw!H310</x:f>
        <x:v>1306A</x:v>
      </x:c>
      <x:c r="J310" t="str">
        <x:f>Rates_Raw!L310</x:f>
        <x:v>$47.0500</x:v>
      </x:c>
    </x:row>
    <x:row r="311">
      <x:c r="A311" t="n">
        <x:f>Rates_Raw!A311</x:f>
        <x:v>31554</x:v>
      </x:c>
      <x:c r="B311" t="str">
        <x:f>Rates_Raw!AF311</x:f>
        <x:v>1306|COMMN|2025-07-01</x:v>
      </x:c>
      <x:c r="C311" t="str">
        <x:f>Rates_Raw!D311</x:f>
        <x:v>1306</x:v>
      </x:c>
      <x:c r="D311" t="str">
        <x:f>Rates_Raw!C311</x:f>
        <x:v>2025/07/01</x:v>
      </x:c>
      <x:c r="E311" t="str">
        <x:f>Rates_Raw!F311</x:f>
        <x:v>790</x:v>
      </x:c>
      <x:c r="F311" t="n">
        <x:f>COUNTIF(Rates_Raw!$AF$5:$AF$464,B311)</x:f>
        <x:v>1</x:v>
      </x:c>
      <x:c r="G311" t="str">
        <x:f>IF(F311=1,"UNIQUE",IF(COUNTIFS(Rates_Raw!$AF$5:$AF$464,B311,Rates_Raw!$H$5:$H$464,Rates_Raw!H311,Rates_Raw!$L$5:$L$464,Rates_Raw!L311)=F311,"REPEATED SOURCE ROW","CONFLICTING KEY"))</x:f>
        <x:v>UNIQUE</x:v>
      </x:c>
      <x:c r="H311" t="str">
        <x:f>IF(F311&gt;1,"REVIEW","OK")</x:f>
        <x:v>OK</x:v>
      </x:c>
      <x:c r="I311" t="str">
        <x:f>Rates_Raw!H311</x:f>
        <x:v>1306B</x:v>
      </x:c>
      <x:c r="J311" t="str">
        <x:f>Rates_Raw!L311</x:f>
        <x:v>$48.0000</x:v>
      </x:c>
    </x:row>
    <x:row r="312">
      <x:c r="A312" t="n">
        <x:f>Rates_Raw!A312</x:f>
        <x:v>33239</x:v>
      </x:c>
      <x:c r="B312" t="str">
        <x:f>Rates_Raw!AF312</x:f>
        <x:v>1306|COMMN|2026-01-03</x:v>
      </x:c>
      <x:c r="C312" t="str">
        <x:f>Rates_Raw!D312</x:f>
        <x:v>1306</x:v>
      </x:c>
      <x:c r="D312" t="str">
        <x:f>Rates_Raw!C312</x:f>
        <x:v>2026/01/03</x:v>
      </x:c>
      <x:c r="E312" t="str">
        <x:f>Rates_Raw!F312</x:f>
        <x:v>790</x:v>
      </x:c>
      <x:c r="F312" t="n">
        <x:f>COUNTIF(Rates_Raw!$AF$5:$AF$464,B312)</x:f>
        <x:v>1</x:v>
      </x:c>
      <x:c r="G312" t="str">
        <x:f>IF(F312=1,"UNIQUE",IF(COUNTIFS(Rates_Raw!$AF$5:$AF$464,B312,Rates_Raw!$H$5:$H$464,Rates_Raw!H312,Rates_Raw!$L$5:$L$464,Rates_Raw!L312)=F312,"REPEATED SOURCE ROW","CONFLICTING KEY"))</x:f>
        <x:v>UNIQUE</x:v>
      </x:c>
      <x:c r="H312" t="str">
        <x:f>IF(F312&gt;1,"REVIEW","OK")</x:f>
        <x:v>OK</x:v>
      </x:c>
      <x:c r="I312" t="str">
        <x:f>Rates_Raw!H312</x:f>
        <x:v>1306C</x:v>
      </x:c>
      <x:c r="J312" t="str">
        <x:f>Rates_Raw!L312</x:f>
        <x:v>$48.7250</x:v>
      </x:c>
    </x:row>
    <x:row r="313">
      <x:c r="A313" t="n">
        <x:f>Rates_Raw!A313</x:f>
        <x:v>26406</x:v>
      </x:c>
      <x:c r="B313" t="str">
        <x:f>Rates_Raw!AF313</x:f>
        <x:v>1326|COMMN|2024-01-06</x:v>
      </x:c>
      <x:c r="C313" t="str">
        <x:f>Rates_Raw!D313</x:f>
        <x:v>1326</x:v>
      </x:c>
      <x:c r="D313" t="str">
        <x:f>Rates_Raw!C313</x:f>
        <x:v>2024/01/06</x:v>
      </x:c>
      <x:c r="E313" t="str">
        <x:f>Rates_Raw!F313</x:f>
        <x:v>790</x:v>
      </x:c>
      <x:c r="F313" t="n">
        <x:f>COUNTIF(Rates_Raw!$AF$5:$AF$464,B313)</x:f>
        <x:v>1</x:v>
      </x:c>
      <x:c r="G313" t="str">
        <x:f>IF(F313=1,"UNIQUE",IF(COUNTIFS(Rates_Raw!$AF$5:$AF$464,B313,Rates_Raw!$H$5:$H$464,Rates_Raw!H313,Rates_Raw!$L$5:$L$464,Rates_Raw!L313)=F313,"REPEATED SOURCE ROW","CONFLICTING KEY"))</x:f>
        <x:v>UNIQUE</x:v>
      </x:c>
      <x:c r="H313" t="str">
        <x:f>IF(F313&gt;1,"REVIEW","OK")</x:f>
        <x:v>OK</x:v>
      </x:c>
      <x:c r="I313" t="str">
        <x:f>Rates_Raw!H313</x:f>
        <x:v>1326Y</x:v>
      </x:c>
      <x:c r="J313" t="str">
        <x:f>Rates_Raw!L313</x:f>
        <x:v>$45.6625</x:v>
      </x:c>
    </x:row>
    <x:row r="314">
      <x:c r="A314" t="n">
        <x:f>Rates_Raw!A314</x:f>
        <x:v>28144</x:v>
      </x:c>
      <x:c r="B314" t="str">
        <x:f>Rates_Raw!AF314</x:f>
        <x:v>1326|COMMN|2024-07-01</x:v>
      </x:c>
      <x:c r="C314" t="str">
        <x:f>Rates_Raw!D314</x:f>
        <x:v>1326</x:v>
      </x:c>
      <x:c r="D314" t="str">
        <x:f>Rates_Raw!C314</x:f>
        <x:v>2024/07/01</x:v>
      </x:c>
      <x:c r="E314" t="str">
        <x:f>Rates_Raw!F314</x:f>
        <x:v>790</x:v>
      </x:c>
      <x:c r="F314" t="n">
        <x:f>COUNTIF(Rates_Raw!$AF$5:$AF$464,B314)</x:f>
        <x:v>1</x:v>
      </x:c>
      <x:c r="G314" t="str">
        <x:f>IF(F314=1,"UNIQUE",IF(COUNTIFS(Rates_Raw!$AF$5:$AF$464,B314,Rates_Raw!$H$5:$H$464,Rates_Raw!H314,Rates_Raw!$L$5:$L$464,Rates_Raw!L314)=F314,"REPEATED SOURCE ROW","CONFLICTING KEY"))</x:f>
        <x:v>UNIQUE</x:v>
      </x:c>
      <x:c r="H314" t="str">
        <x:f>IF(F314&gt;1,"REVIEW","OK")</x:f>
        <x:v>OK</x:v>
      </x:c>
      <x:c r="I314" t="str">
        <x:f>Rates_Raw!H314</x:f>
        <x:v>1326Z</x:v>
      </x:c>
      <x:c r="J314" t="str">
        <x:f>Rates_Raw!L314</x:f>
        <x:v>$46.3500</x:v>
      </x:c>
    </x:row>
    <x:row r="315">
      <x:c r="A315" t="n">
        <x:f>Rates_Raw!A315</x:f>
        <x:v>29850</x:v>
      </x:c>
      <x:c r="B315" t="str">
        <x:f>Rates_Raw!AF315</x:f>
        <x:v>1326|COMMN|2025-01-04</x:v>
      </x:c>
      <x:c r="C315" t="str">
        <x:f>Rates_Raw!D315</x:f>
        <x:v>1326</x:v>
      </x:c>
      <x:c r="D315" t="str">
        <x:f>Rates_Raw!C315</x:f>
        <x:v>2025/01/04</x:v>
      </x:c>
      <x:c r="E315" t="str">
        <x:f>Rates_Raw!F315</x:f>
        <x:v>790</x:v>
      </x:c>
      <x:c r="F315" t="n">
        <x:f>COUNTIF(Rates_Raw!$AF$5:$AF$464,B315)</x:f>
        <x:v>1</x:v>
      </x:c>
      <x:c r="G315" t="str">
        <x:f>IF(F315=1,"UNIQUE",IF(COUNTIFS(Rates_Raw!$AF$5:$AF$464,B315,Rates_Raw!$H$5:$H$464,Rates_Raw!H315,Rates_Raw!$L$5:$L$464,Rates_Raw!L315)=F315,"REPEATED SOURCE ROW","CONFLICTING KEY"))</x:f>
        <x:v>UNIQUE</x:v>
      </x:c>
      <x:c r="H315" t="str">
        <x:f>IF(F315&gt;1,"REVIEW","OK")</x:f>
        <x:v>OK</x:v>
      </x:c>
      <x:c r="I315" t="str">
        <x:f>Rates_Raw!H315</x:f>
        <x:v>1326A</x:v>
      </x:c>
      <x:c r="J315" t="str">
        <x:f>Rates_Raw!L315</x:f>
        <x:v>$47.0500</x:v>
      </x:c>
    </x:row>
    <x:row r="316">
      <x:c r="A316" t="n">
        <x:f>Rates_Raw!A316</x:f>
        <x:v>31563</x:v>
      </x:c>
      <x:c r="B316" t="str">
        <x:f>Rates_Raw!AF316</x:f>
        <x:v>1326|COMMN|2025-07-01</x:v>
      </x:c>
      <x:c r="C316" t="str">
        <x:f>Rates_Raw!D316</x:f>
        <x:v>1326</x:v>
      </x:c>
      <x:c r="D316" t="str">
        <x:f>Rates_Raw!C316</x:f>
        <x:v>2025/07/01</x:v>
      </x:c>
      <x:c r="E316" t="str">
        <x:f>Rates_Raw!F316</x:f>
        <x:v>790</x:v>
      </x:c>
      <x:c r="F316" t="n">
        <x:f>COUNTIF(Rates_Raw!$AF$5:$AF$464,B316)</x:f>
        <x:v>1</x:v>
      </x:c>
      <x:c r="G316" t="str">
        <x:f>IF(F316=1,"UNIQUE",IF(COUNTIFS(Rates_Raw!$AF$5:$AF$464,B316,Rates_Raw!$H$5:$H$464,Rates_Raw!H316,Rates_Raw!$L$5:$L$464,Rates_Raw!L316)=F316,"REPEATED SOURCE ROW","CONFLICTING KEY"))</x:f>
        <x:v>UNIQUE</x:v>
      </x:c>
      <x:c r="H316" t="str">
        <x:f>IF(F316&gt;1,"REVIEW","OK")</x:f>
        <x:v>OK</x:v>
      </x:c>
      <x:c r="I316" t="str">
        <x:f>Rates_Raw!H316</x:f>
        <x:v>1326B</x:v>
      </x:c>
      <x:c r="J316" t="str">
        <x:f>Rates_Raw!L316</x:f>
        <x:v>$48.0000</x:v>
      </x:c>
    </x:row>
    <x:row r="317">
      <x:c r="A317" t="n">
        <x:f>Rates_Raw!A317</x:f>
        <x:v>33248</x:v>
      </x:c>
      <x:c r="B317" t="str">
        <x:f>Rates_Raw!AF317</x:f>
        <x:v>1326|COMMN|2026-01-03</x:v>
      </x:c>
      <x:c r="C317" t="str">
        <x:f>Rates_Raw!D317</x:f>
        <x:v>1326</x:v>
      </x:c>
      <x:c r="D317" t="str">
        <x:f>Rates_Raw!C317</x:f>
        <x:v>2026/01/03</x:v>
      </x:c>
      <x:c r="E317" t="str">
        <x:f>Rates_Raw!F317</x:f>
        <x:v>790</x:v>
      </x:c>
      <x:c r="F317" t="n">
        <x:f>COUNTIF(Rates_Raw!$AF$5:$AF$464,B317)</x:f>
        <x:v>1</x:v>
      </x:c>
      <x:c r="G317" t="str">
        <x:f>IF(F317=1,"UNIQUE",IF(COUNTIFS(Rates_Raw!$AF$5:$AF$464,B317,Rates_Raw!$H$5:$H$464,Rates_Raw!H317,Rates_Raw!$L$5:$L$464,Rates_Raw!L317)=F317,"REPEATED SOURCE ROW","CONFLICTING KEY"))</x:f>
        <x:v>UNIQUE</x:v>
      </x:c>
      <x:c r="H317" t="str">
        <x:f>IF(F317&gt;1,"REVIEW","OK")</x:f>
        <x:v>OK</x:v>
      </x:c>
      <x:c r="I317" t="str">
        <x:f>Rates_Raw!H317</x:f>
        <x:v>1326C</x:v>
      </x:c>
      <x:c r="J317" t="str">
        <x:f>Rates_Raw!L317</x:f>
        <x:v>$48.7250</x:v>
      </x:c>
    </x:row>
    <x:row r="318">
      <x:c r="A318" t="n">
        <x:f>Rates_Raw!A318</x:f>
        <x:v>26407</x:v>
      </x:c>
      <x:c r="B318" t="str">
        <x:f>Rates_Raw!AF318</x:f>
        <x:v>1360|COMMN|2024-01-06</x:v>
      </x:c>
      <x:c r="C318" t="str">
        <x:f>Rates_Raw!D318</x:f>
        <x:v>1360</x:v>
      </x:c>
      <x:c r="D318" t="str">
        <x:f>Rates_Raw!C318</x:f>
        <x:v>2024/01/06</x:v>
      </x:c>
      <x:c r="E318" t="str">
        <x:f>Rates_Raw!F318</x:f>
        <x:v>021</x:v>
      </x:c>
      <x:c r="F318" t="n">
        <x:f>COUNTIF(Rates_Raw!$AF$5:$AF$464,B318)</x:f>
        <x:v>1</x:v>
      </x:c>
      <x:c r="G318" t="str">
        <x:f>IF(F318=1,"UNIQUE",IF(COUNTIFS(Rates_Raw!$AF$5:$AF$464,B318,Rates_Raw!$H$5:$H$464,Rates_Raw!H318,Rates_Raw!$L$5:$L$464,Rates_Raw!L318)=F318,"REPEATED SOURCE ROW","CONFLICTING KEY"))</x:f>
        <x:v>UNIQUE</x:v>
      </x:c>
      <x:c r="H318" t="str">
        <x:f>IF(F318&gt;1,"REVIEW","OK")</x:f>
        <x:v>OK</x:v>
      </x:c>
      <x:c r="I318" t="str">
        <x:f>Rates_Raw!H318</x:f>
        <x:v>1360Y</x:v>
      </x:c>
      <x:c r="J318" t="str">
        <x:f>Rates_Raw!L318</x:f>
        <x:v>$27.0000</x:v>
      </x:c>
    </x:row>
    <x:row r="319">
      <x:c r="A319" t="n">
        <x:f>Rates_Raw!A319</x:f>
        <x:v>26408</x:v>
      </x:c>
      <x:c r="B319" t="str">
        <x:f>Rates_Raw!AF319</x:f>
        <x:v>1360|SFMTA|2024-01-06</x:v>
      </x:c>
      <x:c r="C319" t="str">
        <x:f>Rates_Raw!D319</x:f>
        <x:v>1360</x:v>
      </x:c>
      <x:c r="D319" t="str">
        <x:f>Rates_Raw!C319</x:f>
        <x:v>2024/01/06</x:v>
      </x:c>
      <x:c r="E319" t="str">
        <x:f>Rates_Raw!F319</x:f>
        <x:v>021</x:v>
      </x:c>
      <x:c r="F319" t="n">
        <x:f>COUNTIF(Rates_Raw!$AF$5:$AF$464,B319)</x:f>
        <x:v>1</x:v>
      </x:c>
      <x:c r="G319" t="str">
        <x:f>IF(F319=1,"UNIQUE",IF(COUNTIFS(Rates_Raw!$AF$5:$AF$464,B319,Rates_Raw!$H$5:$H$464,Rates_Raw!H319,Rates_Raw!$L$5:$L$464,Rates_Raw!L319)=F319,"REPEATED SOURCE ROW","CONFLICTING KEY"))</x:f>
        <x:v>UNIQUE</x:v>
      </x:c>
      <x:c r="H319" t="str">
        <x:f>IF(F319&gt;1,"REVIEW","OK")</x:f>
        <x:v>OK</x:v>
      </x:c>
      <x:c r="I319" t="str">
        <x:f>Rates_Raw!H319</x:f>
        <x:v>1360Y</x:v>
      </x:c>
      <x:c r="J319" t="str">
        <x:f>Rates_Raw!L319</x:f>
        <x:v>$27.0000</x:v>
      </x:c>
    </x:row>
    <x:row r="320">
      <x:c r="A320" t="n">
        <x:f>Rates_Raw!A320</x:f>
        <x:v>28145</x:v>
      </x:c>
      <x:c r="B320" t="str">
        <x:f>Rates_Raw!AF320</x:f>
        <x:v>1360|COMMN|2024-07-01</x:v>
      </x:c>
      <x:c r="C320" t="str">
        <x:f>Rates_Raw!D320</x:f>
        <x:v>1360</x:v>
      </x:c>
      <x:c r="D320" t="str">
        <x:f>Rates_Raw!C320</x:f>
        <x:v>2024/07/01</x:v>
      </x:c>
      <x:c r="E320" t="str">
        <x:f>Rates_Raw!F320</x:f>
        <x:v>021</x:v>
      </x:c>
      <x:c r="F320" t="n">
        <x:f>COUNTIF(Rates_Raw!$AF$5:$AF$464,B320)</x:f>
        <x:v>1</x:v>
      </x:c>
      <x:c r="G320" t="str">
        <x:f>IF(F320=1,"UNIQUE",IF(COUNTIFS(Rates_Raw!$AF$5:$AF$464,B320,Rates_Raw!$H$5:$H$464,Rates_Raw!H320,Rates_Raw!$L$5:$L$464,Rates_Raw!L320)=F320,"REPEATED SOURCE ROW","CONFLICTING KEY"))</x:f>
        <x:v>UNIQUE</x:v>
      </x:c>
      <x:c r="H320" t="str">
        <x:f>IF(F320&gt;1,"REVIEW","OK")</x:f>
        <x:v>OK</x:v>
      </x:c>
      <x:c r="I320" t="str">
        <x:f>Rates_Raw!H320</x:f>
        <x:v>1360Z</x:v>
      </x:c>
      <x:c r="J320" t="str">
        <x:f>Rates_Raw!L320</x:f>
        <x:v>$27.4000</x:v>
      </x:c>
    </x:row>
    <x:row r="321">
      <x:c r="A321" t="n">
        <x:f>Rates_Raw!A321</x:f>
        <x:v>28146</x:v>
      </x:c>
      <x:c r="B321" t="str">
        <x:f>Rates_Raw!AF321</x:f>
        <x:v>1360|SFMTA|2024-07-01</x:v>
      </x:c>
      <x:c r="C321" t="str">
        <x:f>Rates_Raw!D321</x:f>
        <x:v>1360</x:v>
      </x:c>
      <x:c r="D321" t="str">
        <x:f>Rates_Raw!C321</x:f>
        <x:v>2024/07/01</x:v>
      </x:c>
      <x:c r="E321" t="str">
        <x:f>Rates_Raw!F321</x:f>
        <x:v>021</x:v>
      </x:c>
      <x:c r="F321" t="n">
        <x:f>COUNTIF(Rates_Raw!$AF$5:$AF$464,B321)</x:f>
        <x:v>1</x:v>
      </x:c>
      <x:c r="G321" t="str">
        <x:f>IF(F321=1,"UNIQUE",IF(COUNTIFS(Rates_Raw!$AF$5:$AF$464,B321,Rates_Raw!$H$5:$H$464,Rates_Raw!H321,Rates_Raw!$L$5:$L$464,Rates_Raw!L321)=F321,"REPEATED SOURCE ROW","CONFLICTING KEY"))</x:f>
        <x:v>UNIQUE</x:v>
      </x:c>
      <x:c r="H321" t="str">
        <x:f>IF(F321&gt;1,"REVIEW","OK")</x:f>
        <x:v>OK</x:v>
      </x:c>
      <x:c r="I321" t="str">
        <x:f>Rates_Raw!H321</x:f>
        <x:v>1360Z</x:v>
      </x:c>
      <x:c r="J321" t="str">
        <x:f>Rates_Raw!L321</x:f>
        <x:v>$27.4000</x:v>
      </x:c>
    </x:row>
    <x:row r="322">
      <x:c r="A322" t="n">
        <x:f>Rates_Raw!A322</x:f>
        <x:v>29851</x:v>
      </x:c>
      <x:c r="B322" t="str">
        <x:f>Rates_Raw!AF322</x:f>
        <x:v>1360|COMMN|2025-01-04</x:v>
      </x:c>
      <x:c r="C322" t="str">
        <x:f>Rates_Raw!D322</x:f>
        <x:v>1360</x:v>
      </x:c>
      <x:c r="D322" t="str">
        <x:f>Rates_Raw!C322</x:f>
        <x:v>2025/01/04</x:v>
      </x:c>
      <x:c r="E322" t="str">
        <x:f>Rates_Raw!F322</x:f>
        <x:v>021</x:v>
      </x:c>
      <x:c r="F322" t="n">
        <x:f>COUNTIF(Rates_Raw!$AF$5:$AF$464,B322)</x:f>
        <x:v>1</x:v>
      </x:c>
      <x:c r="G322" t="str">
        <x:f>IF(F322=1,"UNIQUE",IF(COUNTIFS(Rates_Raw!$AF$5:$AF$464,B322,Rates_Raw!$H$5:$H$464,Rates_Raw!H322,Rates_Raw!$L$5:$L$464,Rates_Raw!L322)=F322,"REPEATED SOURCE ROW","CONFLICTING KEY"))</x:f>
        <x:v>UNIQUE</x:v>
      </x:c>
      <x:c r="H322" t="str">
        <x:f>IF(F322&gt;1,"REVIEW","OK")</x:f>
        <x:v>OK</x:v>
      </x:c>
      <x:c r="I322" t="str">
        <x:f>Rates_Raw!H322</x:f>
        <x:v>1360A</x:v>
      </x:c>
      <x:c r="J322" t="str">
        <x:f>Rates_Raw!L322</x:f>
        <x:v>$27.8125</x:v>
      </x:c>
    </x:row>
    <x:row r="323">
      <x:c r="A323" t="n">
        <x:f>Rates_Raw!A323</x:f>
        <x:v>29852</x:v>
      </x:c>
      <x:c r="B323" t="str">
        <x:f>Rates_Raw!AF323</x:f>
        <x:v>1360|SFMTA|2025-01-04</x:v>
      </x:c>
      <x:c r="C323" t="str">
        <x:f>Rates_Raw!D323</x:f>
        <x:v>1360</x:v>
      </x:c>
      <x:c r="D323" t="str">
        <x:f>Rates_Raw!C323</x:f>
        <x:v>2025/01/04</x:v>
      </x:c>
      <x:c r="E323" t="str">
        <x:f>Rates_Raw!F323</x:f>
        <x:v>021</x:v>
      </x:c>
      <x:c r="F323" t="n">
        <x:f>COUNTIF(Rates_Raw!$AF$5:$AF$464,B323)</x:f>
        <x:v>1</x:v>
      </x:c>
      <x:c r="G323" t="str">
        <x:f>IF(F323=1,"UNIQUE",IF(COUNTIFS(Rates_Raw!$AF$5:$AF$464,B323,Rates_Raw!$H$5:$H$464,Rates_Raw!H323,Rates_Raw!$L$5:$L$464,Rates_Raw!L323)=F323,"REPEATED SOURCE ROW","CONFLICTING KEY"))</x:f>
        <x:v>UNIQUE</x:v>
      </x:c>
      <x:c r="H323" t="str">
        <x:f>IF(F323&gt;1,"REVIEW","OK")</x:f>
        <x:v>OK</x:v>
      </x:c>
      <x:c r="I323" t="str">
        <x:f>Rates_Raw!H323</x:f>
        <x:v>1360A</x:v>
      </x:c>
      <x:c r="J323" t="str">
        <x:f>Rates_Raw!L323</x:f>
        <x:v>$27.8125</x:v>
      </x:c>
    </x:row>
    <x:row r="324">
      <x:c r="A324" t="n">
        <x:f>Rates_Raw!A324</x:f>
        <x:v>31564</x:v>
      </x:c>
      <x:c r="B324" t="str">
        <x:f>Rates_Raw!AF324</x:f>
        <x:v>1360|COMMN|2025-07-01</x:v>
      </x:c>
      <x:c r="C324" t="str">
        <x:f>Rates_Raw!D324</x:f>
        <x:v>1360</x:v>
      </x:c>
      <x:c r="D324" t="str">
        <x:f>Rates_Raw!C324</x:f>
        <x:v>2025/07/01</x:v>
      </x:c>
      <x:c r="E324" t="str">
        <x:f>Rates_Raw!F324</x:f>
        <x:v>021</x:v>
      </x:c>
      <x:c r="F324" t="n">
        <x:f>COUNTIF(Rates_Raw!$AF$5:$AF$464,B324)</x:f>
        <x:v>1</x:v>
      </x:c>
      <x:c r="G324" t="str">
        <x:f>IF(F324=1,"UNIQUE",IF(COUNTIFS(Rates_Raw!$AF$5:$AF$464,B324,Rates_Raw!$H$5:$H$464,Rates_Raw!H324,Rates_Raw!$L$5:$L$464,Rates_Raw!L324)=F324,"REPEATED SOURCE ROW","CONFLICTING KEY"))</x:f>
        <x:v>UNIQUE</x:v>
      </x:c>
      <x:c r="H324" t="str">
        <x:f>IF(F324&gt;1,"REVIEW","OK")</x:f>
        <x:v>OK</x:v>
      </x:c>
      <x:c r="I324" t="str">
        <x:f>Rates_Raw!H324</x:f>
        <x:v>1360B</x:v>
      </x:c>
      <x:c r="J324" t="str">
        <x:f>Rates_Raw!L324</x:f>
        <x:v>$28.3750</x:v>
      </x:c>
    </x:row>
    <x:row r="325">
      <x:c r="A325" t="n">
        <x:f>Rates_Raw!A325</x:f>
        <x:v>31565</x:v>
      </x:c>
      <x:c r="B325" t="str">
        <x:f>Rates_Raw!AF325</x:f>
        <x:v>1360|SFMTA|2025-07-01</x:v>
      </x:c>
      <x:c r="C325" t="str">
        <x:f>Rates_Raw!D325</x:f>
        <x:v>1360</x:v>
      </x:c>
      <x:c r="D325" t="str">
        <x:f>Rates_Raw!C325</x:f>
        <x:v>2025/07/01</x:v>
      </x:c>
      <x:c r="E325" t="str">
        <x:f>Rates_Raw!F325</x:f>
        <x:v>021</x:v>
      </x:c>
      <x:c r="F325" t="n">
        <x:f>COUNTIF(Rates_Raw!$AF$5:$AF$464,B325)</x:f>
        <x:v>1</x:v>
      </x:c>
      <x:c r="G325" t="str">
        <x:f>IF(F325=1,"UNIQUE",IF(COUNTIFS(Rates_Raw!$AF$5:$AF$464,B325,Rates_Raw!$H$5:$H$464,Rates_Raw!H325,Rates_Raw!$L$5:$L$464,Rates_Raw!L325)=F325,"REPEATED SOURCE ROW","CONFLICTING KEY"))</x:f>
        <x:v>UNIQUE</x:v>
      </x:c>
      <x:c r="H325" t="str">
        <x:f>IF(F325&gt;1,"REVIEW","OK")</x:f>
        <x:v>OK</x:v>
      </x:c>
      <x:c r="I325" t="str">
        <x:f>Rates_Raw!H325</x:f>
        <x:v>1360B</x:v>
      </x:c>
      <x:c r="J325" t="str">
        <x:f>Rates_Raw!L325</x:f>
        <x:v>$28.3750</x:v>
      </x:c>
    </x:row>
    <x:row r="326">
      <x:c r="A326" t="n">
        <x:f>Rates_Raw!A326</x:f>
        <x:v>33249</x:v>
      </x:c>
      <x:c r="B326" t="str">
        <x:f>Rates_Raw!AF326</x:f>
        <x:v>1360|COMMN|2026-01-03</x:v>
      </x:c>
      <x:c r="C326" t="str">
        <x:f>Rates_Raw!D326</x:f>
        <x:v>1360</x:v>
      </x:c>
      <x:c r="D326" t="str">
        <x:f>Rates_Raw!C326</x:f>
        <x:v>2026/01/03</x:v>
      </x:c>
      <x:c r="E326" t="str">
        <x:f>Rates_Raw!F326</x:f>
        <x:v>021</x:v>
      </x:c>
      <x:c r="F326" t="n">
        <x:f>COUNTIF(Rates_Raw!$AF$5:$AF$464,B326)</x:f>
        <x:v>1</x:v>
      </x:c>
      <x:c r="G326" t="str">
        <x:f>IF(F326=1,"UNIQUE",IF(COUNTIFS(Rates_Raw!$AF$5:$AF$464,B326,Rates_Raw!$H$5:$H$464,Rates_Raw!H326,Rates_Raw!$L$5:$L$464,Rates_Raw!L326)=F326,"REPEATED SOURCE ROW","CONFLICTING KEY"))</x:f>
        <x:v>UNIQUE</x:v>
      </x:c>
      <x:c r="H326" t="str">
        <x:f>IF(F326&gt;1,"REVIEW","OK")</x:f>
        <x:v>OK</x:v>
      </x:c>
      <x:c r="I326" t="str">
        <x:f>Rates_Raw!H326</x:f>
        <x:v>1360C</x:v>
      </x:c>
      <x:c r="J326" t="str">
        <x:f>Rates_Raw!L326</x:f>
        <x:v>$28.8000</x:v>
      </x:c>
    </x:row>
    <x:row r="327">
      <x:c r="A327" t="n">
        <x:f>Rates_Raw!A327</x:f>
        <x:v>33250</x:v>
      </x:c>
      <x:c r="B327" t="str">
        <x:f>Rates_Raw!AF327</x:f>
        <x:v>1360|SFMTA|2026-01-03</x:v>
      </x:c>
      <x:c r="C327" t="str">
        <x:f>Rates_Raw!D327</x:f>
        <x:v>1360</x:v>
      </x:c>
      <x:c r="D327" t="str">
        <x:f>Rates_Raw!C327</x:f>
        <x:v>2026/01/03</x:v>
      </x:c>
      <x:c r="E327" t="str">
        <x:f>Rates_Raw!F327</x:f>
        <x:v>021</x:v>
      </x:c>
      <x:c r="F327" t="n">
        <x:f>COUNTIF(Rates_Raw!$AF$5:$AF$464,B327)</x:f>
        <x:v>1</x:v>
      </x:c>
      <x:c r="G327" t="str">
        <x:f>IF(F327=1,"UNIQUE",IF(COUNTIFS(Rates_Raw!$AF$5:$AF$464,B327,Rates_Raw!$H$5:$H$464,Rates_Raw!H327,Rates_Raw!$L$5:$L$464,Rates_Raw!L327)=F327,"REPEATED SOURCE ROW","CONFLICTING KEY"))</x:f>
        <x:v>UNIQUE</x:v>
      </x:c>
      <x:c r="H327" t="str">
        <x:f>IF(F327&gt;1,"REVIEW","OK")</x:f>
        <x:v>OK</x:v>
      </x:c>
      <x:c r="I327" t="str">
        <x:f>Rates_Raw!H327</x:f>
        <x:v>1360C</x:v>
      </x:c>
      <x:c r="J327" t="str">
        <x:f>Rates_Raw!L327</x:f>
        <x:v>$28.8000</x:v>
      </x:c>
    </x:row>
    <x:row r="328">
      <x:c r="A328" t="n">
        <x:f>Rates_Raw!A328</x:f>
        <x:v>26409</x:v>
      </x:c>
      <x:c r="B328" t="str">
        <x:f>Rates_Raw!AF328</x:f>
        <x:v>1361|COMMN|2024-01-06</x:v>
      </x:c>
      <x:c r="C328" t="str">
        <x:f>Rates_Raw!D328</x:f>
        <x:v>1361</x:v>
      </x:c>
      <x:c r="D328" t="str">
        <x:f>Rates_Raw!C328</x:f>
        <x:v>2024/01/06</x:v>
      </x:c>
      <x:c r="E328" t="str">
        <x:f>Rates_Raw!F328</x:f>
        <x:v>021</x:v>
      </x:c>
      <x:c r="F328" t="n">
        <x:f>COUNTIF(Rates_Raw!$AF$5:$AF$464,B328)</x:f>
        <x:v>1</x:v>
      </x:c>
      <x:c r="G328" t="str">
        <x:f>IF(F328=1,"UNIQUE",IF(COUNTIFS(Rates_Raw!$AF$5:$AF$464,B328,Rates_Raw!$H$5:$H$464,Rates_Raw!H328,Rates_Raw!$L$5:$L$464,Rates_Raw!L328)=F328,"REPEATED SOURCE ROW","CONFLICTING KEY"))</x:f>
        <x:v>UNIQUE</x:v>
      </x:c>
      <x:c r="H328" t="str">
        <x:f>IF(F328&gt;1,"REVIEW","OK")</x:f>
        <x:v>OK</x:v>
      </x:c>
      <x:c r="I328" t="str">
        <x:f>Rates_Raw!H328</x:f>
        <x:v>1361Y</x:v>
      </x:c>
      <x:c r="J328" t="str">
        <x:f>Rates_Raw!L328</x:f>
        <x:v>$28.9750</x:v>
      </x:c>
    </x:row>
    <x:row r="329">
      <x:c r="A329" t="n">
        <x:f>Rates_Raw!A329</x:f>
        <x:v>26410</x:v>
      </x:c>
      <x:c r="B329" t="str">
        <x:f>Rates_Raw!AF329</x:f>
        <x:v>1361|SFMTA|2024-01-06</x:v>
      </x:c>
      <x:c r="C329" t="str">
        <x:f>Rates_Raw!D329</x:f>
        <x:v>1361</x:v>
      </x:c>
      <x:c r="D329" t="str">
        <x:f>Rates_Raw!C329</x:f>
        <x:v>2024/01/06</x:v>
      </x:c>
      <x:c r="E329" t="str">
        <x:f>Rates_Raw!F329</x:f>
        <x:v>021</x:v>
      </x:c>
      <x:c r="F329" t="n">
        <x:f>COUNTIF(Rates_Raw!$AF$5:$AF$464,B329)</x:f>
        <x:v>1</x:v>
      </x:c>
      <x:c r="G329" t="str">
        <x:f>IF(F329=1,"UNIQUE",IF(COUNTIFS(Rates_Raw!$AF$5:$AF$464,B329,Rates_Raw!$H$5:$H$464,Rates_Raw!H329,Rates_Raw!$L$5:$L$464,Rates_Raw!L329)=F329,"REPEATED SOURCE ROW","CONFLICTING KEY"))</x:f>
        <x:v>UNIQUE</x:v>
      </x:c>
      <x:c r="H329" t="str">
        <x:f>IF(F329&gt;1,"REVIEW","OK")</x:f>
        <x:v>OK</x:v>
      </x:c>
      <x:c r="I329" t="str">
        <x:f>Rates_Raw!H329</x:f>
        <x:v>1361Y</x:v>
      </x:c>
      <x:c r="J329" t="str">
        <x:f>Rates_Raw!L329</x:f>
        <x:v>$28.9750</x:v>
      </x:c>
    </x:row>
    <x:row r="330">
      <x:c r="A330" t="n">
        <x:f>Rates_Raw!A330</x:f>
        <x:v>28147</x:v>
      </x:c>
      <x:c r="B330" t="str">
        <x:f>Rates_Raw!AF330</x:f>
        <x:v>1361|COMMN|2024-07-01</x:v>
      </x:c>
      <x:c r="C330" t="str">
        <x:f>Rates_Raw!D330</x:f>
        <x:v>1361</x:v>
      </x:c>
      <x:c r="D330" t="str">
        <x:f>Rates_Raw!C330</x:f>
        <x:v>2024/07/01</x:v>
      </x:c>
      <x:c r="E330" t="str">
        <x:f>Rates_Raw!F330</x:f>
        <x:v>021</x:v>
      </x:c>
      <x:c r="F330" t="n">
        <x:f>COUNTIF(Rates_Raw!$AF$5:$AF$464,B330)</x:f>
        <x:v>1</x:v>
      </x:c>
      <x:c r="G330" t="str">
        <x:f>IF(F330=1,"UNIQUE",IF(COUNTIFS(Rates_Raw!$AF$5:$AF$464,B330,Rates_Raw!$H$5:$H$464,Rates_Raw!H330,Rates_Raw!$L$5:$L$464,Rates_Raw!L330)=F330,"REPEATED SOURCE ROW","CONFLICTING KEY"))</x:f>
        <x:v>UNIQUE</x:v>
      </x:c>
      <x:c r="H330" t="str">
        <x:f>IF(F330&gt;1,"REVIEW","OK")</x:f>
        <x:v>OK</x:v>
      </x:c>
      <x:c r="I330" t="str">
        <x:f>Rates_Raw!H330</x:f>
        <x:v>1361Z</x:v>
      </x:c>
      <x:c r="J330" t="str">
        <x:f>Rates_Raw!L330</x:f>
        <x:v>$29.4125</x:v>
      </x:c>
    </x:row>
    <x:row r="331">
      <x:c r="A331" t="n">
        <x:f>Rates_Raw!A331</x:f>
        <x:v>28148</x:v>
      </x:c>
      <x:c r="B331" t="str">
        <x:f>Rates_Raw!AF331</x:f>
        <x:v>1361|SFMTA|2024-07-01</x:v>
      </x:c>
      <x:c r="C331" t="str">
        <x:f>Rates_Raw!D331</x:f>
        <x:v>1361</x:v>
      </x:c>
      <x:c r="D331" t="str">
        <x:f>Rates_Raw!C331</x:f>
        <x:v>2024/07/01</x:v>
      </x:c>
      <x:c r="E331" t="str">
        <x:f>Rates_Raw!F331</x:f>
        <x:v>021</x:v>
      </x:c>
      <x:c r="F331" t="n">
        <x:f>COUNTIF(Rates_Raw!$AF$5:$AF$464,B331)</x:f>
        <x:v>1</x:v>
      </x:c>
      <x:c r="G331" t="str">
        <x:f>IF(F331=1,"UNIQUE",IF(COUNTIFS(Rates_Raw!$AF$5:$AF$464,B331,Rates_Raw!$H$5:$H$464,Rates_Raw!H331,Rates_Raw!$L$5:$L$464,Rates_Raw!L331)=F331,"REPEATED SOURCE ROW","CONFLICTING KEY"))</x:f>
        <x:v>UNIQUE</x:v>
      </x:c>
      <x:c r="H331" t="str">
        <x:f>IF(F331&gt;1,"REVIEW","OK")</x:f>
        <x:v>OK</x:v>
      </x:c>
      <x:c r="I331" t="str">
        <x:f>Rates_Raw!H331</x:f>
        <x:v>1361Z</x:v>
      </x:c>
      <x:c r="J331" t="str">
        <x:f>Rates_Raw!L331</x:f>
        <x:v>$29.4125</x:v>
      </x:c>
    </x:row>
    <x:row r="332">
      <x:c r="A332" t="n">
        <x:f>Rates_Raw!A332</x:f>
        <x:v>29853</x:v>
      </x:c>
      <x:c r="B332" t="str">
        <x:f>Rates_Raw!AF332</x:f>
        <x:v>1361|COMMN|2025-01-04</x:v>
      </x:c>
      <x:c r="C332" t="str">
        <x:f>Rates_Raw!D332</x:f>
        <x:v>1361</x:v>
      </x:c>
      <x:c r="D332" t="str">
        <x:f>Rates_Raw!C332</x:f>
        <x:v>2025/01/04</x:v>
      </x:c>
      <x:c r="E332" t="str">
        <x:f>Rates_Raw!F332</x:f>
        <x:v>021</x:v>
      </x:c>
      <x:c r="F332" t="n">
        <x:f>COUNTIF(Rates_Raw!$AF$5:$AF$464,B332)</x:f>
        <x:v>1</x:v>
      </x:c>
      <x:c r="G332" t="str">
        <x:f>IF(F332=1,"UNIQUE",IF(COUNTIFS(Rates_Raw!$AF$5:$AF$464,B332,Rates_Raw!$H$5:$H$464,Rates_Raw!H332,Rates_Raw!$L$5:$L$464,Rates_Raw!L332)=F332,"REPEATED SOURCE ROW","CONFLICTING KEY"))</x:f>
        <x:v>UNIQUE</x:v>
      </x:c>
      <x:c r="H332" t="str">
        <x:f>IF(F332&gt;1,"REVIEW","OK")</x:f>
        <x:v>OK</x:v>
      </x:c>
      <x:c r="I332" t="str">
        <x:f>Rates_Raw!H332</x:f>
        <x:v>1361A</x:v>
      </x:c>
      <x:c r="J332" t="str">
        <x:f>Rates_Raw!L332</x:f>
        <x:v>$29.8500</x:v>
      </x:c>
    </x:row>
    <x:row r="333">
      <x:c r="A333" t="n">
        <x:f>Rates_Raw!A333</x:f>
        <x:v>29854</x:v>
      </x:c>
      <x:c r="B333" t="str">
        <x:f>Rates_Raw!AF333</x:f>
        <x:v>1361|SFMTA|2025-01-04</x:v>
      </x:c>
      <x:c r="C333" t="str">
        <x:f>Rates_Raw!D333</x:f>
        <x:v>1361</x:v>
      </x:c>
      <x:c r="D333" t="str">
        <x:f>Rates_Raw!C333</x:f>
        <x:v>2025/01/04</x:v>
      </x:c>
      <x:c r="E333" t="str">
        <x:f>Rates_Raw!F333</x:f>
        <x:v>021</x:v>
      </x:c>
      <x:c r="F333" t="n">
        <x:f>COUNTIF(Rates_Raw!$AF$5:$AF$464,B333)</x:f>
        <x:v>1</x:v>
      </x:c>
      <x:c r="G333" t="str">
        <x:f>IF(F333=1,"UNIQUE",IF(COUNTIFS(Rates_Raw!$AF$5:$AF$464,B333,Rates_Raw!$H$5:$H$464,Rates_Raw!H333,Rates_Raw!$L$5:$L$464,Rates_Raw!L333)=F333,"REPEATED SOURCE ROW","CONFLICTING KEY"))</x:f>
        <x:v>UNIQUE</x:v>
      </x:c>
      <x:c r="H333" t="str">
        <x:f>IF(F333&gt;1,"REVIEW","OK")</x:f>
        <x:v>OK</x:v>
      </x:c>
      <x:c r="I333" t="str">
        <x:f>Rates_Raw!H333</x:f>
        <x:v>1361A</x:v>
      </x:c>
      <x:c r="J333" t="str">
        <x:f>Rates_Raw!L333</x:f>
        <x:v>$29.8500</x:v>
      </x:c>
    </x:row>
    <x:row r="334">
      <x:c r="A334" t="n">
        <x:f>Rates_Raw!A334</x:f>
        <x:v>31566</x:v>
      </x:c>
      <x:c r="B334" t="str">
        <x:f>Rates_Raw!AF334</x:f>
        <x:v>1361|COMMN|2025-07-01</x:v>
      </x:c>
      <x:c r="C334" t="str">
        <x:f>Rates_Raw!D334</x:f>
        <x:v>1361</x:v>
      </x:c>
      <x:c r="D334" t="str">
        <x:f>Rates_Raw!C334</x:f>
        <x:v>2025/07/01</x:v>
      </x:c>
      <x:c r="E334" t="str">
        <x:f>Rates_Raw!F334</x:f>
        <x:v>021</x:v>
      </x:c>
      <x:c r="F334" t="n">
        <x:f>COUNTIF(Rates_Raw!$AF$5:$AF$464,B334)</x:f>
        <x:v>1</x:v>
      </x:c>
      <x:c r="G334" t="str">
        <x:f>IF(F334=1,"UNIQUE",IF(COUNTIFS(Rates_Raw!$AF$5:$AF$464,B334,Rates_Raw!$H$5:$H$464,Rates_Raw!H334,Rates_Raw!$L$5:$L$464,Rates_Raw!L334)=F334,"REPEATED SOURCE ROW","CONFLICTING KEY"))</x:f>
        <x:v>UNIQUE</x:v>
      </x:c>
      <x:c r="H334" t="str">
        <x:f>IF(F334&gt;1,"REVIEW","OK")</x:f>
        <x:v>OK</x:v>
      </x:c>
      <x:c r="I334" t="str">
        <x:f>Rates_Raw!H334</x:f>
        <x:v>1361B</x:v>
      </x:c>
      <x:c r="J334" t="str">
        <x:f>Rates_Raw!L334</x:f>
        <x:v>$30.4500</x:v>
      </x:c>
    </x:row>
    <x:row r="335">
      <x:c r="A335" t="n">
        <x:f>Rates_Raw!A335</x:f>
        <x:v>31567</x:v>
      </x:c>
      <x:c r="B335" t="str">
        <x:f>Rates_Raw!AF335</x:f>
        <x:v>1361|SFMTA|2025-07-01</x:v>
      </x:c>
      <x:c r="C335" t="str">
        <x:f>Rates_Raw!D335</x:f>
        <x:v>1361</x:v>
      </x:c>
      <x:c r="D335" t="str">
        <x:f>Rates_Raw!C335</x:f>
        <x:v>2025/07/01</x:v>
      </x:c>
      <x:c r="E335" t="str">
        <x:f>Rates_Raw!F335</x:f>
        <x:v>021</x:v>
      </x:c>
      <x:c r="F335" t="n">
        <x:f>COUNTIF(Rates_Raw!$AF$5:$AF$464,B335)</x:f>
        <x:v>1</x:v>
      </x:c>
      <x:c r="G335" t="str">
        <x:f>IF(F335=1,"UNIQUE",IF(COUNTIFS(Rates_Raw!$AF$5:$AF$464,B335,Rates_Raw!$H$5:$H$464,Rates_Raw!H335,Rates_Raw!$L$5:$L$464,Rates_Raw!L335)=F335,"REPEATED SOURCE ROW","CONFLICTING KEY"))</x:f>
        <x:v>UNIQUE</x:v>
      </x:c>
      <x:c r="H335" t="str">
        <x:f>IF(F335&gt;1,"REVIEW","OK")</x:f>
        <x:v>OK</x:v>
      </x:c>
      <x:c r="I335" t="str">
        <x:f>Rates_Raw!H335</x:f>
        <x:v>1361B</x:v>
      </x:c>
      <x:c r="J335" t="str">
        <x:f>Rates_Raw!L335</x:f>
        <x:v>$30.4500</x:v>
      </x:c>
    </x:row>
    <x:row r="336">
      <x:c r="A336" t="n">
        <x:f>Rates_Raw!A336</x:f>
        <x:v>33251</x:v>
      </x:c>
      <x:c r="B336" t="str">
        <x:f>Rates_Raw!AF336</x:f>
        <x:v>1361|COMMN|2026-01-03</x:v>
      </x:c>
      <x:c r="C336" t="str">
        <x:f>Rates_Raw!D336</x:f>
        <x:v>1361</x:v>
      </x:c>
      <x:c r="D336" t="str">
        <x:f>Rates_Raw!C336</x:f>
        <x:v>2026/01/03</x:v>
      </x:c>
      <x:c r="E336" t="str">
        <x:f>Rates_Raw!F336</x:f>
        <x:v>021</x:v>
      </x:c>
      <x:c r="F336" t="n">
        <x:f>COUNTIF(Rates_Raw!$AF$5:$AF$464,B336)</x:f>
        <x:v>1</x:v>
      </x:c>
      <x:c r="G336" t="str">
        <x:f>IF(F336=1,"UNIQUE",IF(COUNTIFS(Rates_Raw!$AF$5:$AF$464,B336,Rates_Raw!$H$5:$H$464,Rates_Raw!H336,Rates_Raw!$L$5:$L$464,Rates_Raw!L336)=F336,"REPEATED SOURCE ROW","CONFLICTING KEY"))</x:f>
        <x:v>UNIQUE</x:v>
      </x:c>
      <x:c r="H336" t="str">
        <x:f>IF(F336&gt;1,"REVIEW","OK")</x:f>
        <x:v>OK</x:v>
      </x:c>
      <x:c r="I336" t="str">
        <x:f>Rates_Raw!H336</x:f>
        <x:v>1361C</x:v>
      </x:c>
      <x:c r="J336" t="str">
        <x:f>Rates_Raw!L336</x:f>
        <x:v>$30.9125</x:v>
      </x:c>
    </x:row>
    <x:row r="337">
      <x:c r="A337" t="n">
        <x:f>Rates_Raw!A337</x:f>
        <x:v>33252</x:v>
      </x:c>
      <x:c r="B337" t="str">
        <x:f>Rates_Raw!AF337</x:f>
        <x:v>1361|SFMTA|2026-01-03</x:v>
      </x:c>
      <x:c r="C337" t="str">
        <x:f>Rates_Raw!D337</x:f>
        <x:v>1361</x:v>
      </x:c>
      <x:c r="D337" t="str">
        <x:f>Rates_Raw!C337</x:f>
        <x:v>2026/01/03</x:v>
      </x:c>
      <x:c r="E337" t="str">
        <x:f>Rates_Raw!F337</x:f>
        <x:v>021</x:v>
      </x:c>
      <x:c r="F337" t="n">
        <x:f>COUNTIF(Rates_Raw!$AF$5:$AF$464,B337)</x:f>
        <x:v>1</x:v>
      </x:c>
      <x:c r="G337" t="str">
        <x:f>IF(F337=1,"UNIQUE",IF(COUNTIFS(Rates_Raw!$AF$5:$AF$464,B337,Rates_Raw!$H$5:$H$464,Rates_Raw!H337,Rates_Raw!$L$5:$L$464,Rates_Raw!L337)=F337,"REPEATED SOURCE ROW","CONFLICTING KEY"))</x:f>
        <x:v>UNIQUE</x:v>
      </x:c>
      <x:c r="H337" t="str">
        <x:f>IF(F337&gt;1,"REVIEW","OK")</x:f>
        <x:v>OK</x:v>
      </x:c>
      <x:c r="I337" t="str">
        <x:f>Rates_Raw!H337</x:f>
        <x:v>1361C</x:v>
      </x:c>
      <x:c r="J337" t="str">
        <x:f>Rates_Raw!L337</x:f>
        <x:v>$30.9125</x:v>
      </x:c>
    </x:row>
    <x:row r="338">
      <x:c r="A338" t="n">
        <x:f>Rates_Raw!A338</x:f>
        <x:v>26411</x:v>
      </x:c>
      <x:c r="B338" t="str">
        <x:f>Rates_Raw!AF338</x:f>
        <x:v>1362|COMMN|2024-01-06</x:v>
      </x:c>
      <x:c r="C338" t="str">
        <x:f>Rates_Raw!D338</x:f>
        <x:v>1362</x:v>
      </x:c>
      <x:c r="D338" t="str">
        <x:f>Rates_Raw!C338</x:f>
        <x:v>2024/01/06</x:v>
      </x:c>
      <x:c r="E338" t="str">
        <x:f>Rates_Raw!F338</x:f>
        <x:v>021</x:v>
      </x:c>
      <x:c r="F338" t="n">
        <x:f>COUNTIF(Rates_Raw!$AF$5:$AF$464,B338)</x:f>
        <x:v>1</x:v>
      </x:c>
      <x:c r="G338" t="str">
        <x:f>IF(F338=1,"UNIQUE",IF(COUNTIFS(Rates_Raw!$AF$5:$AF$464,B338,Rates_Raw!$H$5:$H$464,Rates_Raw!H338,Rates_Raw!$L$5:$L$464,Rates_Raw!L338)=F338,"REPEATED SOURCE ROW","CONFLICTING KEY"))</x:f>
        <x:v>UNIQUE</x:v>
      </x:c>
      <x:c r="H338" t="str">
        <x:f>IF(F338&gt;1,"REVIEW","OK")</x:f>
        <x:v>OK</x:v>
      </x:c>
      <x:c r="I338" t="str">
        <x:f>Rates_Raw!H338</x:f>
        <x:v>1362Y</x:v>
      </x:c>
      <x:c r="J338" t="str">
        <x:f>Rates_Raw!L338</x:f>
        <x:v>$31.2000</x:v>
      </x:c>
    </x:row>
    <x:row r="339">
      <x:c r="A339" t="n">
        <x:f>Rates_Raw!A339</x:f>
        <x:v>26412</x:v>
      </x:c>
      <x:c r="B339" t="str">
        <x:f>Rates_Raw!AF339</x:f>
        <x:v>1362|SFMTA|2024-01-06</x:v>
      </x:c>
      <x:c r="C339" t="str">
        <x:f>Rates_Raw!D339</x:f>
        <x:v>1362</x:v>
      </x:c>
      <x:c r="D339" t="str">
        <x:f>Rates_Raw!C339</x:f>
        <x:v>2024/01/06</x:v>
      </x:c>
      <x:c r="E339" t="str">
        <x:f>Rates_Raw!F339</x:f>
        <x:v>021</x:v>
      </x:c>
      <x:c r="F339" t="n">
        <x:f>COUNTIF(Rates_Raw!$AF$5:$AF$464,B339)</x:f>
        <x:v>1</x:v>
      </x:c>
      <x:c r="G339" t="str">
        <x:f>IF(F339=1,"UNIQUE",IF(COUNTIFS(Rates_Raw!$AF$5:$AF$464,B339,Rates_Raw!$H$5:$H$464,Rates_Raw!H339,Rates_Raw!$L$5:$L$464,Rates_Raw!L339)=F339,"REPEATED SOURCE ROW","CONFLICTING KEY"))</x:f>
        <x:v>UNIQUE</x:v>
      </x:c>
      <x:c r="H339" t="str">
        <x:f>IF(F339&gt;1,"REVIEW","OK")</x:f>
        <x:v>OK</x:v>
      </x:c>
      <x:c r="I339" t="str">
        <x:f>Rates_Raw!H339</x:f>
        <x:v>1362Y</x:v>
      </x:c>
      <x:c r="J339" t="str">
        <x:f>Rates_Raw!L339</x:f>
        <x:v>$31.2000</x:v>
      </x:c>
    </x:row>
    <x:row r="340">
      <x:c r="A340" t="n">
        <x:f>Rates_Raw!A340</x:f>
        <x:v>28149</x:v>
      </x:c>
      <x:c r="B340" t="str">
        <x:f>Rates_Raw!AF340</x:f>
        <x:v>1362|COMMN|2024-07-01</x:v>
      </x:c>
      <x:c r="C340" t="str">
        <x:f>Rates_Raw!D340</x:f>
        <x:v>1362</x:v>
      </x:c>
      <x:c r="D340" t="str">
        <x:f>Rates_Raw!C340</x:f>
        <x:v>2024/07/01</x:v>
      </x:c>
      <x:c r="E340" t="str">
        <x:f>Rates_Raw!F340</x:f>
        <x:v>021</x:v>
      </x:c>
      <x:c r="F340" t="n">
        <x:f>COUNTIF(Rates_Raw!$AF$5:$AF$464,B340)</x:f>
        <x:v>1</x:v>
      </x:c>
      <x:c r="G340" t="str">
        <x:f>IF(F340=1,"UNIQUE",IF(COUNTIFS(Rates_Raw!$AF$5:$AF$464,B340,Rates_Raw!$H$5:$H$464,Rates_Raw!H340,Rates_Raw!$L$5:$L$464,Rates_Raw!L340)=F340,"REPEATED SOURCE ROW","CONFLICTING KEY"))</x:f>
        <x:v>UNIQUE</x:v>
      </x:c>
      <x:c r="H340" t="str">
        <x:f>IF(F340&gt;1,"REVIEW","OK")</x:f>
        <x:v>OK</x:v>
      </x:c>
      <x:c r="I340" t="str">
        <x:f>Rates_Raw!H340</x:f>
        <x:v>1362Z</x:v>
      </x:c>
      <x:c r="J340" t="str">
        <x:f>Rates_Raw!L340</x:f>
        <x:v>$31.6625</x:v>
      </x:c>
    </x:row>
    <x:row r="341">
      <x:c r="A341" t="n">
        <x:f>Rates_Raw!A341</x:f>
        <x:v>28150</x:v>
      </x:c>
      <x:c r="B341" t="str">
        <x:f>Rates_Raw!AF341</x:f>
        <x:v>1362|SFMTA|2024-07-01</x:v>
      </x:c>
      <x:c r="C341" t="str">
        <x:f>Rates_Raw!D341</x:f>
        <x:v>1362</x:v>
      </x:c>
      <x:c r="D341" t="str">
        <x:f>Rates_Raw!C341</x:f>
        <x:v>2024/07/01</x:v>
      </x:c>
      <x:c r="E341" t="str">
        <x:f>Rates_Raw!F341</x:f>
        <x:v>021</x:v>
      </x:c>
      <x:c r="F341" t="n">
        <x:f>COUNTIF(Rates_Raw!$AF$5:$AF$464,B341)</x:f>
        <x:v>1</x:v>
      </x:c>
      <x:c r="G341" t="str">
        <x:f>IF(F341=1,"UNIQUE",IF(COUNTIFS(Rates_Raw!$AF$5:$AF$464,B341,Rates_Raw!$H$5:$H$464,Rates_Raw!H341,Rates_Raw!$L$5:$L$464,Rates_Raw!L341)=F341,"REPEATED SOURCE ROW","CONFLICTING KEY"))</x:f>
        <x:v>UNIQUE</x:v>
      </x:c>
      <x:c r="H341" t="str">
        <x:f>IF(F341&gt;1,"REVIEW","OK")</x:f>
        <x:v>OK</x:v>
      </x:c>
      <x:c r="I341" t="str">
        <x:f>Rates_Raw!H341</x:f>
        <x:v>1362Z</x:v>
      </x:c>
      <x:c r="J341" t="str">
        <x:f>Rates_Raw!L341</x:f>
        <x:v>$31.6625</x:v>
      </x:c>
    </x:row>
    <x:row r="342">
      <x:c r="A342" t="n">
        <x:f>Rates_Raw!A342</x:f>
        <x:v>29855</x:v>
      </x:c>
      <x:c r="B342" t="str">
        <x:f>Rates_Raw!AF342</x:f>
        <x:v>1362|COMMN|2025-01-04</x:v>
      </x:c>
      <x:c r="C342" t="str">
        <x:f>Rates_Raw!D342</x:f>
        <x:v>1362</x:v>
      </x:c>
      <x:c r="D342" t="str">
        <x:f>Rates_Raw!C342</x:f>
        <x:v>2025/01/04</x:v>
      </x:c>
      <x:c r="E342" t="str">
        <x:f>Rates_Raw!F342</x:f>
        <x:v>021</x:v>
      </x:c>
      <x:c r="F342" t="n">
        <x:f>COUNTIF(Rates_Raw!$AF$5:$AF$464,B342)</x:f>
        <x:v>1</x:v>
      </x:c>
      <x:c r="G342" t="str">
        <x:f>IF(F342=1,"UNIQUE",IF(COUNTIFS(Rates_Raw!$AF$5:$AF$464,B342,Rates_Raw!$H$5:$H$464,Rates_Raw!H342,Rates_Raw!$L$5:$L$464,Rates_Raw!L342)=F342,"REPEATED SOURCE ROW","CONFLICTING KEY"))</x:f>
        <x:v>UNIQUE</x:v>
      </x:c>
      <x:c r="H342" t="str">
        <x:f>IF(F342&gt;1,"REVIEW","OK")</x:f>
        <x:v>OK</x:v>
      </x:c>
      <x:c r="I342" t="str">
        <x:f>Rates_Raw!H342</x:f>
        <x:v>1362A</x:v>
      </x:c>
      <x:c r="J342" t="str">
        <x:f>Rates_Raw!L342</x:f>
        <x:v>$32.1375</x:v>
      </x:c>
    </x:row>
    <x:row r="343">
      <x:c r="A343" t="n">
        <x:f>Rates_Raw!A343</x:f>
        <x:v>29856</x:v>
      </x:c>
      <x:c r="B343" t="str">
        <x:f>Rates_Raw!AF343</x:f>
        <x:v>1362|SFMTA|2025-01-04</x:v>
      </x:c>
      <x:c r="C343" t="str">
        <x:f>Rates_Raw!D343</x:f>
        <x:v>1362</x:v>
      </x:c>
      <x:c r="D343" t="str">
        <x:f>Rates_Raw!C343</x:f>
        <x:v>2025/01/04</x:v>
      </x:c>
      <x:c r="E343" t="str">
        <x:f>Rates_Raw!F343</x:f>
        <x:v>021</x:v>
      </x:c>
      <x:c r="F343" t="n">
        <x:f>COUNTIF(Rates_Raw!$AF$5:$AF$464,B343)</x:f>
        <x:v>1</x:v>
      </x:c>
      <x:c r="G343" t="str">
        <x:f>IF(F343=1,"UNIQUE",IF(COUNTIFS(Rates_Raw!$AF$5:$AF$464,B343,Rates_Raw!$H$5:$H$464,Rates_Raw!H343,Rates_Raw!$L$5:$L$464,Rates_Raw!L343)=F343,"REPEATED SOURCE ROW","CONFLICTING KEY"))</x:f>
        <x:v>UNIQUE</x:v>
      </x:c>
      <x:c r="H343" t="str">
        <x:f>IF(F343&gt;1,"REVIEW","OK")</x:f>
        <x:v>OK</x:v>
      </x:c>
      <x:c r="I343" t="str">
        <x:f>Rates_Raw!H343</x:f>
        <x:v>1362A</x:v>
      </x:c>
      <x:c r="J343" t="str">
        <x:f>Rates_Raw!L343</x:f>
        <x:v>$32.1375</x:v>
      </x:c>
    </x:row>
    <x:row r="344">
      <x:c r="A344" t="n">
        <x:f>Rates_Raw!A344</x:f>
        <x:v>31568</x:v>
      </x:c>
      <x:c r="B344" t="str">
        <x:f>Rates_Raw!AF344</x:f>
        <x:v>1362|COMMN|2025-07-01</x:v>
      </x:c>
      <x:c r="C344" t="str">
        <x:f>Rates_Raw!D344</x:f>
        <x:v>1362</x:v>
      </x:c>
      <x:c r="D344" t="str">
        <x:f>Rates_Raw!C344</x:f>
        <x:v>2025/07/01</x:v>
      </x:c>
      <x:c r="E344" t="str">
        <x:f>Rates_Raw!F344</x:f>
        <x:v>021</x:v>
      </x:c>
      <x:c r="F344" t="n">
        <x:f>COUNTIF(Rates_Raw!$AF$5:$AF$464,B344)</x:f>
        <x:v>1</x:v>
      </x:c>
      <x:c r="G344" t="str">
        <x:f>IF(F344=1,"UNIQUE",IF(COUNTIFS(Rates_Raw!$AF$5:$AF$464,B344,Rates_Raw!$H$5:$H$464,Rates_Raw!H344,Rates_Raw!$L$5:$L$464,Rates_Raw!L344)=F344,"REPEATED SOURCE ROW","CONFLICTING KEY"))</x:f>
        <x:v>UNIQUE</x:v>
      </x:c>
      <x:c r="H344" t="str">
        <x:f>IF(F344&gt;1,"REVIEW","OK")</x:f>
        <x:v>OK</x:v>
      </x:c>
      <x:c r="I344" t="str">
        <x:f>Rates_Raw!H344</x:f>
        <x:v>1362B</x:v>
      </x:c>
      <x:c r="J344" t="str">
        <x:f>Rates_Raw!L344</x:f>
        <x:v>$32.7875</x:v>
      </x:c>
    </x:row>
    <x:row r="345">
      <x:c r="A345" t="n">
        <x:f>Rates_Raw!A345</x:f>
        <x:v>31569</x:v>
      </x:c>
      <x:c r="B345" t="str">
        <x:f>Rates_Raw!AF345</x:f>
        <x:v>1362|SFMTA|2025-07-01</x:v>
      </x:c>
      <x:c r="C345" t="str">
        <x:f>Rates_Raw!D345</x:f>
        <x:v>1362</x:v>
      </x:c>
      <x:c r="D345" t="str">
        <x:f>Rates_Raw!C345</x:f>
        <x:v>2025/07/01</x:v>
      </x:c>
      <x:c r="E345" t="str">
        <x:f>Rates_Raw!F345</x:f>
        <x:v>021</x:v>
      </x:c>
      <x:c r="F345" t="n">
        <x:f>COUNTIF(Rates_Raw!$AF$5:$AF$464,B345)</x:f>
        <x:v>1</x:v>
      </x:c>
      <x:c r="G345" t="str">
        <x:f>IF(F345=1,"UNIQUE",IF(COUNTIFS(Rates_Raw!$AF$5:$AF$464,B345,Rates_Raw!$H$5:$H$464,Rates_Raw!H345,Rates_Raw!$L$5:$L$464,Rates_Raw!L345)=F345,"REPEATED SOURCE ROW","CONFLICTING KEY"))</x:f>
        <x:v>UNIQUE</x:v>
      </x:c>
      <x:c r="H345" t="str">
        <x:f>IF(F345&gt;1,"REVIEW","OK")</x:f>
        <x:v>OK</x:v>
      </x:c>
      <x:c r="I345" t="str">
        <x:f>Rates_Raw!H345</x:f>
        <x:v>1362B</x:v>
      </x:c>
      <x:c r="J345" t="str">
        <x:f>Rates_Raw!L345</x:f>
        <x:v>$32.7875</x:v>
      </x:c>
    </x:row>
    <x:row r="346">
      <x:c r="A346" t="n">
        <x:f>Rates_Raw!A346</x:f>
        <x:v>33253</x:v>
      </x:c>
      <x:c r="B346" t="str">
        <x:f>Rates_Raw!AF346</x:f>
        <x:v>1362|COMMN|2026-01-03</x:v>
      </x:c>
      <x:c r="C346" t="str">
        <x:f>Rates_Raw!D346</x:f>
        <x:v>1362</x:v>
      </x:c>
      <x:c r="D346" t="str">
        <x:f>Rates_Raw!C346</x:f>
        <x:v>2026/01/03</x:v>
      </x:c>
      <x:c r="E346" t="str">
        <x:f>Rates_Raw!F346</x:f>
        <x:v>021</x:v>
      </x:c>
      <x:c r="F346" t="n">
        <x:f>COUNTIF(Rates_Raw!$AF$5:$AF$464,B346)</x:f>
        <x:v>1</x:v>
      </x:c>
      <x:c r="G346" t="str">
        <x:f>IF(F346=1,"UNIQUE",IF(COUNTIFS(Rates_Raw!$AF$5:$AF$464,B346,Rates_Raw!$H$5:$H$464,Rates_Raw!H346,Rates_Raw!$L$5:$L$464,Rates_Raw!L346)=F346,"REPEATED SOURCE ROW","CONFLICTING KEY"))</x:f>
        <x:v>UNIQUE</x:v>
      </x:c>
      <x:c r="H346" t="str">
        <x:f>IF(F346&gt;1,"REVIEW","OK")</x:f>
        <x:v>OK</x:v>
      </x:c>
      <x:c r="I346" t="str">
        <x:f>Rates_Raw!H346</x:f>
        <x:v>1362C</x:v>
      </x:c>
      <x:c r="J346" t="str">
        <x:f>Rates_Raw!L346</x:f>
        <x:v>$33.2750</x:v>
      </x:c>
    </x:row>
    <x:row r="347">
      <x:c r="A347" t="n">
        <x:f>Rates_Raw!A347</x:f>
        <x:v>33254</x:v>
      </x:c>
      <x:c r="B347" t="str">
        <x:f>Rates_Raw!AF347</x:f>
        <x:v>1362|SFMTA|2026-01-03</x:v>
      </x:c>
      <x:c r="C347" t="str">
        <x:f>Rates_Raw!D347</x:f>
        <x:v>1362</x:v>
      </x:c>
      <x:c r="D347" t="str">
        <x:f>Rates_Raw!C347</x:f>
        <x:v>2026/01/03</x:v>
      </x:c>
      <x:c r="E347" t="str">
        <x:f>Rates_Raw!F347</x:f>
        <x:v>021</x:v>
      </x:c>
      <x:c r="F347" t="n">
        <x:f>COUNTIF(Rates_Raw!$AF$5:$AF$464,B347)</x:f>
        <x:v>1</x:v>
      </x:c>
      <x:c r="G347" t="str">
        <x:f>IF(F347=1,"UNIQUE",IF(COUNTIFS(Rates_Raw!$AF$5:$AF$464,B347,Rates_Raw!$H$5:$H$464,Rates_Raw!H347,Rates_Raw!$L$5:$L$464,Rates_Raw!L347)=F347,"REPEATED SOURCE ROW","CONFLICTING KEY"))</x:f>
        <x:v>UNIQUE</x:v>
      </x:c>
      <x:c r="H347" t="str">
        <x:f>IF(F347&gt;1,"REVIEW","OK")</x:f>
        <x:v>OK</x:v>
      </x:c>
      <x:c r="I347" t="str">
        <x:f>Rates_Raw!H347</x:f>
        <x:v>1362C</x:v>
      </x:c>
      <x:c r="J347" t="str">
        <x:f>Rates_Raw!L347</x:f>
        <x:v>$33.2750</x:v>
      </x:c>
    </x:row>
    <x:row r="348">
      <x:c r="A348" t="n">
        <x:f>Rates_Raw!A348</x:f>
        <x:v>26413</x:v>
      </x:c>
      <x:c r="B348" t="str">
        <x:f>Rates_Raw!AF348</x:f>
        <x:v>1363|COMMN|2024-01-06</x:v>
      </x:c>
      <x:c r="C348" t="str">
        <x:f>Rates_Raw!D348</x:f>
        <x:v>1363</x:v>
      </x:c>
      <x:c r="D348" t="str">
        <x:f>Rates_Raw!C348</x:f>
        <x:v>2024/01/06</x:v>
      </x:c>
      <x:c r="E348" t="str">
        <x:f>Rates_Raw!F348</x:f>
        <x:v>021</x:v>
      </x:c>
      <x:c r="F348" t="n">
        <x:f>COUNTIF(Rates_Raw!$AF$5:$AF$464,B348)</x:f>
        <x:v>1</x:v>
      </x:c>
      <x:c r="G348" t="str">
        <x:f>IF(F348=1,"UNIQUE",IF(COUNTIFS(Rates_Raw!$AF$5:$AF$464,B348,Rates_Raw!$H$5:$H$464,Rates_Raw!H348,Rates_Raw!$L$5:$L$464,Rates_Raw!L348)=F348,"REPEATED SOURCE ROW","CONFLICTING KEY"))</x:f>
        <x:v>UNIQUE</x:v>
      </x:c>
      <x:c r="H348" t="str">
        <x:f>IF(F348&gt;1,"REVIEW","OK")</x:f>
        <x:v>OK</x:v>
      </x:c>
      <x:c r="I348" t="str">
        <x:f>Rates_Raw!H348</x:f>
        <x:v>1363Y</x:v>
      </x:c>
      <x:c r="J348" t="str">
        <x:f>Rates_Raw!L348</x:f>
        <x:v>$33.5750</x:v>
      </x:c>
    </x:row>
    <x:row r="349">
      <x:c r="A349" t="n">
        <x:f>Rates_Raw!A349</x:f>
        <x:v>26414</x:v>
      </x:c>
      <x:c r="B349" t="str">
        <x:f>Rates_Raw!AF349</x:f>
        <x:v>1363|SFMTA|2024-01-06</x:v>
      </x:c>
      <x:c r="C349" t="str">
        <x:f>Rates_Raw!D349</x:f>
        <x:v>1363</x:v>
      </x:c>
      <x:c r="D349" t="str">
        <x:f>Rates_Raw!C349</x:f>
        <x:v>2024/01/06</x:v>
      </x:c>
      <x:c r="E349" t="str">
        <x:f>Rates_Raw!F349</x:f>
        <x:v>021</x:v>
      </x:c>
      <x:c r="F349" t="n">
        <x:f>COUNTIF(Rates_Raw!$AF$5:$AF$464,B349)</x:f>
        <x:v>1</x:v>
      </x:c>
      <x:c r="G349" t="str">
        <x:f>IF(F349=1,"UNIQUE",IF(COUNTIFS(Rates_Raw!$AF$5:$AF$464,B349,Rates_Raw!$H$5:$H$464,Rates_Raw!H349,Rates_Raw!$L$5:$L$464,Rates_Raw!L349)=F349,"REPEATED SOURCE ROW","CONFLICTING KEY"))</x:f>
        <x:v>UNIQUE</x:v>
      </x:c>
      <x:c r="H349" t="str">
        <x:f>IF(F349&gt;1,"REVIEW","OK")</x:f>
        <x:v>OK</x:v>
      </x:c>
      <x:c r="I349" t="str">
        <x:f>Rates_Raw!H349</x:f>
        <x:v>1363Y</x:v>
      </x:c>
      <x:c r="J349" t="str">
        <x:f>Rates_Raw!L349</x:f>
        <x:v>$33.5750</x:v>
      </x:c>
    </x:row>
    <x:row r="350">
      <x:c r="A350" t="n">
        <x:f>Rates_Raw!A350</x:f>
        <x:v>28151</x:v>
      </x:c>
      <x:c r="B350" t="str">
        <x:f>Rates_Raw!AF350</x:f>
        <x:v>1363|COMMN|2024-07-01</x:v>
      </x:c>
      <x:c r="C350" t="str">
        <x:f>Rates_Raw!D350</x:f>
        <x:v>1363</x:v>
      </x:c>
      <x:c r="D350" t="str">
        <x:f>Rates_Raw!C350</x:f>
        <x:v>2024/07/01</x:v>
      </x:c>
      <x:c r="E350" t="str">
        <x:f>Rates_Raw!F350</x:f>
        <x:v>021</x:v>
      </x:c>
      <x:c r="F350" t="n">
        <x:f>COUNTIF(Rates_Raw!$AF$5:$AF$464,B350)</x:f>
        <x:v>1</x:v>
      </x:c>
      <x:c r="G350" t="str">
        <x:f>IF(F350=1,"UNIQUE",IF(COUNTIFS(Rates_Raw!$AF$5:$AF$464,B350,Rates_Raw!$H$5:$H$464,Rates_Raw!H350,Rates_Raw!$L$5:$L$464,Rates_Raw!L350)=F350,"REPEATED SOURCE ROW","CONFLICTING KEY"))</x:f>
        <x:v>UNIQUE</x:v>
      </x:c>
      <x:c r="H350" t="str">
        <x:f>IF(F350&gt;1,"REVIEW","OK")</x:f>
        <x:v>OK</x:v>
      </x:c>
      <x:c r="I350" t="str">
        <x:f>Rates_Raw!H350</x:f>
        <x:v>1363Z</x:v>
      </x:c>
      <x:c r="J350" t="str">
        <x:f>Rates_Raw!L350</x:f>
        <x:v>$34.0750</x:v>
      </x:c>
    </x:row>
    <x:row r="351">
      <x:c r="A351" t="n">
        <x:f>Rates_Raw!A351</x:f>
        <x:v>28152</x:v>
      </x:c>
      <x:c r="B351" t="str">
        <x:f>Rates_Raw!AF351</x:f>
        <x:v>1363|SFMTA|2024-07-01</x:v>
      </x:c>
      <x:c r="C351" t="str">
        <x:f>Rates_Raw!D351</x:f>
        <x:v>1363</x:v>
      </x:c>
      <x:c r="D351" t="str">
        <x:f>Rates_Raw!C351</x:f>
        <x:v>2024/07/01</x:v>
      </x:c>
      <x:c r="E351" t="str">
        <x:f>Rates_Raw!F351</x:f>
        <x:v>021</x:v>
      </x:c>
      <x:c r="F351" t="n">
        <x:f>COUNTIF(Rates_Raw!$AF$5:$AF$464,B351)</x:f>
        <x:v>1</x:v>
      </x:c>
      <x:c r="G351" t="str">
        <x:f>IF(F351=1,"UNIQUE",IF(COUNTIFS(Rates_Raw!$AF$5:$AF$464,B351,Rates_Raw!$H$5:$H$464,Rates_Raw!H351,Rates_Raw!$L$5:$L$464,Rates_Raw!L351)=F351,"REPEATED SOURCE ROW","CONFLICTING KEY"))</x:f>
        <x:v>UNIQUE</x:v>
      </x:c>
      <x:c r="H351" t="str">
        <x:f>IF(F351&gt;1,"REVIEW","OK")</x:f>
        <x:v>OK</x:v>
      </x:c>
      <x:c r="I351" t="str">
        <x:f>Rates_Raw!H351</x:f>
        <x:v>1363Z</x:v>
      </x:c>
      <x:c r="J351" t="str">
        <x:f>Rates_Raw!L351</x:f>
        <x:v>$34.0750</x:v>
      </x:c>
    </x:row>
    <x:row r="352">
      <x:c r="A352" t="n">
        <x:f>Rates_Raw!A352</x:f>
        <x:v>29857</x:v>
      </x:c>
      <x:c r="B352" t="str">
        <x:f>Rates_Raw!AF352</x:f>
        <x:v>1363|COMMN|2025-01-04</x:v>
      </x:c>
      <x:c r="C352" t="str">
        <x:f>Rates_Raw!D352</x:f>
        <x:v>1363</x:v>
      </x:c>
      <x:c r="D352" t="str">
        <x:f>Rates_Raw!C352</x:f>
        <x:v>2025/01/04</x:v>
      </x:c>
      <x:c r="E352" t="str">
        <x:f>Rates_Raw!F352</x:f>
        <x:v>021</x:v>
      </x:c>
      <x:c r="F352" t="n">
        <x:f>COUNTIF(Rates_Raw!$AF$5:$AF$464,B352)</x:f>
        <x:v>1</x:v>
      </x:c>
      <x:c r="G352" t="str">
        <x:f>IF(F352=1,"UNIQUE",IF(COUNTIFS(Rates_Raw!$AF$5:$AF$464,B352,Rates_Raw!$H$5:$H$464,Rates_Raw!H352,Rates_Raw!$L$5:$L$464,Rates_Raw!L352)=F352,"REPEATED SOURCE ROW","CONFLICTING KEY"))</x:f>
        <x:v>UNIQUE</x:v>
      </x:c>
      <x:c r="H352" t="str">
        <x:f>IF(F352&gt;1,"REVIEW","OK")</x:f>
        <x:v>OK</x:v>
      </x:c>
      <x:c r="I352" t="str">
        <x:f>Rates_Raw!H352</x:f>
        <x:v>1363A</x:v>
      </x:c>
      <x:c r="J352" t="str">
        <x:f>Rates_Raw!L352</x:f>
        <x:v>$34.5875</x:v>
      </x:c>
    </x:row>
    <x:row r="353">
      <x:c r="A353" t="n">
        <x:f>Rates_Raw!A353</x:f>
        <x:v>29858</x:v>
      </x:c>
      <x:c r="B353" t="str">
        <x:f>Rates_Raw!AF353</x:f>
        <x:v>1363|SFMTA|2025-01-04</x:v>
      </x:c>
      <x:c r="C353" t="str">
        <x:f>Rates_Raw!D353</x:f>
        <x:v>1363</x:v>
      </x:c>
      <x:c r="D353" t="str">
        <x:f>Rates_Raw!C353</x:f>
        <x:v>2025/01/04</x:v>
      </x:c>
      <x:c r="E353" t="str">
        <x:f>Rates_Raw!F353</x:f>
        <x:v>021</x:v>
      </x:c>
      <x:c r="F353" t="n">
        <x:f>COUNTIF(Rates_Raw!$AF$5:$AF$464,B353)</x:f>
        <x:v>1</x:v>
      </x:c>
      <x:c r="G353" t="str">
        <x:f>IF(F353=1,"UNIQUE",IF(COUNTIFS(Rates_Raw!$AF$5:$AF$464,B353,Rates_Raw!$H$5:$H$464,Rates_Raw!H353,Rates_Raw!$L$5:$L$464,Rates_Raw!L353)=F353,"REPEATED SOURCE ROW","CONFLICTING KEY"))</x:f>
        <x:v>UNIQUE</x:v>
      </x:c>
      <x:c r="H353" t="str">
        <x:f>IF(F353&gt;1,"REVIEW","OK")</x:f>
        <x:v>OK</x:v>
      </x:c>
      <x:c r="I353" t="str">
        <x:f>Rates_Raw!H353</x:f>
        <x:v>1363A</x:v>
      </x:c>
      <x:c r="J353" t="str">
        <x:f>Rates_Raw!L353</x:f>
        <x:v>$34.5875</x:v>
      </x:c>
    </x:row>
    <x:row r="354">
      <x:c r="A354" t="n">
        <x:f>Rates_Raw!A354</x:f>
        <x:v>31570</x:v>
      </x:c>
      <x:c r="B354" t="str">
        <x:f>Rates_Raw!AF354</x:f>
        <x:v>1363|COMMN|2025-07-01</x:v>
      </x:c>
      <x:c r="C354" t="str">
        <x:f>Rates_Raw!D354</x:f>
        <x:v>1363</x:v>
      </x:c>
      <x:c r="D354" t="str">
        <x:f>Rates_Raw!C354</x:f>
        <x:v>2025/07/01</x:v>
      </x:c>
      <x:c r="E354" t="str">
        <x:f>Rates_Raw!F354</x:f>
        <x:v>021</x:v>
      </x:c>
      <x:c r="F354" t="n">
        <x:f>COUNTIF(Rates_Raw!$AF$5:$AF$464,B354)</x:f>
        <x:v>1</x:v>
      </x:c>
      <x:c r="G354" t="str">
        <x:f>IF(F354=1,"UNIQUE",IF(COUNTIFS(Rates_Raw!$AF$5:$AF$464,B354,Rates_Raw!$H$5:$H$464,Rates_Raw!H354,Rates_Raw!$L$5:$L$464,Rates_Raw!L354)=F354,"REPEATED SOURCE ROW","CONFLICTING KEY"))</x:f>
        <x:v>UNIQUE</x:v>
      </x:c>
      <x:c r="H354" t="str">
        <x:f>IF(F354&gt;1,"REVIEW","OK")</x:f>
        <x:v>OK</x:v>
      </x:c>
      <x:c r="I354" t="str">
        <x:f>Rates_Raw!H354</x:f>
        <x:v>1363B</x:v>
      </x:c>
      <x:c r="J354" t="str">
        <x:f>Rates_Raw!L354</x:f>
        <x:v>$35.2875</x:v>
      </x:c>
    </x:row>
    <x:row r="355">
      <x:c r="A355" t="n">
        <x:f>Rates_Raw!A355</x:f>
        <x:v>31571</x:v>
      </x:c>
      <x:c r="B355" t="str">
        <x:f>Rates_Raw!AF355</x:f>
        <x:v>1363|SFMTA|2025-07-01</x:v>
      </x:c>
      <x:c r="C355" t="str">
        <x:f>Rates_Raw!D355</x:f>
        <x:v>1363</x:v>
      </x:c>
      <x:c r="D355" t="str">
        <x:f>Rates_Raw!C355</x:f>
        <x:v>2025/07/01</x:v>
      </x:c>
      <x:c r="E355" t="str">
        <x:f>Rates_Raw!F355</x:f>
        <x:v>021</x:v>
      </x:c>
      <x:c r="F355" t="n">
        <x:f>COUNTIF(Rates_Raw!$AF$5:$AF$464,B355)</x:f>
        <x:v>1</x:v>
      </x:c>
      <x:c r="G355" t="str">
        <x:f>IF(F355=1,"UNIQUE",IF(COUNTIFS(Rates_Raw!$AF$5:$AF$464,B355,Rates_Raw!$H$5:$H$464,Rates_Raw!H355,Rates_Raw!$L$5:$L$464,Rates_Raw!L355)=F355,"REPEATED SOURCE ROW","CONFLICTING KEY"))</x:f>
        <x:v>UNIQUE</x:v>
      </x:c>
      <x:c r="H355" t="str">
        <x:f>IF(F355&gt;1,"REVIEW","OK")</x:f>
        <x:v>OK</x:v>
      </x:c>
      <x:c r="I355" t="str">
        <x:f>Rates_Raw!H355</x:f>
        <x:v>1363B</x:v>
      </x:c>
      <x:c r="J355" t="str">
        <x:f>Rates_Raw!L355</x:f>
        <x:v>$35.2875</x:v>
      </x:c>
    </x:row>
    <x:row r="356">
      <x:c r="A356" t="n">
        <x:f>Rates_Raw!A356</x:f>
        <x:v>33255</x:v>
      </x:c>
      <x:c r="B356" t="str">
        <x:f>Rates_Raw!AF356</x:f>
        <x:v>1363|COMMN|2026-01-03</x:v>
      </x:c>
      <x:c r="C356" t="str">
        <x:f>Rates_Raw!D356</x:f>
        <x:v>1363</x:v>
      </x:c>
      <x:c r="D356" t="str">
        <x:f>Rates_Raw!C356</x:f>
        <x:v>2026/01/03</x:v>
      </x:c>
      <x:c r="E356" t="str">
        <x:f>Rates_Raw!F356</x:f>
        <x:v>021</x:v>
      </x:c>
      <x:c r="F356" t="n">
        <x:f>COUNTIF(Rates_Raw!$AF$5:$AF$464,B356)</x:f>
        <x:v>1</x:v>
      </x:c>
      <x:c r="G356" t="str">
        <x:f>IF(F356=1,"UNIQUE",IF(COUNTIFS(Rates_Raw!$AF$5:$AF$464,B356,Rates_Raw!$H$5:$H$464,Rates_Raw!H356,Rates_Raw!$L$5:$L$464,Rates_Raw!L356)=F356,"REPEATED SOURCE ROW","CONFLICTING KEY"))</x:f>
        <x:v>UNIQUE</x:v>
      </x:c>
      <x:c r="H356" t="str">
        <x:f>IF(F356&gt;1,"REVIEW","OK")</x:f>
        <x:v>OK</x:v>
      </x:c>
      <x:c r="I356" t="str">
        <x:f>Rates_Raw!H356</x:f>
        <x:v>1363C</x:v>
      </x:c>
      <x:c r="J356" t="str">
        <x:f>Rates_Raw!L356</x:f>
        <x:v>$35.8125</x:v>
      </x:c>
    </x:row>
    <x:row r="357">
      <x:c r="A357" t="n">
        <x:f>Rates_Raw!A357</x:f>
        <x:v>33256</x:v>
      </x:c>
      <x:c r="B357" t="str">
        <x:f>Rates_Raw!AF357</x:f>
        <x:v>1363|SFMTA|2026-01-03</x:v>
      </x:c>
      <x:c r="C357" t="str">
        <x:f>Rates_Raw!D357</x:f>
        <x:v>1363</x:v>
      </x:c>
      <x:c r="D357" t="str">
        <x:f>Rates_Raw!C357</x:f>
        <x:v>2026/01/03</x:v>
      </x:c>
      <x:c r="E357" t="str">
        <x:f>Rates_Raw!F357</x:f>
        <x:v>021</x:v>
      </x:c>
      <x:c r="F357" t="n">
        <x:f>COUNTIF(Rates_Raw!$AF$5:$AF$464,B357)</x:f>
        <x:v>1</x:v>
      </x:c>
      <x:c r="G357" t="str">
        <x:f>IF(F357=1,"UNIQUE",IF(COUNTIFS(Rates_Raw!$AF$5:$AF$464,B357,Rates_Raw!$H$5:$H$464,Rates_Raw!H357,Rates_Raw!$L$5:$L$464,Rates_Raw!L357)=F357,"REPEATED SOURCE ROW","CONFLICTING KEY"))</x:f>
        <x:v>UNIQUE</x:v>
      </x:c>
      <x:c r="H357" t="str">
        <x:f>IF(F357&gt;1,"REVIEW","OK")</x:f>
        <x:v>OK</x:v>
      </x:c>
      <x:c r="I357" t="str">
        <x:f>Rates_Raw!H357</x:f>
        <x:v>1363C</x:v>
      </x:c>
      <x:c r="J357" t="str">
        <x:f>Rates_Raw!L357</x:f>
        <x:v>$35.8125</x:v>
      </x:c>
    </x:row>
    <x:row r="358">
      <x:c r="A358" t="n">
        <x:f>Rates_Raw!A358</x:f>
        <x:v>26415</x:v>
      </x:c>
      <x:c r="B358" t="str">
        <x:f>Rates_Raw!AF358</x:f>
        <x:v>1364|COMMN|2024-01-06</x:v>
      </x:c>
      <x:c r="C358" t="str">
        <x:f>Rates_Raw!D358</x:f>
        <x:v>1364</x:v>
      </x:c>
      <x:c r="D358" t="str">
        <x:f>Rates_Raw!C358</x:f>
        <x:v>2024/01/06</x:v>
      </x:c>
      <x:c r="E358" t="str">
        <x:f>Rates_Raw!F358</x:f>
        <x:v>021</x:v>
      </x:c>
      <x:c r="F358" t="n">
        <x:f>COUNTIF(Rates_Raw!$AF$5:$AF$464,B358)</x:f>
        <x:v>1</x:v>
      </x:c>
      <x:c r="G358" t="str">
        <x:f>IF(F358=1,"UNIQUE",IF(COUNTIFS(Rates_Raw!$AF$5:$AF$464,B358,Rates_Raw!$H$5:$H$464,Rates_Raw!H358,Rates_Raw!$L$5:$L$464,Rates_Raw!L358)=F358,"REPEATED SOURCE ROW","CONFLICTING KEY"))</x:f>
        <x:v>UNIQUE</x:v>
      </x:c>
      <x:c r="H358" t="str">
        <x:f>IF(F358&gt;1,"REVIEW","OK")</x:f>
        <x:v>OK</x:v>
      </x:c>
      <x:c r="I358" t="str">
        <x:f>Rates_Raw!H358</x:f>
        <x:v>1364Y</x:v>
      </x:c>
      <x:c r="J358" t="str">
        <x:f>Rates_Raw!L358</x:f>
        <x:v>$36.0875</x:v>
      </x:c>
    </x:row>
    <x:row r="359">
      <x:c r="A359" t="n">
        <x:f>Rates_Raw!A359</x:f>
        <x:v>26416</x:v>
      </x:c>
      <x:c r="B359" t="str">
        <x:f>Rates_Raw!AF359</x:f>
        <x:v>1364|SFMTA|2024-01-06</x:v>
      </x:c>
      <x:c r="C359" t="str">
        <x:f>Rates_Raw!D359</x:f>
        <x:v>1364</x:v>
      </x:c>
      <x:c r="D359" t="str">
        <x:f>Rates_Raw!C359</x:f>
        <x:v>2024/01/06</x:v>
      </x:c>
      <x:c r="E359" t="str">
        <x:f>Rates_Raw!F359</x:f>
        <x:v>021</x:v>
      </x:c>
      <x:c r="F359" t="n">
        <x:f>COUNTIF(Rates_Raw!$AF$5:$AF$464,B359)</x:f>
        <x:v>1</x:v>
      </x:c>
      <x:c r="G359" t="str">
        <x:f>IF(F359=1,"UNIQUE",IF(COUNTIFS(Rates_Raw!$AF$5:$AF$464,B359,Rates_Raw!$H$5:$H$464,Rates_Raw!H359,Rates_Raw!$L$5:$L$464,Rates_Raw!L359)=F359,"REPEATED SOURCE ROW","CONFLICTING KEY"))</x:f>
        <x:v>UNIQUE</x:v>
      </x:c>
      <x:c r="H359" t="str">
        <x:f>IF(F359&gt;1,"REVIEW","OK")</x:f>
        <x:v>OK</x:v>
      </x:c>
      <x:c r="I359" t="str">
        <x:f>Rates_Raw!H359</x:f>
        <x:v>1364Y</x:v>
      </x:c>
      <x:c r="J359" t="str">
        <x:f>Rates_Raw!L359</x:f>
        <x:v>$36.0875</x:v>
      </x:c>
    </x:row>
    <x:row r="360">
      <x:c r="A360" t="n">
        <x:f>Rates_Raw!A360</x:f>
        <x:v>28153</x:v>
      </x:c>
      <x:c r="B360" t="str">
        <x:f>Rates_Raw!AF360</x:f>
        <x:v>1364|COMMN|2024-07-01</x:v>
      </x:c>
      <x:c r="C360" t="str">
        <x:f>Rates_Raw!D360</x:f>
        <x:v>1364</x:v>
      </x:c>
      <x:c r="D360" t="str">
        <x:f>Rates_Raw!C360</x:f>
        <x:v>2024/07/01</x:v>
      </x:c>
      <x:c r="E360" t="str">
        <x:f>Rates_Raw!F360</x:f>
        <x:v>021</x:v>
      </x:c>
      <x:c r="F360" t="n">
        <x:f>COUNTIF(Rates_Raw!$AF$5:$AF$464,B360)</x:f>
        <x:v>1</x:v>
      </x:c>
      <x:c r="G360" t="str">
        <x:f>IF(F360=1,"UNIQUE",IF(COUNTIFS(Rates_Raw!$AF$5:$AF$464,B360,Rates_Raw!$H$5:$H$464,Rates_Raw!H360,Rates_Raw!$L$5:$L$464,Rates_Raw!L360)=F360,"REPEATED SOURCE ROW","CONFLICTING KEY"))</x:f>
        <x:v>UNIQUE</x:v>
      </x:c>
      <x:c r="H360" t="str">
        <x:f>IF(F360&gt;1,"REVIEW","OK")</x:f>
        <x:v>OK</x:v>
      </x:c>
      <x:c r="I360" t="str">
        <x:f>Rates_Raw!H360</x:f>
        <x:v>1364Z</x:v>
      </x:c>
      <x:c r="J360" t="str">
        <x:f>Rates_Raw!L360</x:f>
        <x:v>$36.6250</x:v>
      </x:c>
    </x:row>
    <x:row r="361">
      <x:c r="A361" t="n">
        <x:f>Rates_Raw!A361</x:f>
        <x:v>28154</x:v>
      </x:c>
      <x:c r="B361" t="str">
        <x:f>Rates_Raw!AF361</x:f>
        <x:v>1364|SFMTA|2024-07-01</x:v>
      </x:c>
      <x:c r="C361" t="str">
        <x:f>Rates_Raw!D361</x:f>
        <x:v>1364</x:v>
      </x:c>
      <x:c r="D361" t="str">
        <x:f>Rates_Raw!C361</x:f>
        <x:v>2024/07/01</x:v>
      </x:c>
      <x:c r="E361" t="str">
        <x:f>Rates_Raw!F361</x:f>
        <x:v>021</x:v>
      </x:c>
      <x:c r="F361" t="n">
        <x:f>COUNTIF(Rates_Raw!$AF$5:$AF$464,B361)</x:f>
        <x:v>1</x:v>
      </x:c>
      <x:c r="G361" t="str">
        <x:f>IF(F361=1,"UNIQUE",IF(COUNTIFS(Rates_Raw!$AF$5:$AF$464,B361,Rates_Raw!$H$5:$H$464,Rates_Raw!H361,Rates_Raw!$L$5:$L$464,Rates_Raw!L361)=F361,"REPEATED SOURCE ROW","CONFLICTING KEY"))</x:f>
        <x:v>UNIQUE</x:v>
      </x:c>
      <x:c r="H361" t="str">
        <x:f>IF(F361&gt;1,"REVIEW","OK")</x:f>
        <x:v>OK</x:v>
      </x:c>
      <x:c r="I361" t="str">
        <x:f>Rates_Raw!H361</x:f>
        <x:v>1364Z</x:v>
      </x:c>
      <x:c r="J361" t="str">
        <x:f>Rates_Raw!L361</x:f>
        <x:v>$36.6250</x:v>
      </x:c>
    </x:row>
    <x:row r="362">
      <x:c r="A362" t="n">
        <x:f>Rates_Raw!A362</x:f>
        <x:v>29859</x:v>
      </x:c>
      <x:c r="B362" t="str">
        <x:f>Rates_Raw!AF362</x:f>
        <x:v>1364|COMMN|2025-01-04</x:v>
      </x:c>
      <x:c r="C362" t="str">
        <x:f>Rates_Raw!D362</x:f>
        <x:v>1364</x:v>
      </x:c>
      <x:c r="D362" t="str">
        <x:f>Rates_Raw!C362</x:f>
        <x:v>2025/01/04</x:v>
      </x:c>
      <x:c r="E362" t="str">
        <x:f>Rates_Raw!F362</x:f>
        <x:v>021</x:v>
      </x:c>
      <x:c r="F362" t="n">
        <x:f>COUNTIF(Rates_Raw!$AF$5:$AF$464,B362)</x:f>
        <x:v>1</x:v>
      </x:c>
      <x:c r="G362" t="str">
        <x:f>IF(F362=1,"UNIQUE",IF(COUNTIFS(Rates_Raw!$AF$5:$AF$464,B362,Rates_Raw!$H$5:$H$464,Rates_Raw!H362,Rates_Raw!$L$5:$L$464,Rates_Raw!L362)=F362,"REPEATED SOURCE ROW","CONFLICTING KEY"))</x:f>
        <x:v>UNIQUE</x:v>
      </x:c>
      <x:c r="H362" t="str">
        <x:f>IF(F362&gt;1,"REVIEW","OK")</x:f>
        <x:v>OK</x:v>
      </x:c>
      <x:c r="I362" t="str">
        <x:f>Rates_Raw!H362</x:f>
        <x:v>1364A</x:v>
      </x:c>
      <x:c r="J362" t="str">
        <x:f>Rates_Raw!L362</x:f>
        <x:v>$37.1750</x:v>
      </x:c>
    </x:row>
    <x:row r="363">
      <x:c r="A363" t="n">
        <x:f>Rates_Raw!A363</x:f>
        <x:v>29860</x:v>
      </x:c>
      <x:c r="B363" t="str">
        <x:f>Rates_Raw!AF363</x:f>
        <x:v>1364|SFMTA|2025-01-04</x:v>
      </x:c>
      <x:c r="C363" t="str">
        <x:f>Rates_Raw!D363</x:f>
        <x:v>1364</x:v>
      </x:c>
      <x:c r="D363" t="str">
        <x:f>Rates_Raw!C363</x:f>
        <x:v>2025/01/04</x:v>
      </x:c>
      <x:c r="E363" t="str">
        <x:f>Rates_Raw!F363</x:f>
        <x:v>021</x:v>
      </x:c>
      <x:c r="F363" t="n">
        <x:f>COUNTIF(Rates_Raw!$AF$5:$AF$464,B363)</x:f>
        <x:v>1</x:v>
      </x:c>
      <x:c r="G363" t="str">
        <x:f>IF(F363=1,"UNIQUE",IF(COUNTIFS(Rates_Raw!$AF$5:$AF$464,B363,Rates_Raw!$H$5:$H$464,Rates_Raw!H363,Rates_Raw!$L$5:$L$464,Rates_Raw!L363)=F363,"REPEATED SOURCE ROW","CONFLICTING KEY"))</x:f>
        <x:v>UNIQUE</x:v>
      </x:c>
      <x:c r="H363" t="str">
        <x:f>IF(F363&gt;1,"REVIEW","OK")</x:f>
        <x:v>OK</x:v>
      </x:c>
      <x:c r="I363" t="str">
        <x:f>Rates_Raw!H363</x:f>
        <x:v>1364A</x:v>
      </x:c>
      <x:c r="J363" t="str">
        <x:f>Rates_Raw!L363</x:f>
        <x:v>$37.1750</x:v>
      </x:c>
    </x:row>
    <x:row r="364">
      <x:c r="A364" t="n">
        <x:f>Rates_Raw!A364</x:f>
        <x:v>31572</x:v>
      </x:c>
      <x:c r="B364" t="str">
        <x:f>Rates_Raw!AF364</x:f>
        <x:v>1364|COMMN|2025-07-01</x:v>
      </x:c>
      <x:c r="C364" t="str">
        <x:f>Rates_Raw!D364</x:f>
        <x:v>1364</x:v>
      </x:c>
      <x:c r="D364" t="str">
        <x:f>Rates_Raw!C364</x:f>
        <x:v>2025/07/01</x:v>
      </x:c>
      <x:c r="E364" t="str">
        <x:f>Rates_Raw!F364</x:f>
        <x:v>021</x:v>
      </x:c>
      <x:c r="F364" t="n">
        <x:f>COUNTIF(Rates_Raw!$AF$5:$AF$464,B364)</x:f>
        <x:v>1</x:v>
      </x:c>
      <x:c r="G364" t="str">
        <x:f>IF(F364=1,"UNIQUE",IF(COUNTIFS(Rates_Raw!$AF$5:$AF$464,B364,Rates_Raw!$H$5:$H$464,Rates_Raw!H364,Rates_Raw!$L$5:$L$464,Rates_Raw!L364)=F364,"REPEATED SOURCE ROW","CONFLICTING KEY"))</x:f>
        <x:v>UNIQUE</x:v>
      </x:c>
      <x:c r="H364" t="str">
        <x:f>IF(F364&gt;1,"REVIEW","OK")</x:f>
        <x:v>OK</x:v>
      </x:c>
      <x:c r="I364" t="str">
        <x:f>Rates_Raw!H364</x:f>
        <x:v>1364B</x:v>
      </x:c>
      <x:c r="J364" t="str">
        <x:f>Rates_Raw!L364</x:f>
        <x:v>$37.9250</x:v>
      </x:c>
    </x:row>
    <x:row r="365">
      <x:c r="A365" t="n">
        <x:f>Rates_Raw!A365</x:f>
        <x:v>31573</x:v>
      </x:c>
      <x:c r="B365" t="str">
        <x:f>Rates_Raw!AF365</x:f>
        <x:v>1364|SFMTA|2025-07-01</x:v>
      </x:c>
      <x:c r="C365" t="str">
        <x:f>Rates_Raw!D365</x:f>
        <x:v>1364</x:v>
      </x:c>
      <x:c r="D365" t="str">
        <x:f>Rates_Raw!C365</x:f>
        <x:v>2025/07/01</x:v>
      </x:c>
      <x:c r="E365" t="str">
        <x:f>Rates_Raw!F365</x:f>
        <x:v>021</x:v>
      </x:c>
      <x:c r="F365" t="n">
        <x:f>COUNTIF(Rates_Raw!$AF$5:$AF$464,B365)</x:f>
        <x:v>1</x:v>
      </x:c>
      <x:c r="G365" t="str">
        <x:f>IF(F365=1,"UNIQUE",IF(COUNTIFS(Rates_Raw!$AF$5:$AF$464,B365,Rates_Raw!$H$5:$H$464,Rates_Raw!H365,Rates_Raw!$L$5:$L$464,Rates_Raw!L365)=F365,"REPEATED SOURCE ROW","CONFLICTING KEY"))</x:f>
        <x:v>UNIQUE</x:v>
      </x:c>
      <x:c r="H365" t="str">
        <x:f>IF(F365&gt;1,"REVIEW","OK")</x:f>
        <x:v>OK</x:v>
      </x:c>
      <x:c r="I365" t="str">
        <x:f>Rates_Raw!H365</x:f>
        <x:v>1364B</x:v>
      </x:c>
      <x:c r="J365" t="str">
        <x:f>Rates_Raw!L365</x:f>
        <x:v>$37.9250</x:v>
      </x:c>
    </x:row>
    <x:row r="366">
      <x:c r="A366" t="n">
        <x:f>Rates_Raw!A366</x:f>
        <x:v>33257</x:v>
      </x:c>
      <x:c r="B366" t="str">
        <x:f>Rates_Raw!AF366</x:f>
        <x:v>1364|COMMN|2026-01-03</x:v>
      </x:c>
      <x:c r="C366" t="str">
        <x:f>Rates_Raw!D366</x:f>
        <x:v>1364</x:v>
      </x:c>
      <x:c r="D366" t="str">
        <x:f>Rates_Raw!C366</x:f>
        <x:v>2026/01/03</x:v>
      </x:c>
      <x:c r="E366" t="str">
        <x:f>Rates_Raw!F366</x:f>
        <x:v>021</x:v>
      </x:c>
      <x:c r="F366" t="n">
        <x:f>COUNTIF(Rates_Raw!$AF$5:$AF$464,B366)</x:f>
        <x:v>1</x:v>
      </x:c>
      <x:c r="G366" t="str">
        <x:f>IF(F366=1,"UNIQUE",IF(COUNTIFS(Rates_Raw!$AF$5:$AF$464,B366,Rates_Raw!$H$5:$H$464,Rates_Raw!H366,Rates_Raw!$L$5:$L$464,Rates_Raw!L366)=F366,"REPEATED SOURCE ROW","CONFLICTING KEY"))</x:f>
        <x:v>UNIQUE</x:v>
      </x:c>
      <x:c r="H366" t="str">
        <x:f>IF(F366&gt;1,"REVIEW","OK")</x:f>
        <x:v>OK</x:v>
      </x:c>
      <x:c r="I366" t="str">
        <x:f>Rates_Raw!H366</x:f>
        <x:v>1364C</x:v>
      </x:c>
      <x:c r="J366" t="str">
        <x:f>Rates_Raw!L366</x:f>
        <x:v>$38.5000</x:v>
      </x:c>
    </x:row>
    <x:row r="367">
      <x:c r="A367" t="n">
        <x:f>Rates_Raw!A367</x:f>
        <x:v>33258</x:v>
      </x:c>
      <x:c r="B367" t="str">
        <x:f>Rates_Raw!AF367</x:f>
        <x:v>1364|SFMTA|2026-01-03</x:v>
      </x:c>
      <x:c r="C367" t="str">
        <x:f>Rates_Raw!D367</x:f>
        <x:v>1364</x:v>
      </x:c>
      <x:c r="D367" t="str">
        <x:f>Rates_Raw!C367</x:f>
        <x:v>2026/01/03</x:v>
      </x:c>
      <x:c r="E367" t="str">
        <x:f>Rates_Raw!F367</x:f>
        <x:v>021</x:v>
      </x:c>
      <x:c r="F367" t="n">
        <x:f>COUNTIF(Rates_Raw!$AF$5:$AF$464,B367)</x:f>
        <x:v>1</x:v>
      </x:c>
      <x:c r="G367" t="str">
        <x:f>IF(F367=1,"UNIQUE",IF(COUNTIFS(Rates_Raw!$AF$5:$AF$464,B367,Rates_Raw!$H$5:$H$464,Rates_Raw!H367,Rates_Raw!$L$5:$L$464,Rates_Raw!L367)=F367,"REPEATED SOURCE ROW","CONFLICTING KEY"))</x:f>
        <x:v>UNIQUE</x:v>
      </x:c>
      <x:c r="H367" t="str">
        <x:f>IF(F367&gt;1,"REVIEW","OK")</x:f>
        <x:v>OK</x:v>
      </x:c>
      <x:c r="I367" t="str">
        <x:f>Rates_Raw!H367</x:f>
        <x:v>1364C</x:v>
      </x:c>
      <x:c r="J367" t="str">
        <x:f>Rates_Raw!L367</x:f>
        <x:v>$38.5000</x:v>
      </x:c>
    </x:row>
    <x:row r="368">
      <x:c r="A368" t="n">
        <x:f>Rates_Raw!A368</x:f>
        <x:v>26417</x:v>
      </x:c>
      <x:c r="B368" t="str">
        <x:f>Rates_Raw!AF368</x:f>
        <x:v>1365|COMMN|2024-01-06</x:v>
      </x:c>
      <x:c r="C368" t="str">
        <x:f>Rates_Raw!D368</x:f>
        <x:v>1365</x:v>
      </x:c>
      <x:c r="D368" t="str">
        <x:f>Rates_Raw!C368</x:f>
        <x:v>2024/01/06</x:v>
      </x:c>
      <x:c r="E368" t="str">
        <x:f>Rates_Raw!F368</x:f>
        <x:v>021</x:v>
      </x:c>
      <x:c r="F368" t="n">
        <x:f>COUNTIF(Rates_Raw!$AF$5:$AF$464,B368)</x:f>
        <x:v>1</x:v>
      </x:c>
      <x:c r="G368" t="str">
        <x:f>IF(F368=1,"UNIQUE",IF(COUNTIFS(Rates_Raw!$AF$5:$AF$464,B368,Rates_Raw!$H$5:$H$464,Rates_Raw!H368,Rates_Raw!$L$5:$L$464,Rates_Raw!L368)=F368,"REPEATED SOURCE ROW","CONFLICTING KEY"))</x:f>
        <x:v>UNIQUE</x:v>
      </x:c>
      <x:c r="H368" t="str">
        <x:f>IF(F368&gt;1,"REVIEW","OK")</x:f>
        <x:v>OK</x:v>
      </x:c>
      <x:c r="I368" t="str">
        <x:f>Rates_Raw!H368</x:f>
        <x:v>1365Y</x:v>
      </x:c>
      <x:c r="J368" t="str">
        <x:f>Rates_Raw!L368</x:f>
        <x:v>$38.6500</x:v>
      </x:c>
    </x:row>
    <x:row r="369">
      <x:c r="A369" t="n">
        <x:f>Rates_Raw!A369</x:f>
        <x:v>26418</x:v>
      </x:c>
      <x:c r="B369" t="str">
        <x:f>Rates_Raw!AF369</x:f>
        <x:v>1365|SFMTA|2024-01-06</x:v>
      </x:c>
      <x:c r="C369" t="str">
        <x:f>Rates_Raw!D369</x:f>
        <x:v>1365</x:v>
      </x:c>
      <x:c r="D369" t="str">
        <x:f>Rates_Raw!C369</x:f>
        <x:v>2024/01/06</x:v>
      </x:c>
      <x:c r="E369" t="str">
        <x:f>Rates_Raw!F369</x:f>
        <x:v>021</x:v>
      </x:c>
      <x:c r="F369" t="n">
        <x:f>COUNTIF(Rates_Raw!$AF$5:$AF$464,B369)</x:f>
        <x:v>1</x:v>
      </x:c>
      <x:c r="G369" t="str">
        <x:f>IF(F369=1,"UNIQUE",IF(COUNTIFS(Rates_Raw!$AF$5:$AF$464,B369,Rates_Raw!$H$5:$H$464,Rates_Raw!H369,Rates_Raw!$L$5:$L$464,Rates_Raw!L369)=F369,"REPEATED SOURCE ROW","CONFLICTING KEY"))</x:f>
        <x:v>UNIQUE</x:v>
      </x:c>
      <x:c r="H369" t="str">
        <x:f>IF(F369&gt;1,"REVIEW","OK")</x:f>
        <x:v>OK</x:v>
      </x:c>
      <x:c r="I369" t="str">
        <x:f>Rates_Raw!H369</x:f>
        <x:v>1365Y</x:v>
      </x:c>
      <x:c r="J369" t="str">
        <x:f>Rates_Raw!L369</x:f>
        <x:v>$38.6500</x:v>
      </x:c>
    </x:row>
    <x:row r="370">
      <x:c r="A370" t="n">
        <x:f>Rates_Raw!A370</x:f>
        <x:v>28155</x:v>
      </x:c>
      <x:c r="B370" t="str">
        <x:f>Rates_Raw!AF370</x:f>
        <x:v>1365|COMMN|2024-07-01</x:v>
      </x:c>
      <x:c r="C370" t="str">
        <x:f>Rates_Raw!D370</x:f>
        <x:v>1365</x:v>
      </x:c>
      <x:c r="D370" t="str">
        <x:f>Rates_Raw!C370</x:f>
        <x:v>2024/07/01</x:v>
      </x:c>
      <x:c r="E370" t="str">
        <x:f>Rates_Raw!F370</x:f>
        <x:v>021</x:v>
      </x:c>
      <x:c r="F370" t="n">
        <x:f>COUNTIF(Rates_Raw!$AF$5:$AF$464,B370)</x:f>
        <x:v>1</x:v>
      </x:c>
      <x:c r="G370" t="str">
        <x:f>IF(F370=1,"UNIQUE",IF(COUNTIFS(Rates_Raw!$AF$5:$AF$464,B370,Rates_Raw!$H$5:$H$464,Rates_Raw!H370,Rates_Raw!$L$5:$L$464,Rates_Raw!L370)=F370,"REPEATED SOURCE ROW","CONFLICTING KEY"))</x:f>
        <x:v>UNIQUE</x:v>
      </x:c>
      <x:c r="H370" t="str">
        <x:f>IF(F370&gt;1,"REVIEW","OK")</x:f>
        <x:v>OK</x:v>
      </x:c>
      <x:c r="I370" t="str">
        <x:f>Rates_Raw!H370</x:f>
        <x:v>1365Z</x:v>
      </x:c>
      <x:c r="J370" t="str">
        <x:f>Rates_Raw!L370</x:f>
        <x:v>$39.2250</x:v>
      </x:c>
    </x:row>
    <x:row r="371">
      <x:c r="A371" t="n">
        <x:f>Rates_Raw!A371</x:f>
        <x:v>28156</x:v>
      </x:c>
      <x:c r="B371" t="str">
        <x:f>Rates_Raw!AF371</x:f>
        <x:v>1365|SFMTA|2024-07-01</x:v>
      </x:c>
      <x:c r="C371" t="str">
        <x:f>Rates_Raw!D371</x:f>
        <x:v>1365</x:v>
      </x:c>
      <x:c r="D371" t="str">
        <x:f>Rates_Raw!C371</x:f>
        <x:v>2024/07/01</x:v>
      </x:c>
      <x:c r="E371" t="str">
        <x:f>Rates_Raw!F371</x:f>
        <x:v>021</x:v>
      </x:c>
      <x:c r="F371" t="n">
        <x:f>COUNTIF(Rates_Raw!$AF$5:$AF$464,B371)</x:f>
        <x:v>1</x:v>
      </x:c>
      <x:c r="G371" t="str">
        <x:f>IF(F371=1,"UNIQUE",IF(COUNTIFS(Rates_Raw!$AF$5:$AF$464,B371,Rates_Raw!$H$5:$H$464,Rates_Raw!H371,Rates_Raw!$L$5:$L$464,Rates_Raw!L371)=F371,"REPEATED SOURCE ROW","CONFLICTING KEY"))</x:f>
        <x:v>UNIQUE</x:v>
      </x:c>
      <x:c r="H371" t="str">
        <x:f>IF(F371&gt;1,"REVIEW","OK")</x:f>
        <x:v>OK</x:v>
      </x:c>
      <x:c r="I371" t="str">
        <x:f>Rates_Raw!H371</x:f>
        <x:v>1365Z</x:v>
      </x:c>
      <x:c r="J371" t="str">
        <x:f>Rates_Raw!L371</x:f>
        <x:v>$39.2250</x:v>
      </x:c>
    </x:row>
    <x:row r="372">
      <x:c r="A372" t="n">
        <x:f>Rates_Raw!A372</x:f>
        <x:v>29861</x:v>
      </x:c>
      <x:c r="B372" t="str">
        <x:f>Rates_Raw!AF372</x:f>
        <x:v>1365|COMMN|2025-01-04</x:v>
      </x:c>
      <x:c r="C372" t="str">
        <x:f>Rates_Raw!D372</x:f>
        <x:v>1365</x:v>
      </x:c>
      <x:c r="D372" t="str">
        <x:f>Rates_Raw!C372</x:f>
        <x:v>2025/01/04</x:v>
      </x:c>
      <x:c r="E372" t="str">
        <x:f>Rates_Raw!F372</x:f>
        <x:v>021</x:v>
      </x:c>
      <x:c r="F372" t="n">
        <x:f>COUNTIF(Rates_Raw!$AF$5:$AF$464,B372)</x:f>
        <x:v>1</x:v>
      </x:c>
      <x:c r="G372" t="str">
        <x:f>IF(F372=1,"UNIQUE",IF(COUNTIFS(Rates_Raw!$AF$5:$AF$464,B372,Rates_Raw!$H$5:$H$464,Rates_Raw!H372,Rates_Raw!$L$5:$L$464,Rates_Raw!L372)=F372,"REPEATED SOURCE ROW","CONFLICTING KEY"))</x:f>
        <x:v>UNIQUE</x:v>
      </x:c>
      <x:c r="H372" t="str">
        <x:f>IF(F372&gt;1,"REVIEW","OK")</x:f>
        <x:v>OK</x:v>
      </x:c>
      <x:c r="I372" t="str">
        <x:f>Rates_Raw!H372</x:f>
        <x:v>1365A</x:v>
      </x:c>
      <x:c r="J372" t="str">
        <x:f>Rates_Raw!L372</x:f>
        <x:v>$39.8125</x:v>
      </x:c>
    </x:row>
    <x:row r="373">
      <x:c r="A373" t="n">
        <x:f>Rates_Raw!A373</x:f>
        <x:v>29862</x:v>
      </x:c>
      <x:c r="B373" t="str">
        <x:f>Rates_Raw!AF373</x:f>
        <x:v>1365|SFMTA|2025-01-04</x:v>
      </x:c>
      <x:c r="C373" t="str">
        <x:f>Rates_Raw!D373</x:f>
        <x:v>1365</x:v>
      </x:c>
      <x:c r="D373" t="str">
        <x:f>Rates_Raw!C373</x:f>
        <x:v>2025/01/04</x:v>
      </x:c>
      <x:c r="E373" t="str">
        <x:f>Rates_Raw!F373</x:f>
        <x:v>021</x:v>
      </x:c>
      <x:c r="F373" t="n">
        <x:f>COUNTIF(Rates_Raw!$AF$5:$AF$464,B373)</x:f>
        <x:v>1</x:v>
      </x:c>
      <x:c r="G373" t="str">
        <x:f>IF(F373=1,"UNIQUE",IF(COUNTIFS(Rates_Raw!$AF$5:$AF$464,B373,Rates_Raw!$H$5:$H$464,Rates_Raw!H373,Rates_Raw!$L$5:$L$464,Rates_Raw!L373)=F373,"REPEATED SOURCE ROW","CONFLICTING KEY"))</x:f>
        <x:v>UNIQUE</x:v>
      </x:c>
      <x:c r="H373" t="str">
        <x:f>IF(F373&gt;1,"REVIEW","OK")</x:f>
        <x:v>OK</x:v>
      </x:c>
      <x:c r="I373" t="str">
        <x:f>Rates_Raw!H373</x:f>
        <x:v>1365A</x:v>
      </x:c>
      <x:c r="J373" t="str">
        <x:f>Rates_Raw!L373</x:f>
        <x:v>$39.8125</x:v>
      </x:c>
    </x:row>
    <x:row r="374">
      <x:c r="A374" t="n">
        <x:f>Rates_Raw!A374</x:f>
        <x:v>31574</x:v>
      </x:c>
      <x:c r="B374" t="str">
        <x:f>Rates_Raw!AF374</x:f>
        <x:v>1365|COMMN|2025-07-01</x:v>
      </x:c>
      <x:c r="C374" t="str">
        <x:f>Rates_Raw!D374</x:f>
        <x:v>1365</x:v>
      </x:c>
      <x:c r="D374" t="str">
        <x:f>Rates_Raw!C374</x:f>
        <x:v>2025/07/01</x:v>
      </x:c>
      <x:c r="E374" t="str">
        <x:f>Rates_Raw!F374</x:f>
        <x:v>021</x:v>
      </x:c>
      <x:c r="F374" t="n">
        <x:f>COUNTIF(Rates_Raw!$AF$5:$AF$464,B374)</x:f>
        <x:v>1</x:v>
      </x:c>
      <x:c r="G374" t="str">
        <x:f>IF(F374=1,"UNIQUE",IF(COUNTIFS(Rates_Raw!$AF$5:$AF$464,B374,Rates_Raw!$H$5:$H$464,Rates_Raw!H374,Rates_Raw!$L$5:$L$464,Rates_Raw!L374)=F374,"REPEATED SOURCE ROW","CONFLICTING KEY"))</x:f>
        <x:v>UNIQUE</x:v>
      </x:c>
      <x:c r="H374" t="str">
        <x:f>IF(F374&gt;1,"REVIEW","OK")</x:f>
        <x:v>OK</x:v>
      </x:c>
      <x:c r="I374" t="str">
        <x:f>Rates_Raw!H374</x:f>
        <x:v>1365B</x:v>
      </x:c>
      <x:c r="J374" t="str">
        <x:f>Rates_Raw!L374</x:f>
        <x:v>$40.6125</x:v>
      </x:c>
    </x:row>
    <x:row r="375">
      <x:c r="A375" t="n">
        <x:f>Rates_Raw!A375</x:f>
        <x:v>31575</x:v>
      </x:c>
      <x:c r="B375" t="str">
        <x:f>Rates_Raw!AF375</x:f>
        <x:v>1365|SFMTA|2025-07-01</x:v>
      </x:c>
      <x:c r="C375" t="str">
        <x:f>Rates_Raw!D375</x:f>
        <x:v>1365</x:v>
      </x:c>
      <x:c r="D375" t="str">
        <x:f>Rates_Raw!C375</x:f>
        <x:v>2025/07/01</x:v>
      </x:c>
      <x:c r="E375" t="str">
        <x:f>Rates_Raw!F375</x:f>
        <x:v>021</x:v>
      </x:c>
      <x:c r="F375" t="n">
        <x:f>COUNTIF(Rates_Raw!$AF$5:$AF$464,B375)</x:f>
        <x:v>1</x:v>
      </x:c>
      <x:c r="G375" t="str">
        <x:f>IF(F375=1,"UNIQUE",IF(COUNTIFS(Rates_Raw!$AF$5:$AF$464,B375,Rates_Raw!$H$5:$H$464,Rates_Raw!H375,Rates_Raw!$L$5:$L$464,Rates_Raw!L375)=F375,"REPEATED SOURCE ROW","CONFLICTING KEY"))</x:f>
        <x:v>UNIQUE</x:v>
      </x:c>
      <x:c r="H375" t="str">
        <x:f>IF(F375&gt;1,"REVIEW","OK")</x:f>
        <x:v>OK</x:v>
      </x:c>
      <x:c r="I375" t="str">
        <x:f>Rates_Raw!H375</x:f>
        <x:v>1365B</x:v>
      </x:c>
      <x:c r="J375" t="str">
        <x:f>Rates_Raw!L375</x:f>
        <x:v>$40.6125</x:v>
      </x:c>
    </x:row>
    <x:row r="376">
      <x:c r="A376" t="n">
        <x:f>Rates_Raw!A376</x:f>
        <x:v>33259</x:v>
      </x:c>
      <x:c r="B376" t="str">
        <x:f>Rates_Raw!AF376</x:f>
        <x:v>1365|COMMN|2026-01-03</x:v>
      </x:c>
      <x:c r="C376" t="str">
        <x:f>Rates_Raw!D376</x:f>
        <x:v>1365</x:v>
      </x:c>
      <x:c r="D376" t="str">
        <x:f>Rates_Raw!C376</x:f>
        <x:v>2026/01/03</x:v>
      </x:c>
      <x:c r="E376" t="str">
        <x:f>Rates_Raw!F376</x:f>
        <x:v>021</x:v>
      </x:c>
      <x:c r="F376" t="n">
        <x:f>COUNTIF(Rates_Raw!$AF$5:$AF$464,B376)</x:f>
        <x:v>1</x:v>
      </x:c>
      <x:c r="G376" t="str">
        <x:f>IF(F376=1,"UNIQUE",IF(COUNTIFS(Rates_Raw!$AF$5:$AF$464,B376,Rates_Raw!$H$5:$H$464,Rates_Raw!H376,Rates_Raw!$L$5:$L$464,Rates_Raw!L376)=F376,"REPEATED SOURCE ROW","CONFLICTING KEY"))</x:f>
        <x:v>UNIQUE</x:v>
      </x:c>
      <x:c r="H376" t="str">
        <x:f>IF(F376&gt;1,"REVIEW","OK")</x:f>
        <x:v>OK</x:v>
      </x:c>
      <x:c r="I376" t="str">
        <x:f>Rates_Raw!H376</x:f>
        <x:v>1365C</x:v>
      </x:c>
      <x:c r="J376" t="str">
        <x:f>Rates_Raw!L376</x:f>
        <x:v>$41.2250</x:v>
      </x:c>
    </x:row>
    <x:row r="377">
      <x:c r="A377" t="n">
        <x:f>Rates_Raw!A377</x:f>
        <x:v>33260</x:v>
      </x:c>
      <x:c r="B377" t="str">
        <x:f>Rates_Raw!AF377</x:f>
        <x:v>1365|SFMTA|2026-01-03</x:v>
      </x:c>
      <x:c r="C377" t="str">
        <x:f>Rates_Raw!D377</x:f>
        <x:v>1365</x:v>
      </x:c>
      <x:c r="D377" t="str">
        <x:f>Rates_Raw!C377</x:f>
        <x:v>2026/01/03</x:v>
      </x:c>
      <x:c r="E377" t="str">
        <x:f>Rates_Raw!F377</x:f>
        <x:v>021</x:v>
      </x:c>
      <x:c r="F377" t="n">
        <x:f>COUNTIF(Rates_Raw!$AF$5:$AF$464,B377)</x:f>
        <x:v>1</x:v>
      </x:c>
      <x:c r="G377" t="str">
        <x:f>IF(F377=1,"UNIQUE",IF(COUNTIFS(Rates_Raw!$AF$5:$AF$464,B377,Rates_Raw!$H$5:$H$464,Rates_Raw!H377,Rates_Raw!$L$5:$L$464,Rates_Raw!L377)=F377,"REPEATED SOURCE ROW","CONFLICTING KEY"))</x:f>
        <x:v>UNIQUE</x:v>
      </x:c>
      <x:c r="H377" t="str">
        <x:f>IF(F377&gt;1,"REVIEW","OK")</x:f>
        <x:v>OK</x:v>
      </x:c>
      <x:c r="I377" t="str">
        <x:f>Rates_Raw!H377</x:f>
        <x:v>1365C</x:v>
      </x:c>
      <x:c r="J377" t="str">
        <x:f>Rates_Raw!L377</x:f>
        <x:v>$41.2250</x:v>
      </x:c>
    </x:row>
    <x:row r="378">
      <x:c r="A378" t="n">
        <x:f>Rates_Raw!A378</x:f>
        <x:v>26419</x:v>
      </x:c>
      <x:c r="B378" t="str">
        <x:f>Rates_Raw!AF378</x:f>
        <x:v>1366|COMMN|2024-01-06</x:v>
      </x:c>
      <x:c r="C378" t="str">
        <x:f>Rates_Raw!D378</x:f>
        <x:v>1366</x:v>
      </x:c>
      <x:c r="D378" t="str">
        <x:f>Rates_Raw!C378</x:f>
        <x:v>2024/01/06</x:v>
      </x:c>
      <x:c r="E378" t="str">
        <x:f>Rates_Raw!F378</x:f>
        <x:v>021</x:v>
      </x:c>
      <x:c r="F378" t="n">
        <x:f>COUNTIF(Rates_Raw!$AF$5:$AF$464,B378)</x:f>
        <x:v>1</x:v>
      </x:c>
      <x:c r="G378" t="str">
        <x:f>IF(F378=1,"UNIQUE",IF(COUNTIFS(Rates_Raw!$AF$5:$AF$464,B378,Rates_Raw!$H$5:$H$464,Rates_Raw!H378,Rates_Raw!$L$5:$L$464,Rates_Raw!L378)=F378,"REPEATED SOURCE ROW","CONFLICTING KEY"))</x:f>
        <x:v>UNIQUE</x:v>
      </x:c>
      <x:c r="H378" t="str">
        <x:f>IF(F378&gt;1,"REVIEW","OK")</x:f>
        <x:v>OK</x:v>
      </x:c>
      <x:c r="I378" t="str">
        <x:f>Rates_Raw!H378</x:f>
        <x:v>1366Y</x:v>
      </x:c>
      <x:c r="J378" t="str">
        <x:f>Rates_Raw!L378</x:f>
        <x:v>$41.5875</x:v>
      </x:c>
    </x:row>
    <x:row r="379">
      <x:c r="A379" t="n">
        <x:f>Rates_Raw!A379</x:f>
        <x:v>26420</x:v>
      </x:c>
      <x:c r="B379" t="str">
        <x:f>Rates_Raw!AF379</x:f>
        <x:v>1366|SFMTA|2024-01-06</x:v>
      </x:c>
      <x:c r="C379" t="str">
        <x:f>Rates_Raw!D379</x:f>
        <x:v>1366</x:v>
      </x:c>
      <x:c r="D379" t="str">
        <x:f>Rates_Raw!C379</x:f>
        <x:v>2024/01/06</x:v>
      </x:c>
      <x:c r="E379" t="str">
        <x:f>Rates_Raw!F379</x:f>
        <x:v>021</x:v>
      </x:c>
      <x:c r="F379" t="n">
        <x:f>COUNTIF(Rates_Raw!$AF$5:$AF$464,B379)</x:f>
        <x:v>1</x:v>
      </x:c>
      <x:c r="G379" t="str">
        <x:f>IF(F379=1,"UNIQUE",IF(COUNTIFS(Rates_Raw!$AF$5:$AF$464,B379,Rates_Raw!$H$5:$H$464,Rates_Raw!H379,Rates_Raw!$L$5:$L$464,Rates_Raw!L379)=F379,"REPEATED SOURCE ROW","CONFLICTING KEY"))</x:f>
        <x:v>UNIQUE</x:v>
      </x:c>
      <x:c r="H379" t="str">
        <x:f>IF(F379&gt;1,"REVIEW","OK")</x:f>
        <x:v>OK</x:v>
      </x:c>
      <x:c r="I379" t="str">
        <x:f>Rates_Raw!H379</x:f>
        <x:v>1366Y</x:v>
      </x:c>
      <x:c r="J379" t="str">
        <x:f>Rates_Raw!L379</x:f>
        <x:v>$41.5875</x:v>
      </x:c>
    </x:row>
    <x:row r="380">
      <x:c r="A380" t="n">
        <x:f>Rates_Raw!A380</x:f>
        <x:v>28157</x:v>
      </x:c>
      <x:c r="B380" t="str">
        <x:f>Rates_Raw!AF380</x:f>
        <x:v>1366|COMMN|2024-07-01</x:v>
      </x:c>
      <x:c r="C380" t="str">
        <x:f>Rates_Raw!D380</x:f>
        <x:v>1366</x:v>
      </x:c>
      <x:c r="D380" t="str">
        <x:f>Rates_Raw!C380</x:f>
        <x:v>2024/07/01</x:v>
      </x:c>
      <x:c r="E380" t="str">
        <x:f>Rates_Raw!F380</x:f>
        <x:v>021</x:v>
      </x:c>
      <x:c r="F380" t="n">
        <x:f>COUNTIF(Rates_Raw!$AF$5:$AF$464,B380)</x:f>
        <x:v>1</x:v>
      </x:c>
      <x:c r="G380" t="str">
        <x:f>IF(F380=1,"UNIQUE",IF(COUNTIFS(Rates_Raw!$AF$5:$AF$464,B380,Rates_Raw!$H$5:$H$464,Rates_Raw!H380,Rates_Raw!$L$5:$L$464,Rates_Raw!L380)=F380,"REPEATED SOURCE ROW","CONFLICTING KEY"))</x:f>
        <x:v>UNIQUE</x:v>
      </x:c>
      <x:c r="H380" t="str">
        <x:f>IF(F380&gt;1,"REVIEW","OK")</x:f>
        <x:v>OK</x:v>
      </x:c>
      <x:c r="I380" t="str">
        <x:f>Rates_Raw!H380</x:f>
        <x:v>1366Z</x:v>
      </x:c>
      <x:c r="J380" t="str">
        <x:f>Rates_Raw!L380</x:f>
        <x:v>$42.2125</x:v>
      </x:c>
    </x:row>
    <x:row r="381">
      <x:c r="A381" t="n">
        <x:f>Rates_Raw!A381</x:f>
        <x:v>28158</x:v>
      </x:c>
      <x:c r="B381" t="str">
        <x:f>Rates_Raw!AF381</x:f>
        <x:v>1366|SFMTA|2024-07-01</x:v>
      </x:c>
      <x:c r="C381" t="str">
        <x:f>Rates_Raw!D381</x:f>
        <x:v>1366</x:v>
      </x:c>
      <x:c r="D381" t="str">
        <x:f>Rates_Raw!C381</x:f>
        <x:v>2024/07/01</x:v>
      </x:c>
      <x:c r="E381" t="str">
        <x:f>Rates_Raw!F381</x:f>
        <x:v>021</x:v>
      </x:c>
      <x:c r="F381" t="n">
        <x:f>COUNTIF(Rates_Raw!$AF$5:$AF$464,B381)</x:f>
        <x:v>1</x:v>
      </x:c>
      <x:c r="G381" t="str">
        <x:f>IF(F381=1,"UNIQUE",IF(COUNTIFS(Rates_Raw!$AF$5:$AF$464,B381,Rates_Raw!$H$5:$H$464,Rates_Raw!H381,Rates_Raw!$L$5:$L$464,Rates_Raw!L381)=F381,"REPEATED SOURCE ROW","CONFLICTING KEY"))</x:f>
        <x:v>UNIQUE</x:v>
      </x:c>
      <x:c r="H381" t="str">
        <x:f>IF(F381&gt;1,"REVIEW","OK")</x:f>
        <x:v>OK</x:v>
      </x:c>
      <x:c r="I381" t="str">
        <x:f>Rates_Raw!H381</x:f>
        <x:v>1366Z</x:v>
      </x:c>
      <x:c r="J381" t="str">
        <x:f>Rates_Raw!L381</x:f>
        <x:v>$42.2125</x:v>
      </x:c>
    </x:row>
    <x:row r="382">
      <x:c r="A382" t="n">
        <x:f>Rates_Raw!A382</x:f>
        <x:v>29863</x:v>
      </x:c>
      <x:c r="B382" t="str">
        <x:f>Rates_Raw!AF382</x:f>
        <x:v>1366|COMMN|2025-01-04</x:v>
      </x:c>
      <x:c r="C382" t="str">
        <x:f>Rates_Raw!D382</x:f>
        <x:v>1366</x:v>
      </x:c>
      <x:c r="D382" t="str">
        <x:f>Rates_Raw!C382</x:f>
        <x:v>2025/01/04</x:v>
      </x:c>
      <x:c r="E382" t="str">
        <x:f>Rates_Raw!F382</x:f>
        <x:v>021</x:v>
      </x:c>
      <x:c r="F382" t="n">
        <x:f>COUNTIF(Rates_Raw!$AF$5:$AF$464,B382)</x:f>
        <x:v>1</x:v>
      </x:c>
      <x:c r="G382" t="str">
        <x:f>IF(F382=1,"UNIQUE",IF(COUNTIFS(Rates_Raw!$AF$5:$AF$464,B382,Rates_Raw!$H$5:$H$464,Rates_Raw!H382,Rates_Raw!$L$5:$L$464,Rates_Raw!L382)=F382,"REPEATED SOURCE ROW","CONFLICTING KEY"))</x:f>
        <x:v>UNIQUE</x:v>
      </x:c>
      <x:c r="H382" t="str">
        <x:f>IF(F382&gt;1,"REVIEW","OK")</x:f>
        <x:v>OK</x:v>
      </x:c>
      <x:c r="I382" t="str">
        <x:f>Rates_Raw!H382</x:f>
        <x:v>1366A</x:v>
      </x:c>
      <x:c r="J382" t="str">
        <x:f>Rates_Raw!L382</x:f>
        <x:v>$42.8500</x:v>
      </x:c>
    </x:row>
    <x:row r="383">
      <x:c r="A383" t="n">
        <x:f>Rates_Raw!A383</x:f>
        <x:v>29864</x:v>
      </x:c>
      <x:c r="B383" t="str">
        <x:f>Rates_Raw!AF383</x:f>
        <x:v>1366|SFMTA|2025-01-04</x:v>
      </x:c>
      <x:c r="C383" t="str">
        <x:f>Rates_Raw!D383</x:f>
        <x:v>1366</x:v>
      </x:c>
      <x:c r="D383" t="str">
        <x:f>Rates_Raw!C383</x:f>
        <x:v>2025/01/04</x:v>
      </x:c>
      <x:c r="E383" t="str">
        <x:f>Rates_Raw!F383</x:f>
        <x:v>021</x:v>
      </x:c>
      <x:c r="F383" t="n">
        <x:f>COUNTIF(Rates_Raw!$AF$5:$AF$464,B383)</x:f>
        <x:v>1</x:v>
      </x:c>
      <x:c r="G383" t="str">
        <x:f>IF(F383=1,"UNIQUE",IF(COUNTIFS(Rates_Raw!$AF$5:$AF$464,B383,Rates_Raw!$H$5:$H$464,Rates_Raw!H383,Rates_Raw!$L$5:$L$464,Rates_Raw!L383)=F383,"REPEATED SOURCE ROW","CONFLICTING KEY"))</x:f>
        <x:v>UNIQUE</x:v>
      </x:c>
      <x:c r="H383" t="str">
        <x:f>IF(F383&gt;1,"REVIEW","OK")</x:f>
        <x:v>OK</x:v>
      </x:c>
      <x:c r="I383" t="str">
        <x:f>Rates_Raw!H383</x:f>
        <x:v>1366A</x:v>
      </x:c>
      <x:c r="J383" t="str">
        <x:f>Rates_Raw!L383</x:f>
        <x:v>$42.8500</x:v>
      </x:c>
    </x:row>
    <x:row r="384">
      <x:c r="A384" t="n">
        <x:f>Rates_Raw!A384</x:f>
        <x:v>31576</x:v>
      </x:c>
      <x:c r="B384" t="str">
        <x:f>Rates_Raw!AF384</x:f>
        <x:v>1366|COMMN|2025-07-01</x:v>
      </x:c>
      <x:c r="C384" t="str">
        <x:f>Rates_Raw!D384</x:f>
        <x:v>1366</x:v>
      </x:c>
      <x:c r="D384" t="str">
        <x:f>Rates_Raw!C384</x:f>
        <x:v>2025/07/01</x:v>
      </x:c>
      <x:c r="E384" t="str">
        <x:f>Rates_Raw!F384</x:f>
        <x:v>021</x:v>
      </x:c>
      <x:c r="F384" t="n">
        <x:f>COUNTIF(Rates_Raw!$AF$5:$AF$464,B384)</x:f>
        <x:v>1</x:v>
      </x:c>
      <x:c r="G384" t="str">
        <x:f>IF(F384=1,"UNIQUE",IF(COUNTIFS(Rates_Raw!$AF$5:$AF$464,B384,Rates_Raw!$H$5:$H$464,Rates_Raw!H384,Rates_Raw!$L$5:$L$464,Rates_Raw!L384)=F384,"REPEATED SOURCE ROW","CONFLICTING KEY"))</x:f>
        <x:v>UNIQUE</x:v>
      </x:c>
      <x:c r="H384" t="str">
        <x:f>IF(F384&gt;1,"REVIEW","OK")</x:f>
        <x:v>OK</x:v>
      </x:c>
      <x:c r="I384" t="str">
        <x:f>Rates_Raw!H384</x:f>
        <x:v>1366B</x:v>
      </x:c>
      <x:c r="J384" t="str">
        <x:f>Rates_Raw!L384</x:f>
        <x:v>$43.7125</x:v>
      </x:c>
    </x:row>
    <x:row r="385">
      <x:c r="A385" t="n">
        <x:f>Rates_Raw!A385</x:f>
        <x:v>31577</x:v>
      </x:c>
      <x:c r="B385" t="str">
        <x:f>Rates_Raw!AF385</x:f>
        <x:v>1366|SFMTA|2025-07-01</x:v>
      </x:c>
      <x:c r="C385" t="str">
        <x:f>Rates_Raw!D385</x:f>
        <x:v>1366</x:v>
      </x:c>
      <x:c r="D385" t="str">
        <x:f>Rates_Raw!C385</x:f>
        <x:v>2025/07/01</x:v>
      </x:c>
      <x:c r="E385" t="str">
        <x:f>Rates_Raw!F385</x:f>
        <x:v>021</x:v>
      </x:c>
      <x:c r="F385" t="n">
        <x:f>COUNTIF(Rates_Raw!$AF$5:$AF$464,B385)</x:f>
        <x:v>1</x:v>
      </x:c>
      <x:c r="G385" t="str">
        <x:f>IF(F385=1,"UNIQUE",IF(COUNTIFS(Rates_Raw!$AF$5:$AF$464,B385,Rates_Raw!$H$5:$H$464,Rates_Raw!H385,Rates_Raw!$L$5:$L$464,Rates_Raw!L385)=F385,"REPEATED SOURCE ROW","CONFLICTING KEY"))</x:f>
        <x:v>UNIQUE</x:v>
      </x:c>
      <x:c r="H385" t="str">
        <x:f>IF(F385&gt;1,"REVIEW","OK")</x:f>
        <x:v>OK</x:v>
      </x:c>
      <x:c r="I385" t="str">
        <x:f>Rates_Raw!H385</x:f>
        <x:v>1366B</x:v>
      </x:c>
      <x:c r="J385" t="str">
        <x:f>Rates_Raw!L385</x:f>
        <x:v>$43.7125</x:v>
      </x:c>
    </x:row>
    <x:row r="386">
      <x:c r="A386" t="n">
        <x:f>Rates_Raw!A386</x:f>
        <x:v>33261</x:v>
      </x:c>
      <x:c r="B386" t="str">
        <x:f>Rates_Raw!AF386</x:f>
        <x:v>1366|COMMN|2026-01-03</x:v>
      </x:c>
      <x:c r="C386" t="str">
        <x:f>Rates_Raw!D386</x:f>
        <x:v>1366</x:v>
      </x:c>
      <x:c r="D386" t="str">
        <x:f>Rates_Raw!C386</x:f>
        <x:v>2026/01/03</x:v>
      </x:c>
      <x:c r="E386" t="str">
        <x:f>Rates_Raw!F386</x:f>
        <x:v>021</x:v>
      </x:c>
      <x:c r="F386" t="n">
        <x:f>COUNTIF(Rates_Raw!$AF$5:$AF$464,B386)</x:f>
        <x:v>1</x:v>
      </x:c>
      <x:c r="G386" t="str">
        <x:f>IF(F386=1,"UNIQUE",IF(COUNTIFS(Rates_Raw!$AF$5:$AF$464,B386,Rates_Raw!$H$5:$H$464,Rates_Raw!H386,Rates_Raw!$L$5:$L$464,Rates_Raw!L386)=F386,"REPEATED SOURCE ROW","CONFLICTING KEY"))</x:f>
        <x:v>UNIQUE</x:v>
      </x:c>
      <x:c r="H386" t="str">
        <x:f>IF(F386&gt;1,"REVIEW","OK")</x:f>
        <x:v>OK</x:v>
      </x:c>
      <x:c r="I386" t="str">
        <x:f>Rates_Raw!H386</x:f>
        <x:v>1366C</x:v>
      </x:c>
      <x:c r="J386" t="str">
        <x:f>Rates_Raw!L386</x:f>
        <x:v>$44.3625</x:v>
      </x:c>
    </x:row>
    <x:row r="387">
      <x:c r="A387" t="n">
        <x:f>Rates_Raw!A387</x:f>
        <x:v>33262</x:v>
      </x:c>
      <x:c r="B387" t="str">
        <x:f>Rates_Raw!AF387</x:f>
        <x:v>1366|SFMTA|2026-01-03</x:v>
      </x:c>
      <x:c r="C387" t="str">
        <x:f>Rates_Raw!D387</x:f>
        <x:v>1366</x:v>
      </x:c>
      <x:c r="D387" t="str">
        <x:f>Rates_Raw!C387</x:f>
        <x:v>2026/01/03</x:v>
      </x:c>
      <x:c r="E387" t="str">
        <x:f>Rates_Raw!F387</x:f>
        <x:v>021</x:v>
      </x:c>
      <x:c r="F387" t="n">
        <x:f>COUNTIF(Rates_Raw!$AF$5:$AF$464,B387)</x:f>
        <x:v>1</x:v>
      </x:c>
      <x:c r="G387" t="str">
        <x:f>IF(F387=1,"UNIQUE",IF(COUNTIFS(Rates_Raw!$AF$5:$AF$464,B387,Rates_Raw!$H$5:$H$464,Rates_Raw!H387,Rates_Raw!$L$5:$L$464,Rates_Raw!L387)=F387,"REPEATED SOURCE ROW","CONFLICTING KEY"))</x:f>
        <x:v>UNIQUE</x:v>
      </x:c>
      <x:c r="H387" t="str">
        <x:f>IF(F387&gt;1,"REVIEW","OK")</x:f>
        <x:v>OK</x:v>
      </x:c>
      <x:c r="I387" t="str">
        <x:f>Rates_Raw!H387</x:f>
        <x:v>1366C</x:v>
      </x:c>
      <x:c r="J387" t="str">
        <x:f>Rates_Raw!L387</x:f>
        <x:v>$44.3625</x:v>
      </x:c>
    </x:row>
    <x:row r="388">
      <x:c r="A388" t="n">
        <x:f>Rates_Raw!A388</x:f>
        <x:v>26421</x:v>
      </x:c>
      <x:c r="B388" t="str">
        <x:f>Rates_Raw!AF388</x:f>
        <x:v>1367|COMMN|2024-01-06</x:v>
      </x:c>
      <x:c r="C388" t="str">
        <x:f>Rates_Raw!D388</x:f>
        <x:v>1367</x:v>
      </x:c>
      <x:c r="D388" t="str">
        <x:f>Rates_Raw!C388</x:f>
        <x:v>2024/01/06</x:v>
      </x:c>
      <x:c r="E388" t="str">
        <x:f>Rates_Raw!F388</x:f>
        <x:v>021</x:v>
      </x:c>
      <x:c r="F388" t="n">
        <x:f>COUNTIF(Rates_Raw!$AF$5:$AF$464,B388)</x:f>
        <x:v>1</x:v>
      </x:c>
      <x:c r="G388" t="str">
        <x:f>IF(F388=1,"UNIQUE",IF(COUNTIFS(Rates_Raw!$AF$5:$AF$464,B388,Rates_Raw!$H$5:$H$464,Rates_Raw!H388,Rates_Raw!$L$5:$L$464,Rates_Raw!L388)=F388,"REPEATED SOURCE ROW","CONFLICTING KEY"))</x:f>
        <x:v>UNIQUE</x:v>
      </x:c>
      <x:c r="H388" t="str">
        <x:f>IF(F388&gt;1,"REVIEW","OK")</x:f>
        <x:v>OK</x:v>
      </x:c>
      <x:c r="I388" t="str">
        <x:f>Rates_Raw!H388</x:f>
        <x:v>1367Y</x:v>
      </x:c>
      <x:c r="J388" t="str">
        <x:f>Rates_Raw!L388</x:f>
        <x:v>$44.7500</x:v>
      </x:c>
    </x:row>
    <x:row r="389">
      <x:c r="A389" t="n">
        <x:f>Rates_Raw!A389</x:f>
        <x:v>26422</x:v>
      </x:c>
      <x:c r="B389" t="str">
        <x:f>Rates_Raw!AF389</x:f>
        <x:v>1367|SFMTA|2024-01-06</x:v>
      </x:c>
      <x:c r="C389" t="str">
        <x:f>Rates_Raw!D389</x:f>
        <x:v>1367</x:v>
      </x:c>
      <x:c r="D389" t="str">
        <x:f>Rates_Raw!C389</x:f>
        <x:v>2024/01/06</x:v>
      </x:c>
      <x:c r="E389" t="str">
        <x:f>Rates_Raw!F389</x:f>
        <x:v>021</x:v>
      </x:c>
      <x:c r="F389" t="n">
        <x:f>COUNTIF(Rates_Raw!$AF$5:$AF$464,B389)</x:f>
        <x:v>1</x:v>
      </x:c>
      <x:c r="G389" t="str">
        <x:f>IF(F389=1,"UNIQUE",IF(COUNTIFS(Rates_Raw!$AF$5:$AF$464,B389,Rates_Raw!$H$5:$H$464,Rates_Raw!H389,Rates_Raw!$L$5:$L$464,Rates_Raw!L389)=F389,"REPEATED SOURCE ROW","CONFLICTING KEY"))</x:f>
        <x:v>UNIQUE</x:v>
      </x:c>
      <x:c r="H389" t="str">
        <x:f>IF(F389&gt;1,"REVIEW","OK")</x:f>
        <x:v>OK</x:v>
      </x:c>
      <x:c r="I389" t="str">
        <x:f>Rates_Raw!H389</x:f>
        <x:v>1367Y</x:v>
      </x:c>
      <x:c r="J389" t="str">
        <x:f>Rates_Raw!L389</x:f>
        <x:v>$44.7500</x:v>
      </x:c>
    </x:row>
    <x:row r="390">
      <x:c r="A390" t="n">
        <x:f>Rates_Raw!A390</x:f>
        <x:v>28159</x:v>
      </x:c>
      <x:c r="B390" t="str">
        <x:f>Rates_Raw!AF390</x:f>
        <x:v>1367|COMMN|2024-07-01</x:v>
      </x:c>
      <x:c r="C390" t="str">
        <x:f>Rates_Raw!D390</x:f>
        <x:v>1367</x:v>
      </x:c>
      <x:c r="D390" t="str">
        <x:f>Rates_Raw!C390</x:f>
        <x:v>2024/07/01</x:v>
      </x:c>
      <x:c r="E390" t="str">
        <x:f>Rates_Raw!F390</x:f>
        <x:v>021</x:v>
      </x:c>
      <x:c r="F390" t="n">
        <x:f>COUNTIF(Rates_Raw!$AF$5:$AF$464,B390)</x:f>
        <x:v>1</x:v>
      </x:c>
      <x:c r="G390" t="str">
        <x:f>IF(F390=1,"UNIQUE",IF(COUNTIFS(Rates_Raw!$AF$5:$AF$464,B390,Rates_Raw!$H$5:$H$464,Rates_Raw!H390,Rates_Raw!$L$5:$L$464,Rates_Raw!L390)=F390,"REPEATED SOURCE ROW","CONFLICTING KEY"))</x:f>
        <x:v>UNIQUE</x:v>
      </x:c>
      <x:c r="H390" t="str">
        <x:f>IF(F390&gt;1,"REVIEW","OK")</x:f>
        <x:v>OK</x:v>
      </x:c>
      <x:c r="I390" t="str">
        <x:f>Rates_Raw!H390</x:f>
        <x:v>1367Z</x:v>
      </x:c>
      <x:c r="J390" t="str">
        <x:f>Rates_Raw!L390</x:f>
        <x:v>$45.4250</x:v>
      </x:c>
    </x:row>
    <x:row r="391">
      <x:c r="A391" t="n">
        <x:f>Rates_Raw!A391</x:f>
        <x:v>28160</x:v>
      </x:c>
      <x:c r="B391" t="str">
        <x:f>Rates_Raw!AF391</x:f>
        <x:v>1367|SFMTA|2024-07-01</x:v>
      </x:c>
      <x:c r="C391" t="str">
        <x:f>Rates_Raw!D391</x:f>
        <x:v>1367</x:v>
      </x:c>
      <x:c r="D391" t="str">
        <x:f>Rates_Raw!C391</x:f>
        <x:v>2024/07/01</x:v>
      </x:c>
      <x:c r="E391" t="str">
        <x:f>Rates_Raw!F391</x:f>
        <x:v>021</x:v>
      </x:c>
      <x:c r="F391" t="n">
        <x:f>COUNTIF(Rates_Raw!$AF$5:$AF$464,B391)</x:f>
        <x:v>1</x:v>
      </x:c>
      <x:c r="G391" t="str">
        <x:f>IF(F391=1,"UNIQUE",IF(COUNTIFS(Rates_Raw!$AF$5:$AF$464,B391,Rates_Raw!$H$5:$H$464,Rates_Raw!H391,Rates_Raw!$L$5:$L$464,Rates_Raw!L391)=F391,"REPEATED SOURCE ROW","CONFLICTING KEY"))</x:f>
        <x:v>UNIQUE</x:v>
      </x:c>
      <x:c r="H391" t="str">
        <x:f>IF(F391&gt;1,"REVIEW","OK")</x:f>
        <x:v>OK</x:v>
      </x:c>
      <x:c r="I391" t="str">
        <x:f>Rates_Raw!H391</x:f>
        <x:v>1367Z</x:v>
      </x:c>
      <x:c r="J391" t="str">
        <x:f>Rates_Raw!L391</x:f>
        <x:v>$45.4250</x:v>
      </x:c>
    </x:row>
    <x:row r="392">
      <x:c r="A392" t="n">
        <x:f>Rates_Raw!A392</x:f>
        <x:v>29865</x:v>
      </x:c>
      <x:c r="B392" t="str">
        <x:f>Rates_Raw!AF392</x:f>
        <x:v>1367|COMMN|2025-01-04</x:v>
      </x:c>
      <x:c r="C392" t="str">
        <x:f>Rates_Raw!D392</x:f>
        <x:v>1367</x:v>
      </x:c>
      <x:c r="D392" t="str">
        <x:f>Rates_Raw!C392</x:f>
        <x:v>2025/01/04</x:v>
      </x:c>
      <x:c r="E392" t="str">
        <x:f>Rates_Raw!F392</x:f>
        <x:v>021</x:v>
      </x:c>
      <x:c r="F392" t="n">
        <x:f>COUNTIF(Rates_Raw!$AF$5:$AF$464,B392)</x:f>
        <x:v>1</x:v>
      </x:c>
      <x:c r="G392" t="str">
        <x:f>IF(F392=1,"UNIQUE",IF(COUNTIFS(Rates_Raw!$AF$5:$AF$464,B392,Rates_Raw!$H$5:$H$464,Rates_Raw!H392,Rates_Raw!$L$5:$L$464,Rates_Raw!L392)=F392,"REPEATED SOURCE ROW","CONFLICTING KEY"))</x:f>
        <x:v>UNIQUE</x:v>
      </x:c>
      <x:c r="H392" t="str">
        <x:f>IF(F392&gt;1,"REVIEW","OK")</x:f>
        <x:v>OK</x:v>
      </x:c>
      <x:c r="I392" t="str">
        <x:f>Rates_Raw!H392</x:f>
        <x:v>1367A</x:v>
      </x:c>
      <x:c r="J392" t="str">
        <x:f>Rates_Raw!L392</x:f>
        <x:v>$46.1125</x:v>
      </x:c>
    </x:row>
    <x:row r="393">
      <x:c r="A393" t="n">
        <x:f>Rates_Raw!A393</x:f>
        <x:v>29866</x:v>
      </x:c>
      <x:c r="B393" t="str">
        <x:f>Rates_Raw!AF393</x:f>
        <x:v>1367|SFMTA|2025-01-04</x:v>
      </x:c>
      <x:c r="C393" t="str">
        <x:f>Rates_Raw!D393</x:f>
        <x:v>1367</x:v>
      </x:c>
      <x:c r="D393" t="str">
        <x:f>Rates_Raw!C393</x:f>
        <x:v>2025/01/04</x:v>
      </x:c>
      <x:c r="E393" t="str">
        <x:f>Rates_Raw!F393</x:f>
        <x:v>021</x:v>
      </x:c>
      <x:c r="F393" t="n">
        <x:f>COUNTIF(Rates_Raw!$AF$5:$AF$464,B393)</x:f>
        <x:v>1</x:v>
      </x:c>
      <x:c r="G393" t="str">
        <x:f>IF(F393=1,"UNIQUE",IF(COUNTIFS(Rates_Raw!$AF$5:$AF$464,B393,Rates_Raw!$H$5:$H$464,Rates_Raw!H393,Rates_Raw!$L$5:$L$464,Rates_Raw!L393)=F393,"REPEATED SOURCE ROW","CONFLICTING KEY"))</x:f>
        <x:v>UNIQUE</x:v>
      </x:c>
      <x:c r="H393" t="str">
        <x:f>IF(F393&gt;1,"REVIEW","OK")</x:f>
        <x:v>OK</x:v>
      </x:c>
      <x:c r="I393" t="str">
        <x:f>Rates_Raw!H393</x:f>
        <x:v>1367A</x:v>
      </x:c>
      <x:c r="J393" t="str">
        <x:f>Rates_Raw!L393</x:f>
        <x:v>$46.1125</x:v>
      </x:c>
    </x:row>
    <x:row r="394">
      <x:c r="A394" t="n">
        <x:f>Rates_Raw!A394</x:f>
        <x:v>31578</x:v>
      </x:c>
      <x:c r="B394" t="str">
        <x:f>Rates_Raw!AF394</x:f>
        <x:v>1367|COMMN|2025-07-01</x:v>
      </x:c>
      <x:c r="C394" t="str">
        <x:f>Rates_Raw!D394</x:f>
        <x:v>1367</x:v>
      </x:c>
      <x:c r="D394" t="str">
        <x:f>Rates_Raw!C394</x:f>
        <x:v>2025/07/01</x:v>
      </x:c>
      <x:c r="E394" t="str">
        <x:f>Rates_Raw!F394</x:f>
        <x:v>021</x:v>
      </x:c>
      <x:c r="F394" t="n">
        <x:f>COUNTIF(Rates_Raw!$AF$5:$AF$464,B394)</x:f>
        <x:v>1</x:v>
      </x:c>
      <x:c r="G394" t="str">
        <x:f>IF(F394=1,"UNIQUE",IF(COUNTIFS(Rates_Raw!$AF$5:$AF$464,B394,Rates_Raw!$H$5:$H$464,Rates_Raw!H394,Rates_Raw!$L$5:$L$464,Rates_Raw!L394)=F394,"REPEATED SOURCE ROW","CONFLICTING KEY"))</x:f>
        <x:v>UNIQUE</x:v>
      </x:c>
      <x:c r="H394" t="str">
        <x:f>IF(F394&gt;1,"REVIEW","OK")</x:f>
        <x:v>OK</x:v>
      </x:c>
      <x:c r="I394" t="str">
        <x:f>Rates_Raw!H394</x:f>
        <x:v>1367B</x:v>
      </x:c>
      <x:c r="J394" t="str">
        <x:f>Rates_Raw!L394</x:f>
        <x:v>$47.0375</x:v>
      </x:c>
    </x:row>
    <x:row r="395">
      <x:c r="A395" t="n">
        <x:f>Rates_Raw!A395</x:f>
        <x:v>31579</x:v>
      </x:c>
      <x:c r="B395" t="str">
        <x:f>Rates_Raw!AF395</x:f>
        <x:v>1367|SFMTA|2025-07-01</x:v>
      </x:c>
      <x:c r="C395" t="str">
        <x:f>Rates_Raw!D395</x:f>
        <x:v>1367</x:v>
      </x:c>
      <x:c r="D395" t="str">
        <x:f>Rates_Raw!C395</x:f>
        <x:v>2025/07/01</x:v>
      </x:c>
      <x:c r="E395" t="str">
        <x:f>Rates_Raw!F395</x:f>
        <x:v>021</x:v>
      </x:c>
      <x:c r="F395" t="n">
        <x:f>COUNTIF(Rates_Raw!$AF$5:$AF$464,B395)</x:f>
        <x:v>1</x:v>
      </x:c>
      <x:c r="G395" t="str">
        <x:f>IF(F395=1,"UNIQUE",IF(COUNTIFS(Rates_Raw!$AF$5:$AF$464,B395,Rates_Raw!$H$5:$H$464,Rates_Raw!H395,Rates_Raw!$L$5:$L$464,Rates_Raw!L395)=F395,"REPEATED SOURCE ROW","CONFLICTING KEY"))</x:f>
        <x:v>UNIQUE</x:v>
      </x:c>
      <x:c r="H395" t="str">
        <x:f>IF(F395&gt;1,"REVIEW","OK")</x:f>
        <x:v>OK</x:v>
      </x:c>
      <x:c r="I395" t="str">
        <x:f>Rates_Raw!H395</x:f>
        <x:v>1367B</x:v>
      </x:c>
      <x:c r="J395" t="str">
        <x:f>Rates_Raw!L395</x:f>
        <x:v>$47.0375</x:v>
      </x:c>
    </x:row>
    <x:row r="396">
      <x:c r="A396" t="n">
        <x:f>Rates_Raw!A396</x:f>
        <x:v>33263</x:v>
      </x:c>
      <x:c r="B396" t="str">
        <x:f>Rates_Raw!AF396</x:f>
        <x:v>1367|COMMN|2026-01-03</x:v>
      </x:c>
      <x:c r="C396" t="str">
        <x:f>Rates_Raw!D396</x:f>
        <x:v>1367</x:v>
      </x:c>
      <x:c r="D396" t="str">
        <x:f>Rates_Raw!C396</x:f>
        <x:v>2026/01/03</x:v>
      </x:c>
      <x:c r="E396" t="str">
        <x:f>Rates_Raw!F396</x:f>
        <x:v>021</x:v>
      </x:c>
      <x:c r="F396" t="n">
        <x:f>COUNTIF(Rates_Raw!$AF$5:$AF$464,B396)</x:f>
        <x:v>1</x:v>
      </x:c>
      <x:c r="G396" t="str">
        <x:f>IF(F396=1,"UNIQUE",IF(COUNTIFS(Rates_Raw!$AF$5:$AF$464,B396,Rates_Raw!$H$5:$H$464,Rates_Raw!H396,Rates_Raw!$L$5:$L$464,Rates_Raw!L396)=F396,"REPEATED SOURCE ROW","CONFLICTING KEY"))</x:f>
        <x:v>UNIQUE</x:v>
      </x:c>
      <x:c r="H396" t="str">
        <x:f>IF(F396&gt;1,"REVIEW","OK")</x:f>
        <x:v>OK</x:v>
      </x:c>
      <x:c r="I396" t="str">
        <x:f>Rates_Raw!H396</x:f>
        <x:v>1367C</x:v>
      </x:c>
      <x:c r="J396" t="str">
        <x:f>Rates_Raw!L396</x:f>
        <x:v>$47.7375</x:v>
      </x:c>
    </x:row>
    <x:row r="397">
      <x:c r="A397" t="n">
        <x:f>Rates_Raw!A397</x:f>
        <x:v>33264</x:v>
      </x:c>
      <x:c r="B397" t="str">
        <x:f>Rates_Raw!AF397</x:f>
        <x:v>1367|SFMTA|2026-01-03</x:v>
      </x:c>
      <x:c r="C397" t="str">
        <x:f>Rates_Raw!D397</x:f>
        <x:v>1367</x:v>
      </x:c>
      <x:c r="D397" t="str">
        <x:f>Rates_Raw!C397</x:f>
        <x:v>2026/01/03</x:v>
      </x:c>
      <x:c r="E397" t="str">
        <x:f>Rates_Raw!F397</x:f>
        <x:v>021</x:v>
      </x:c>
      <x:c r="F397" t="n">
        <x:f>COUNTIF(Rates_Raw!$AF$5:$AF$464,B397)</x:f>
        <x:v>1</x:v>
      </x:c>
      <x:c r="G397" t="str">
        <x:f>IF(F397=1,"UNIQUE",IF(COUNTIFS(Rates_Raw!$AF$5:$AF$464,B397,Rates_Raw!$H$5:$H$464,Rates_Raw!H397,Rates_Raw!$L$5:$L$464,Rates_Raw!L397)=F397,"REPEATED SOURCE ROW","CONFLICTING KEY"))</x:f>
        <x:v>UNIQUE</x:v>
      </x:c>
      <x:c r="H397" t="str">
        <x:f>IF(F397&gt;1,"REVIEW","OK")</x:f>
        <x:v>OK</x:v>
      </x:c>
      <x:c r="I397" t="str">
        <x:f>Rates_Raw!H397</x:f>
        <x:v>1367C</x:v>
      </x:c>
      <x:c r="J397" t="str">
        <x:f>Rates_Raw!L397</x:f>
        <x:v>$47.7375</x:v>
      </x:c>
    </x:row>
    <x:row r="398">
      <x:c r="A398" t="n">
        <x:f>Rates_Raw!A398</x:f>
        <x:v>26423</x:v>
      </x:c>
      <x:c r="B398" t="str">
        <x:f>Rates_Raw!AF398</x:f>
        <x:v>1368|COMMN|2024-01-06</x:v>
      </x:c>
      <x:c r="C398" t="str">
        <x:f>Rates_Raw!D398</x:f>
        <x:v>1368</x:v>
      </x:c>
      <x:c r="D398" t="str">
        <x:f>Rates_Raw!C398</x:f>
        <x:v>2024/01/06</x:v>
      </x:c>
      <x:c r="E398" t="str">
        <x:f>Rates_Raw!F398</x:f>
        <x:v>021</x:v>
      </x:c>
      <x:c r="F398" t="n">
        <x:f>COUNTIF(Rates_Raw!$AF$5:$AF$464,B398)</x:f>
        <x:v>1</x:v>
      </x:c>
      <x:c r="G398" t="str">
        <x:f>IF(F398=1,"UNIQUE",IF(COUNTIFS(Rates_Raw!$AF$5:$AF$464,B398,Rates_Raw!$H$5:$H$464,Rates_Raw!H398,Rates_Raw!$L$5:$L$464,Rates_Raw!L398)=F398,"REPEATED SOURCE ROW","CONFLICTING KEY"))</x:f>
        <x:v>UNIQUE</x:v>
      </x:c>
      <x:c r="H398" t="str">
        <x:f>IF(F398&gt;1,"REVIEW","OK")</x:f>
        <x:v>OK</x:v>
      </x:c>
      <x:c r="I398" t="str">
        <x:f>Rates_Raw!H398</x:f>
        <x:v>1368Y</x:v>
      </x:c>
      <x:c r="J398" t="str">
        <x:f>Rates_Raw!L398</x:f>
        <x:v>$48.1500</x:v>
      </x:c>
    </x:row>
    <x:row r="399">
      <x:c r="A399" t="n">
        <x:f>Rates_Raw!A399</x:f>
        <x:v>26424</x:v>
      </x:c>
      <x:c r="B399" t="str">
        <x:f>Rates_Raw!AF399</x:f>
        <x:v>1368|SFMTA|2024-01-06</x:v>
      </x:c>
      <x:c r="C399" t="str">
        <x:f>Rates_Raw!D399</x:f>
        <x:v>1368</x:v>
      </x:c>
      <x:c r="D399" t="str">
        <x:f>Rates_Raw!C399</x:f>
        <x:v>2024/01/06</x:v>
      </x:c>
      <x:c r="E399" t="str">
        <x:f>Rates_Raw!F399</x:f>
        <x:v>021</x:v>
      </x:c>
      <x:c r="F399" t="n">
        <x:f>COUNTIF(Rates_Raw!$AF$5:$AF$464,B399)</x:f>
        <x:v>1</x:v>
      </x:c>
      <x:c r="G399" t="str">
        <x:f>IF(F399=1,"UNIQUE",IF(COUNTIFS(Rates_Raw!$AF$5:$AF$464,B399,Rates_Raw!$H$5:$H$464,Rates_Raw!H399,Rates_Raw!$L$5:$L$464,Rates_Raw!L399)=F399,"REPEATED SOURCE ROW","CONFLICTING KEY"))</x:f>
        <x:v>UNIQUE</x:v>
      </x:c>
      <x:c r="H399" t="str">
        <x:f>IF(F399&gt;1,"REVIEW","OK")</x:f>
        <x:v>OK</x:v>
      </x:c>
      <x:c r="I399" t="str">
        <x:f>Rates_Raw!H399</x:f>
        <x:v>1368Y</x:v>
      </x:c>
      <x:c r="J399" t="str">
        <x:f>Rates_Raw!L399</x:f>
        <x:v>$48.1500</x:v>
      </x:c>
    </x:row>
    <x:row r="400">
      <x:c r="A400" t="n">
        <x:f>Rates_Raw!A400</x:f>
        <x:v>28161</x:v>
      </x:c>
      <x:c r="B400" t="str">
        <x:f>Rates_Raw!AF400</x:f>
        <x:v>1368|COMMN|2024-07-01</x:v>
      </x:c>
      <x:c r="C400" t="str">
        <x:f>Rates_Raw!D400</x:f>
        <x:v>1368</x:v>
      </x:c>
      <x:c r="D400" t="str">
        <x:f>Rates_Raw!C400</x:f>
        <x:v>2024/07/01</x:v>
      </x:c>
      <x:c r="E400" t="str">
        <x:f>Rates_Raw!F400</x:f>
        <x:v>021</x:v>
      </x:c>
      <x:c r="F400" t="n">
        <x:f>COUNTIF(Rates_Raw!$AF$5:$AF$464,B400)</x:f>
        <x:v>1</x:v>
      </x:c>
      <x:c r="G400" t="str">
        <x:f>IF(F400=1,"UNIQUE",IF(COUNTIFS(Rates_Raw!$AF$5:$AF$464,B400,Rates_Raw!$H$5:$H$464,Rates_Raw!H400,Rates_Raw!$L$5:$L$464,Rates_Raw!L400)=F400,"REPEATED SOURCE ROW","CONFLICTING KEY"))</x:f>
        <x:v>UNIQUE</x:v>
      </x:c>
      <x:c r="H400" t="str">
        <x:f>IF(F400&gt;1,"REVIEW","OK")</x:f>
        <x:v>OK</x:v>
      </x:c>
      <x:c r="I400" t="str">
        <x:f>Rates_Raw!H400</x:f>
        <x:v>1368Z</x:v>
      </x:c>
      <x:c r="J400" t="str">
        <x:f>Rates_Raw!L400</x:f>
        <x:v>$48.8750</x:v>
      </x:c>
    </x:row>
    <x:row r="401">
      <x:c r="A401" t="n">
        <x:f>Rates_Raw!A401</x:f>
        <x:v>28162</x:v>
      </x:c>
      <x:c r="B401" t="str">
        <x:f>Rates_Raw!AF401</x:f>
        <x:v>1368|SFMTA|2024-07-01</x:v>
      </x:c>
      <x:c r="C401" t="str">
        <x:f>Rates_Raw!D401</x:f>
        <x:v>1368</x:v>
      </x:c>
      <x:c r="D401" t="str">
        <x:f>Rates_Raw!C401</x:f>
        <x:v>2024/07/01</x:v>
      </x:c>
      <x:c r="E401" t="str">
        <x:f>Rates_Raw!F401</x:f>
        <x:v>021</x:v>
      </x:c>
      <x:c r="F401" t="n">
        <x:f>COUNTIF(Rates_Raw!$AF$5:$AF$464,B401)</x:f>
        <x:v>1</x:v>
      </x:c>
      <x:c r="G401" t="str">
        <x:f>IF(F401=1,"UNIQUE",IF(COUNTIFS(Rates_Raw!$AF$5:$AF$464,B401,Rates_Raw!$H$5:$H$464,Rates_Raw!H401,Rates_Raw!$L$5:$L$464,Rates_Raw!L401)=F401,"REPEATED SOURCE ROW","CONFLICTING KEY"))</x:f>
        <x:v>UNIQUE</x:v>
      </x:c>
      <x:c r="H401" t="str">
        <x:f>IF(F401&gt;1,"REVIEW","OK")</x:f>
        <x:v>OK</x:v>
      </x:c>
      <x:c r="I401" t="str">
        <x:f>Rates_Raw!H401</x:f>
        <x:v>1368Z</x:v>
      </x:c>
      <x:c r="J401" t="str">
        <x:f>Rates_Raw!L401</x:f>
        <x:v>$48.8750</x:v>
      </x:c>
    </x:row>
    <x:row r="402">
      <x:c r="A402" t="n">
        <x:f>Rates_Raw!A402</x:f>
        <x:v>29867</x:v>
      </x:c>
      <x:c r="B402" t="str">
        <x:f>Rates_Raw!AF402</x:f>
        <x:v>1368|COMMN|2025-01-04</x:v>
      </x:c>
      <x:c r="C402" t="str">
        <x:f>Rates_Raw!D402</x:f>
        <x:v>1368</x:v>
      </x:c>
      <x:c r="D402" t="str">
        <x:f>Rates_Raw!C402</x:f>
        <x:v>2025/01/04</x:v>
      </x:c>
      <x:c r="E402" t="str">
        <x:f>Rates_Raw!F402</x:f>
        <x:v>021</x:v>
      </x:c>
      <x:c r="F402" t="n">
        <x:f>COUNTIF(Rates_Raw!$AF$5:$AF$464,B402)</x:f>
        <x:v>1</x:v>
      </x:c>
      <x:c r="G402" t="str">
        <x:f>IF(F402=1,"UNIQUE",IF(COUNTIFS(Rates_Raw!$AF$5:$AF$464,B402,Rates_Raw!$H$5:$H$464,Rates_Raw!H402,Rates_Raw!$L$5:$L$464,Rates_Raw!L402)=F402,"REPEATED SOURCE ROW","CONFLICTING KEY"))</x:f>
        <x:v>UNIQUE</x:v>
      </x:c>
      <x:c r="H402" t="str">
        <x:f>IF(F402&gt;1,"REVIEW","OK")</x:f>
        <x:v>OK</x:v>
      </x:c>
      <x:c r="I402" t="str">
        <x:f>Rates_Raw!H402</x:f>
        <x:v>1368A</x:v>
      </x:c>
      <x:c r="J402" t="str">
        <x:f>Rates_Raw!L402</x:f>
        <x:v>$49.6125</x:v>
      </x:c>
    </x:row>
    <x:row r="403">
      <x:c r="A403" t="n">
        <x:f>Rates_Raw!A403</x:f>
        <x:v>29868</x:v>
      </x:c>
      <x:c r="B403" t="str">
        <x:f>Rates_Raw!AF403</x:f>
        <x:v>1368|SFMTA|2025-01-04</x:v>
      </x:c>
      <x:c r="C403" t="str">
        <x:f>Rates_Raw!D403</x:f>
        <x:v>1368</x:v>
      </x:c>
      <x:c r="D403" t="str">
        <x:f>Rates_Raw!C403</x:f>
        <x:v>2025/01/04</x:v>
      </x:c>
      <x:c r="E403" t="str">
        <x:f>Rates_Raw!F403</x:f>
        <x:v>021</x:v>
      </x:c>
      <x:c r="F403" t="n">
        <x:f>COUNTIF(Rates_Raw!$AF$5:$AF$464,B403)</x:f>
        <x:v>1</x:v>
      </x:c>
      <x:c r="G403" t="str">
        <x:f>IF(F403=1,"UNIQUE",IF(COUNTIFS(Rates_Raw!$AF$5:$AF$464,B403,Rates_Raw!$H$5:$H$464,Rates_Raw!H403,Rates_Raw!$L$5:$L$464,Rates_Raw!L403)=F403,"REPEATED SOURCE ROW","CONFLICTING KEY"))</x:f>
        <x:v>UNIQUE</x:v>
      </x:c>
      <x:c r="H403" t="str">
        <x:f>IF(F403&gt;1,"REVIEW","OK")</x:f>
        <x:v>OK</x:v>
      </x:c>
      <x:c r="I403" t="str">
        <x:f>Rates_Raw!H403</x:f>
        <x:v>1368A</x:v>
      </x:c>
      <x:c r="J403" t="str">
        <x:f>Rates_Raw!L403</x:f>
        <x:v>$49.6125</x:v>
      </x:c>
    </x:row>
    <x:row r="404">
      <x:c r="A404" t="n">
        <x:f>Rates_Raw!A404</x:f>
        <x:v>31580</x:v>
      </x:c>
      <x:c r="B404" t="str">
        <x:f>Rates_Raw!AF404</x:f>
        <x:v>1368|COMMN|2025-07-01</x:v>
      </x:c>
      <x:c r="C404" t="str">
        <x:f>Rates_Raw!D404</x:f>
        <x:v>1368</x:v>
      </x:c>
      <x:c r="D404" t="str">
        <x:f>Rates_Raw!C404</x:f>
        <x:v>2025/07/01</x:v>
      </x:c>
      <x:c r="E404" t="str">
        <x:f>Rates_Raw!F404</x:f>
        <x:v>021</x:v>
      </x:c>
      <x:c r="F404" t="n">
        <x:f>COUNTIF(Rates_Raw!$AF$5:$AF$464,B404)</x:f>
        <x:v>1</x:v>
      </x:c>
      <x:c r="G404" t="str">
        <x:f>IF(F404=1,"UNIQUE",IF(COUNTIFS(Rates_Raw!$AF$5:$AF$464,B404,Rates_Raw!$H$5:$H$464,Rates_Raw!H404,Rates_Raw!$L$5:$L$464,Rates_Raw!L404)=F404,"REPEATED SOURCE ROW","CONFLICTING KEY"))</x:f>
        <x:v>UNIQUE</x:v>
      </x:c>
      <x:c r="H404" t="str">
        <x:f>IF(F404&gt;1,"REVIEW","OK")</x:f>
        <x:v>OK</x:v>
      </x:c>
      <x:c r="I404" t="str">
        <x:f>Rates_Raw!H404</x:f>
        <x:v>1368B</x:v>
      </x:c>
      <x:c r="J404" t="str">
        <x:f>Rates_Raw!L404</x:f>
        <x:v>$50.6125</x:v>
      </x:c>
    </x:row>
    <x:row r="405">
      <x:c r="A405" t="n">
        <x:f>Rates_Raw!A405</x:f>
        <x:v>31581</x:v>
      </x:c>
      <x:c r="B405" t="str">
        <x:f>Rates_Raw!AF405</x:f>
        <x:v>1368|SFMTA|2025-07-01</x:v>
      </x:c>
      <x:c r="C405" t="str">
        <x:f>Rates_Raw!D405</x:f>
        <x:v>1368</x:v>
      </x:c>
      <x:c r="D405" t="str">
        <x:f>Rates_Raw!C405</x:f>
        <x:v>2025/07/01</x:v>
      </x:c>
      <x:c r="E405" t="str">
        <x:f>Rates_Raw!F405</x:f>
        <x:v>021</x:v>
      </x:c>
      <x:c r="F405" t="n">
        <x:f>COUNTIF(Rates_Raw!$AF$5:$AF$464,B405)</x:f>
        <x:v>1</x:v>
      </x:c>
      <x:c r="G405" t="str">
        <x:f>IF(F405=1,"UNIQUE",IF(COUNTIFS(Rates_Raw!$AF$5:$AF$464,B405,Rates_Raw!$H$5:$H$464,Rates_Raw!H405,Rates_Raw!$L$5:$L$464,Rates_Raw!L405)=F405,"REPEATED SOURCE ROW","CONFLICTING KEY"))</x:f>
        <x:v>UNIQUE</x:v>
      </x:c>
      <x:c r="H405" t="str">
        <x:f>IF(F405&gt;1,"REVIEW","OK")</x:f>
        <x:v>OK</x:v>
      </x:c>
      <x:c r="I405" t="str">
        <x:f>Rates_Raw!H405</x:f>
        <x:v>1368B</x:v>
      </x:c>
      <x:c r="J405" t="str">
        <x:f>Rates_Raw!L405</x:f>
        <x:v>$50.6125</x:v>
      </x:c>
    </x:row>
    <x:row r="406">
      <x:c r="A406" t="n">
        <x:f>Rates_Raw!A406</x:f>
        <x:v>33265</x:v>
      </x:c>
      <x:c r="B406" t="str">
        <x:f>Rates_Raw!AF406</x:f>
        <x:v>1368|COMMN|2026-01-03</x:v>
      </x:c>
      <x:c r="C406" t="str">
        <x:f>Rates_Raw!D406</x:f>
        <x:v>1368</x:v>
      </x:c>
      <x:c r="D406" t="str">
        <x:f>Rates_Raw!C406</x:f>
        <x:v>2026/01/03</x:v>
      </x:c>
      <x:c r="E406" t="str">
        <x:f>Rates_Raw!F406</x:f>
        <x:v>021</x:v>
      </x:c>
      <x:c r="F406" t="n">
        <x:f>COUNTIF(Rates_Raw!$AF$5:$AF$464,B406)</x:f>
        <x:v>1</x:v>
      </x:c>
      <x:c r="G406" t="str">
        <x:f>IF(F406=1,"UNIQUE",IF(COUNTIFS(Rates_Raw!$AF$5:$AF$464,B406,Rates_Raw!$H$5:$H$464,Rates_Raw!H406,Rates_Raw!$L$5:$L$464,Rates_Raw!L406)=F406,"REPEATED SOURCE ROW","CONFLICTING KEY"))</x:f>
        <x:v>UNIQUE</x:v>
      </x:c>
      <x:c r="H406" t="str">
        <x:f>IF(F406&gt;1,"REVIEW","OK")</x:f>
        <x:v>OK</x:v>
      </x:c>
      <x:c r="I406" t="str">
        <x:f>Rates_Raw!H406</x:f>
        <x:v>1368C</x:v>
      </x:c>
      <x:c r="J406" t="str">
        <x:f>Rates_Raw!L406</x:f>
        <x:v>$51.3750</x:v>
      </x:c>
    </x:row>
    <x:row r="407">
      <x:c r="A407" t="n">
        <x:f>Rates_Raw!A407</x:f>
        <x:v>33266</x:v>
      </x:c>
      <x:c r="B407" t="str">
        <x:f>Rates_Raw!AF407</x:f>
        <x:v>1368|SFMTA|2026-01-03</x:v>
      </x:c>
      <x:c r="C407" t="str">
        <x:f>Rates_Raw!D407</x:f>
        <x:v>1368</x:v>
      </x:c>
      <x:c r="D407" t="str">
        <x:f>Rates_Raw!C407</x:f>
        <x:v>2026/01/03</x:v>
      </x:c>
      <x:c r="E407" t="str">
        <x:f>Rates_Raw!F407</x:f>
        <x:v>021</x:v>
      </x:c>
      <x:c r="F407" t="n">
        <x:f>COUNTIF(Rates_Raw!$AF$5:$AF$464,B407)</x:f>
        <x:v>1</x:v>
      </x:c>
      <x:c r="G407" t="str">
        <x:f>IF(F407=1,"UNIQUE",IF(COUNTIFS(Rates_Raw!$AF$5:$AF$464,B407,Rates_Raw!$H$5:$H$464,Rates_Raw!H407,Rates_Raw!$L$5:$L$464,Rates_Raw!L407)=F407,"REPEATED SOURCE ROW","CONFLICTING KEY"))</x:f>
        <x:v>UNIQUE</x:v>
      </x:c>
      <x:c r="H407" t="str">
        <x:f>IF(F407&gt;1,"REVIEW","OK")</x:f>
        <x:v>OK</x:v>
      </x:c>
      <x:c r="I407" t="str">
        <x:f>Rates_Raw!H407</x:f>
        <x:v>1368C</x:v>
      </x:c>
      <x:c r="J407" t="str">
        <x:f>Rates_Raw!L407</x:f>
        <x:v>$51.3750</x:v>
      </x:c>
    </x:row>
    <x:row r="408">
      <x:c r="A408" t="n">
        <x:f>Rates_Raw!A408</x:f>
        <x:v>26425</x:v>
      </x:c>
      <x:c r="B408" t="str">
        <x:f>Rates_Raw!AF408</x:f>
        <x:v>1369|COMMN|2024-01-06</x:v>
      </x:c>
      <x:c r="C408" t="str">
        <x:f>Rates_Raw!D408</x:f>
        <x:v>1369</x:v>
      </x:c>
      <x:c r="D408" t="str">
        <x:f>Rates_Raw!C408</x:f>
        <x:v>2024/01/06</x:v>
      </x:c>
      <x:c r="E408" t="str">
        <x:f>Rates_Raw!F408</x:f>
        <x:v>021</x:v>
      </x:c>
      <x:c r="F408" t="n">
        <x:f>COUNTIF(Rates_Raw!$AF$5:$AF$464,B408)</x:f>
        <x:v>1</x:v>
      </x:c>
      <x:c r="G408" t="str">
        <x:f>IF(F408=1,"UNIQUE",IF(COUNTIFS(Rates_Raw!$AF$5:$AF$464,B408,Rates_Raw!$H$5:$H$464,Rates_Raw!H408,Rates_Raw!$L$5:$L$464,Rates_Raw!L408)=F408,"REPEATED SOURCE ROW","CONFLICTING KEY"))</x:f>
        <x:v>UNIQUE</x:v>
      </x:c>
      <x:c r="H408" t="str">
        <x:f>IF(F408&gt;1,"REVIEW","OK")</x:f>
        <x:v>OK</x:v>
      </x:c>
      <x:c r="I408" t="str">
        <x:f>Rates_Raw!H408</x:f>
        <x:v>1369Y</x:v>
      </x:c>
      <x:c r="J408" t="str">
        <x:f>Rates_Raw!L408</x:f>
        <x:v>$52.1000</x:v>
      </x:c>
    </x:row>
    <x:row r="409">
      <x:c r="A409" t="n">
        <x:f>Rates_Raw!A409</x:f>
        <x:v>26426</x:v>
      </x:c>
      <x:c r="B409" t="str">
        <x:f>Rates_Raw!AF409</x:f>
        <x:v>1369|SFMTA|2024-01-06</x:v>
      </x:c>
      <x:c r="C409" t="str">
        <x:f>Rates_Raw!D409</x:f>
        <x:v>1369</x:v>
      </x:c>
      <x:c r="D409" t="str">
        <x:f>Rates_Raw!C409</x:f>
        <x:v>2024/01/06</x:v>
      </x:c>
      <x:c r="E409" t="str">
        <x:f>Rates_Raw!F409</x:f>
        <x:v>021</x:v>
      </x:c>
      <x:c r="F409" t="n">
        <x:f>COUNTIF(Rates_Raw!$AF$5:$AF$464,B409)</x:f>
        <x:v>1</x:v>
      </x:c>
      <x:c r="G409" t="str">
        <x:f>IF(F409=1,"UNIQUE",IF(COUNTIFS(Rates_Raw!$AF$5:$AF$464,B409,Rates_Raw!$H$5:$H$464,Rates_Raw!H409,Rates_Raw!$L$5:$L$464,Rates_Raw!L409)=F409,"REPEATED SOURCE ROW","CONFLICTING KEY"))</x:f>
        <x:v>UNIQUE</x:v>
      </x:c>
      <x:c r="H409" t="str">
        <x:f>IF(F409&gt;1,"REVIEW","OK")</x:f>
        <x:v>OK</x:v>
      </x:c>
      <x:c r="I409" t="str">
        <x:f>Rates_Raw!H409</x:f>
        <x:v>1369Y</x:v>
      </x:c>
      <x:c r="J409" t="str">
        <x:f>Rates_Raw!L409</x:f>
        <x:v>$52.1000</x:v>
      </x:c>
    </x:row>
    <x:row r="410">
      <x:c r="A410" t="n">
        <x:f>Rates_Raw!A410</x:f>
        <x:v>28163</x:v>
      </x:c>
      <x:c r="B410" t="str">
        <x:f>Rates_Raw!AF410</x:f>
        <x:v>1369|COMMN|2024-07-01</x:v>
      </x:c>
      <x:c r="C410" t="str">
        <x:f>Rates_Raw!D410</x:f>
        <x:v>1369</x:v>
      </x:c>
      <x:c r="D410" t="str">
        <x:f>Rates_Raw!C410</x:f>
        <x:v>2024/07/01</x:v>
      </x:c>
      <x:c r="E410" t="str">
        <x:f>Rates_Raw!F410</x:f>
        <x:v>021</x:v>
      </x:c>
      <x:c r="F410" t="n">
        <x:f>COUNTIF(Rates_Raw!$AF$5:$AF$464,B410)</x:f>
        <x:v>1</x:v>
      </x:c>
      <x:c r="G410" t="str">
        <x:f>IF(F410=1,"UNIQUE",IF(COUNTIFS(Rates_Raw!$AF$5:$AF$464,B410,Rates_Raw!$H$5:$H$464,Rates_Raw!H410,Rates_Raw!$L$5:$L$464,Rates_Raw!L410)=F410,"REPEATED SOURCE ROW","CONFLICTING KEY"))</x:f>
        <x:v>UNIQUE</x:v>
      </x:c>
      <x:c r="H410" t="str">
        <x:f>IF(F410&gt;1,"REVIEW","OK")</x:f>
        <x:v>OK</x:v>
      </x:c>
      <x:c r="I410" t="str">
        <x:f>Rates_Raw!H410</x:f>
        <x:v>1369Z</x:v>
      </x:c>
      <x:c r="J410" t="str">
        <x:f>Rates_Raw!L410</x:f>
        <x:v>$52.8875</x:v>
      </x:c>
    </x:row>
    <x:row r="411">
      <x:c r="A411" t="n">
        <x:f>Rates_Raw!A411</x:f>
        <x:v>28164</x:v>
      </x:c>
      <x:c r="B411" t="str">
        <x:f>Rates_Raw!AF411</x:f>
        <x:v>1369|SFMTA|2024-07-01</x:v>
      </x:c>
      <x:c r="C411" t="str">
        <x:f>Rates_Raw!D411</x:f>
        <x:v>1369</x:v>
      </x:c>
      <x:c r="D411" t="str">
        <x:f>Rates_Raw!C411</x:f>
        <x:v>2024/07/01</x:v>
      </x:c>
      <x:c r="E411" t="str">
        <x:f>Rates_Raw!F411</x:f>
        <x:v>021</x:v>
      </x:c>
      <x:c r="F411" t="n">
        <x:f>COUNTIF(Rates_Raw!$AF$5:$AF$464,B411)</x:f>
        <x:v>1</x:v>
      </x:c>
      <x:c r="G411" t="str">
        <x:f>IF(F411=1,"UNIQUE",IF(COUNTIFS(Rates_Raw!$AF$5:$AF$464,B411,Rates_Raw!$H$5:$H$464,Rates_Raw!H411,Rates_Raw!$L$5:$L$464,Rates_Raw!L411)=F411,"REPEATED SOURCE ROW","CONFLICTING KEY"))</x:f>
        <x:v>UNIQUE</x:v>
      </x:c>
      <x:c r="H411" t="str">
        <x:f>IF(F411&gt;1,"REVIEW","OK")</x:f>
        <x:v>OK</x:v>
      </x:c>
      <x:c r="I411" t="str">
        <x:f>Rates_Raw!H411</x:f>
        <x:v>1369Z</x:v>
      </x:c>
      <x:c r="J411" t="str">
        <x:f>Rates_Raw!L411</x:f>
        <x:v>$52.8875</x:v>
      </x:c>
    </x:row>
    <x:row r="412">
      <x:c r="A412" t="n">
        <x:f>Rates_Raw!A412</x:f>
        <x:v>29869</x:v>
      </x:c>
      <x:c r="B412" t="str">
        <x:f>Rates_Raw!AF412</x:f>
        <x:v>1369|COMMN|2025-01-04</x:v>
      </x:c>
      <x:c r="C412" t="str">
        <x:f>Rates_Raw!D412</x:f>
        <x:v>1369</x:v>
      </x:c>
      <x:c r="D412" t="str">
        <x:f>Rates_Raw!C412</x:f>
        <x:v>2025/01/04</x:v>
      </x:c>
      <x:c r="E412" t="str">
        <x:f>Rates_Raw!F412</x:f>
        <x:v>021</x:v>
      </x:c>
      <x:c r="F412" t="n">
        <x:f>COUNTIF(Rates_Raw!$AF$5:$AF$464,B412)</x:f>
        <x:v>1</x:v>
      </x:c>
      <x:c r="G412" t="str">
        <x:f>IF(F412=1,"UNIQUE",IF(COUNTIFS(Rates_Raw!$AF$5:$AF$464,B412,Rates_Raw!$H$5:$H$464,Rates_Raw!H412,Rates_Raw!$L$5:$L$464,Rates_Raw!L412)=F412,"REPEATED SOURCE ROW","CONFLICTING KEY"))</x:f>
        <x:v>UNIQUE</x:v>
      </x:c>
      <x:c r="H412" t="str">
        <x:f>IF(F412&gt;1,"REVIEW","OK")</x:f>
        <x:v>OK</x:v>
      </x:c>
      <x:c r="I412" t="str">
        <x:f>Rates_Raw!H412</x:f>
        <x:v>1369A</x:v>
      </x:c>
      <x:c r="J412" t="str">
        <x:f>Rates_Raw!L412</x:f>
        <x:v>$53.6750</x:v>
      </x:c>
    </x:row>
    <x:row r="413">
      <x:c r="A413" t="n">
        <x:f>Rates_Raw!A413</x:f>
        <x:v>29870</x:v>
      </x:c>
      <x:c r="B413" t="str">
        <x:f>Rates_Raw!AF413</x:f>
        <x:v>1369|SFMTA|2025-01-04</x:v>
      </x:c>
      <x:c r="C413" t="str">
        <x:f>Rates_Raw!D413</x:f>
        <x:v>1369</x:v>
      </x:c>
      <x:c r="D413" t="str">
        <x:f>Rates_Raw!C413</x:f>
        <x:v>2025/01/04</x:v>
      </x:c>
      <x:c r="E413" t="str">
        <x:f>Rates_Raw!F413</x:f>
        <x:v>021</x:v>
      </x:c>
      <x:c r="F413" t="n">
        <x:f>COUNTIF(Rates_Raw!$AF$5:$AF$464,B413)</x:f>
        <x:v>1</x:v>
      </x:c>
      <x:c r="G413" t="str">
        <x:f>IF(F413=1,"UNIQUE",IF(COUNTIFS(Rates_Raw!$AF$5:$AF$464,B413,Rates_Raw!$H$5:$H$464,Rates_Raw!H413,Rates_Raw!$L$5:$L$464,Rates_Raw!L413)=F413,"REPEATED SOURCE ROW","CONFLICTING KEY"))</x:f>
        <x:v>UNIQUE</x:v>
      </x:c>
      <x:c r="H413" t="str">
        <x:f>IF(F413&gt;1,"REVIEW","OK")</x:f>
        <x:v>OK</x:v>
      </x:c>
      <x:c r="I413" t="str">
        <x:f>Rates_Raw!H413</x:f>
        <x:v>1369A</x:v>
      </x:c>
      <x:c r="J413" t="str">
        <x:f>Rates_Raw!L413</x:f>
        <x:v>$53.6750</x:v>
      </x:c>
    </x:row>
    <x:row r="414">
      <x:c r="A414" t="n">
        <x:f>Rates_Raw!A414</x:f>
        <x:v>31582</x:v>
      </x:c>
      <x:c r="B414" t="str">
        <x:f>Rates_Raw!AF414</x:f>
        <x:v>1369|COMMN|2025-07-01</x:v>
      </x:c>
      <x:c r="C414" t="str">
        <x:f>Rates_Raw!D414</x:f>
        <x:v>1369</x:v>
      </x:c>
      <x:c r="D414" t="str">
        <x:f>Rates_Raw!C414</x:f>
        <x:v>2025/07/01</x:v>
      </x:c>
      <x:c r="E414" t="str">
        <x:f>Rates_Raw!F414</x:f>
        <x:v>021</x:v>
      </x:c>
      <x:c r="F414" t="n">
        <x:f>COUNTIF(Rates_Raw!$AF$5:$AF$464,B414)</x:f>
        <x:v>1</x:v>
      </x:c>
      <x:c r="G414" t="str">
        <x:f>IF(F414=1,"UNIQUE",IF(COUNTIFS(Rates_Raw!$AF$5:$AF$464,B414,Rates_Raw!$H$5:$H$464,Rates_Raw!H414,Rates_Raw!$L$5:$L$464,Rates_Raw!L414)=F414,"REPEATED SOURCE ROW","CONFLICTING KEY"))</x:f>
        <x:v>UNIQUE</x:v>
      </x:c>
      <x:c r="H414" t="str">
        <x:f>IF(F414&gt;1,"REVIEW","OK")</x:f>
        <x:v>OK</x:v>
      </x:c>
      <x:c r="I414" t="str">
        <x:f>Rates_Raw!H414</x:f>
        <x:v>1369B</x:v>
      </x:c>
      <x:c r="J414" t="str">
        <x:f>Rates_Raw!L414</x:f>
        <x:v>$54.7500</x:v>
      </x:c>
    </x:row>
    <x:row r="415">
      <x:c r="A415" t="n">
        <x:f>Rates_Raw!A415</x:f>
        <x:v>31583</x:v>
      </x:c>
      <x:c r="B415" t="str">
        <x:f>Rates_Raw!AF415</x:f>
        <x:v>1369|SFMTA|2025-07-01</x:v>
      </x:c>
      <x:c r="C415" t="str">
        <x:f>Rates_Raw!D415</x:f>
        <x:v>1369</x:v>
      </x:c>
      <x:c r="D415" t="str">
        <x:f>Rates_Raw!C415</x:f>
        <x:v>2025/07/01</x:v>
      </x:c>
      <x:c r="E415" t="str">
        <x:f>Rates_Raw!F415</x:f>
        <x:v>021</x:v>
      </x:c>
      <x:c r="F415" t="n">
        <x:f>COUNTIF(Rates_Raw!$AF$5:$AF$464,B415)</x:f>
        <x:v>1</x:v>
      </x:c>
      <x:c r="G415" t="str">
        <x:f>IF(F415=1,"UNIQUE",IF(COUNTIFS(Rates_Raw!$AF$5:$AF$464,B415,Rates_Raw!$H$5:$H$464,Rates_Raw!H415,Rates_Raw!$L$5:$L$464,Rates_Raw!L415)=F415,"REPEATED SOURCE ROW","CONFLICTING KEY"))</x:f>
        <x:v>UNIQUE</x:v>
      </x:c>
      <x:c r="H415" t="str">
        <x:f>IF(F415&gt;1,"REVIEW","OK")</x:f>
        <x:v>OK</x:v>
      </x:c>
      <x:c r="I415" t="str">
        <x:f>Rates_Raw!H415</x:f>
        <x:v>1369B</x:v>
      </x:c>
      <x:c r="J415" t="str">
        <x:f>Rates_Raw!L415</x:f>
        <x:v>$54.7500</x:v>
      </x:c>
    </x:row>
    <x:row r="416">
      <x:c r="A416" t="n">
        <x:f>Rates_Raw!A416</x:f>
        <x:v>33267</x:v>
      </x:c>
      <x:c r="B416" t="str">
        <x:f>Rates_Raw!AF416</x:f>
        <x:v>1369|COMMN|2026-01-03</x:v>
      </x:c>
      <x:c r="C416" t="str">
        <x:f>Rates_Raw!D416</x:f>
        <x:v>1369</x:v>
      </x:c>
      <x:c r="D416" t="str">
        <x:f>Rates_Raw!C416</x:f>
        <x:v>2026/01/03</x:v>
      </x:c>
      <x:c r="E416" t="str">
        <x:f>Rates_Raw!F416</x:f>
        <x:v>021</x:v>
      </x:c>
      <x:c r="F416" t="n">
        <x:f>COUNTIF(Rates_Raw!$AF$5:$AF$464,B416)</x:f>
        <x:v>1</x:v>
      </x:c>
      <x:c r="G416" t="str">
        <x:f>IF(F416=1,"UNIQUE",IF(COUNTIFS(Rates_Raw!$AF$5:$AF$464,B416,Rates_Raw!$H$5:$H$464,Rates_Raw!H416,Rates_Raw!$L$5:$L$464,Rates_Raw!L416)=F416,"REPEATED SOURCE ROW","CONFLICTING KEY"))</x:f>
        <x:v>UNIQUE</x:v>
      </x:c>
      <x:c r="H416" t="str">
        <x:f>IF(F416&gt;1,"REVIEW","OK")</x:f>
        <x:v>OK</x:v>
      </x:c>
      <x:c r="I416" t="str">
        <x:f>Rates_Raw!H416</x:f>
        <x:v>1369C</x:v>
      </x:c>
      <x:c r="J416" t="str">
        <x:f>Rates_Raw!L416</x:f>
        <x:v>$55.5750</x:v>
      </x:c>
    </x:row>
    <x:row r="417">
      <x:c r="A417" t="n">
        <x:f>Rates_Raw!A417</x:f>
        <x:v>33268</x:v>
      </x:c>
      <x:c r="B417" t="str">
        <x:f>Rates_Raw!AF417</x:f>
        <x:v>1369|SFMTA|2026-01-03</x:v>
      </x:c>
      <x:c r="C417" t="str">
        <x:f>Rates_Raw!D417</x:f>
        <x:v>1369</x:v>
      </x:c>
      <x:c r="D417" t="str">
        <x:f>Rates_Raw!C417</x:f>
        <x:v>2026/01/03</x:v>
      </x:c>
      <x:c r="E417" t="str">
        <x:f>Rates_Raw!F417</x:f>
        <x:v>021</x:v>
      </x:c>
      <x:c r="F417" t="n">
        <x:f>COUNTIF(Rates_Raw!$AF$5:$AF$464,B417)</x:f>
        <x:v>1</x:v>
      </x:c>
      <x:c r="G417" t="str">
        <x:f>IF(F417=1,"UNIQUE",IF(COUNTIFS(Rates_Raw!$AF$5:$AF$464,B417,Rates_Raw!$H$5:$H$464,Rates_Raw!H417,Rates_Raw!$L$5:$L$464,Rates_Raw!L417)=F417,"REPEATED SOURCE ROW","CONFLICTING KEY"))</x:f>
        <x:v>UNIQUE</x:v>
      </x:c>
      <x:c r="H417" t="str">
        <x:f>IF(F417&gt;1,"REVIEW","OK")</x:f>
        <x:v>OK</x:v>
      </x:c>
      <x:c r="I417" t="str">
        <x:f>Rates_Raw!H417</x:f>
        <x:v>1369C</x:v>
      </x:c>
      <x:c r="J417" t="str">
        <x:f>Rates_Raw!L417</x:f>
        <x:v>$55.5750</x:v>
      </x:c>
    </x:row>
    <x:row r="418">
      <x:c r="A418" t="n">
        <x:f>Rates_Raw!A418</x:f>
        <x:v>26427</x:v>
      </x:c>
      <x:c r="B418" t="str">
        <x:f>Rates_Raw!AF418</x:f>
        <x:v>1370|COMMN|2024-01-06</x:v>
      </x:c>
      <x:c r="C418" t="str">
        <x:f>Rates_Raw!D418</x:f>
        <x:v>1370</x:v>
      </x:c>
      <x:c r="D418" t="str">
        <x:f>Rates_Raw!C418</x:f>
        <x:v>2024/01/06</x:v>
      </x:c>
      <x:c r="E418" t="str">
        <x:f>Rates_Raw!F418</x:f>
        <x:v>021</x:v>
      </x:c>
      <x:c r="F418" t="n">
        <x:f>COUNTIF(Rates_Raw!$AF$5:$AF$464,B418)</x:f>
        <x:v>1</x:v>
      </x:c>
      <x:c r="G418" t="str">
        <x:f>IF(F418=1,"UNIQUE",IF(COUNTIFS(Rates_Raw!$AF$5:$AF$464,B418,Rates_Raw!$H$5:$H$464,Rates_Raw!H418,Rates_Raw!$L$5:$L$464,Rates_Raw!L418)=F418,"REPEATED SOURCE ROW","CONFLICTING KEY"))</x:f>
        <x:v>UNIQUE</x:v>
      </x:c>
      <x:c r="H418" t="str">
        <x:f>IF(F418&gt;1,"REVIEW","OK")</x:f>
        <x:v>OK</x:v>
      </x:c>
      <x:c r="I418" t="str">
        <x:f>Rates_Raw!H418</x:f>
        <x:v>1370Y</x:v>
      </x:c>
      <x:c r="J418" t="str">
        <x:f>Rates_Raw!L418</x:f>
        <x:v>$56.0250</x:v>
      </x:c>
    </x:row>
    <x:row r="419">
      <x:c r="A419" t="n">
        <x:f>Rates_Raw!A419</x:f>
        <x:v>26428</x:v>
      </x:c>
      <x:c r="B419" t="str">
        <x:f>Rates_Raw!AF419</x:f>
        <x:v>1370|SFMTA|2024-01-06</x:v>
      </x:c>
      <x:c r="C419" t="str">
        <x:f>Rates_Raw!D419</x:f>
        <x:v>1370</x:v>
      </x:c>
      <x:c r="D419" t="str">
        <x:f>Rates_Raw!C419</x:f>
        <x:v>2024/01/06</x:v>
      </x:c>
      <x:c r="E419" t="str">
        <x:f>Rates_Raw!F419</x:f>
        <x:v>021</x:v>
      </x:c>
      <x:c r="F419" t="n">
        <x:f>COUNTIF(Rates_Raw!$AF$5:$AF$464,B419)</x:f>
        <x:v>1</x:v>
      </x:c>
      <x:c r="G419" t="str">
        <x:f>IF(F419=1,"UNIQUE",IF(COUNTIFS(Rates_Raw!$AF$5:$AF$464,B419,Rates_Raw!$H$5:$H$464,Rates_Raw!H419,Rates_Raw!$L$5:$L$464,Rates_Raw!L419)=F419,"REPEATED SOURCE ROW","CONFLICTING KEY"))</x:f>
        <x:v>UNIQUE</x:v>
      </x:c>
      <x:c r="H419" t="str">
        <x:f>IF(F419&gt;1,"REVIEW","OK")</x:f>
        <x:v>OK</x:v>
      </x:c>
      <x:c r="I419" t="str">
        <x:f>Rates_Raw!H419</x:f>
        <x:v>1370Y</x:v>
      </x:c>
      <x:c r="J419" t="str">
        <x:f>Rates_Raw!L419</x:f>
        <x:v>$56.0250</x:v>
      </x:c>
    </x:row>
    <x:row r="420">
      <x:c r="A420" t="n">
        <x:f>Rates_Raw!A420</x:f>
        <x:v>28165</x:v>
      </x:c>
      <x:c r="B420" t="str">
        <x:f>Rates_Raw!AF420</x:f>
        <x:v>1370|COMMN|2024-07-01</x:v>
      </x:c>
      <x:c r="C420" t="str">
        <x:f>Rates_Raw!D420</x:f>
        <x:v>1370</x:v>
      </x:c>
      <x:c r="D420" t="str">
        <x:f>Rates_Raw!C420</x:f>
        <x:v>2024/07/01</x:v>
      </x:c>
      <x:c r="E420" t="str">
        <x:f>Rates_Raw!F420</x:f>
        <x:v>021</x:v>
      </x:c>
      <x:c r="F420" t="n">
        <x:f>COUNTIF(Rates_Raw!$AF$5:$AF$464,B420)</x:f>
        <x:v>1</x:v>
      </x:c>
      <x:c r="G420" t="str">
        <x:f>IF(F420=1,"UNIQUE",IF(COUNTIFS(Rates_Raw!$AF$5:$AF$464,B420,Rates_Raw!$H$5:$H$464,Rates_Raw!H420,Rates_Raw!$L$5:$L$464,Rates_Raw!L420)=F420,"REPEATED SOURCE ROW","CONFLICTING KEY"))</x:f>
        <x:v>UNIQUE</x:v>
      </x:c>
      <x:c r="H420" t="str">
        <x:f>IF(F420&gt;1,"REVIEW","OK")</x:f>
        <x:v>OK</x:v>
      </x:c>
      <x:c r="I420" t="str">
        <x:f>Rates_Raw!H420</x:f>
        <x:v>1370Z</x:v>
      </x:c>
      <x:c r="J420" t="str">
        <x:f>Rates_Raw!L420</x:f>
        <x:v>$56.8625</x:v>
      </x:c>
    </x:row>
    <x:row r="421">
      <x:c r="A421" t="n">
        <x:f>Rates_Raw!A421</x:f>
        <x:v>28166</x:v>
      </x:c>
      <x:c r="B421" t="str">
        <x:f>Rates_Raw!AF421</x:f>
        <x:v>1370|SFMTA|2024-07-01</x:v>
      </x:c>
      <x:c r="C421" t="str">
        <x:f>Rates_Raw!D421</x:f>
        <x:v>1370</x:v>
      </x:c>
      <x:c r="D421" t="str">
        <x:f>Rates_Raw!C421</x:f>
        <x:v>2024/07/01</x:v>
      </x:c>
      <x:c r="E421" t="str">
        <x:f>Rates_Raw!F421</x:f>
        <x:v>021</x:v>
      </x:c>
      <x:c r="F421" t="n">
        <x:f>COUNTIF(Rates_Raw!$AF$5:$AF$464,B421)</x:f>
        <x:v>1</x:v>
      </x:c>
      <x:c r="G421" t="str">
        <x:f>IF(F421=1,"UNIQUE",IF(COUNTIFS(Rates_Raw!$AF$5:$AF$464,B421,Rates_Raw!$H$5:$H$464,Rates_Raw!H421,Rates_Raw!$L$5:$L$464,Rates_Raw!L421)=F421,"REPEATED SOURCE ROW","CONFLICTING KEY"))</x:f>
        <x:v>UNIQUE</x:v>
      </x:c>
      <x:c r="H421" t="str">
        <x:f>IF(F421&gt;1,"REVIEW","OK")</x:f>
        <x:v>OK</x:v>
      </x:c>
      <x:c r="I421" t="str">
        <x:f>Rates_Raw!H421</x:f>
        <x:v>1370Z</x:v>
      </x:c>
      <x:c r="J421" t="str">
        <x:f>Rates_Raw!L421</x:f>
        <x:v>$56.8625</x:v>
      </x:c>
    </x:row>
    <x:row r="422">
      <x:c r="A422" t="n">
        <x:f>Rates_Raw!A422</x:f>
        <x:v>29871</x:v>
      </x:c>
      <x:c r="B422" t="str">
        <x:f>Rates_Raw!AF422</x:f>
        <x:v>1370|COMMN|2025-01-04</x:v>
      </x:c>
      <x:c r="C422" t="str">
        <x:f>Rates_Raw!D422</x:f>
        <x:v>1370</x:v>
      </x:c>
      <x:c r="D422" t="str">
        <x:f>Rates_Raw!C422</x:f>
        <x:v>2025/01/04</x:v>
      </x:c>
      <x:c r="E422" t="str">
        <x:f>Rates_Raw!F422</x:f>
        <x:v>021</x:v>
      </x:c>
      <x:c r="F422" t="n">
        <x:f>COUNTIF(Rates_Raw!$AF$5:$AF$464,B422)</x:f>
        <x:v>1</x:v>
      </x:c>
      <x:c r="G422" t="str">
        <x:f>IF(F422=1,"UNIQUE",IF(COUNTIFS(Rates_Raw!$AF$5:$AF$464,B422,Rates_Raw!$H$5:$H$464,Rates_Raw!H422,Rates_Raw!$L$5:$L$464,Rates_Raw!L422)=F422,"REPEATED SOURCE ROW","CONFLICTING KEY"))</x:f>
        <x:v>UNIQUE</x:v>
      </x:c>
      <x:c r="H422" t="str">
        <x:f>IF(F422&gt;1,"REVIEW","OK")</x:f>
        <x:v>OK</x:v>
      </x:c>
      <x:c r="I422" t="str">
        <x:f>Rates_Raw!H422</x:f>
        <x:v>1370A</x:v>
      </x:c>
      <x:c r="J422" t="str">
        <x:f>Rates_Raw!L422</x:f>
        <x:v>$57.7125</x:v>
      </x:c>
    </x:row>
    <x:row r="423">
      <x:c r="A423" t="n">
        <x:f>Rates_Raw!A423</x:f>
        <x:v>29872</x:v>
      </x:c>
      <x:c r="B423" t="str">
        <x:f>Rates_Raw!AF423</x:f>
        <x:v>1370|SFMTA|2025-01-04</x:v>
      </x:c>
      <x:c r="C423" t="str">
        <x:f>Rates_Raw!D423</x:f>
        <x:v>1370</x:v>
      </x:c>
      <x:c r="D423" t="str">
        <x:f>Rates_Raw!C423</x:f>
        <x:v>2025/01/04</x:v>
      </x:c>
      <x:c r="E423" t="str">
        <x:f>Rates_Raw!F423</x:f>
        <x:v>021</x:v>
      </x:c>
      <x:c r="F423" t="n">
        <x:f>COUNTIF(Rates_Raw!$AF$5:$AF$464,B423)</x:f>
        <x:v>1</x:v>
      </x:c>
      <x:c r="G423" t="str">
        <x:f>IF(F423=1,"UNIQUE",IF(COUNTIFS(Rates_Raw!$AF$5:$AF$464,B423,Rates_Raw!$H$5:$H$464,Rates_Raw!H423,Rates_Raw!$L$5:$L$464,Rates_Raw!L423)=F423,"REPEATED SOURCE ROW","CONFLICTING KEY"))</x:f>
        <x:v>UNIQUE</x:v>
      </x:c>
      <x:c r="H423" t="str">
        <x:f>IF(F423&gt;1,"REVIEW","OK")</x:f>
        <x:v>OK</x:v>
      </x:c>
      <x:c r="I423" t="str">
        <x:f>Rates_Raw!H423</x:f>
        <x:v>1370A</x:v>
      </x:c>
      <x:c r="J423" t="str">
        <x:f>Rates_Raw!L423</x:f>
        <x:v>$57.7125</x:v>
      </x:c>
    </x:row>
    <x:row r="424">
      <x:c r="A424" t="n">
        <x:f>Rates_Raw!A424</x:f>
        <x:v>31584</x:v>
      </x:c>
      <x:c r="B424" t="str">
        <x:f>Rates_Raw!AF424</x:f>
        <x:v>1370|COMMN|2025-07-01</x:v>
      </x:c>
      <x:c r="C424" t="str">
        <x:f>Rates_Raw!D424</x:f>
        <x:v>1370</x:v>
      </x:c>
      <x:c r="D424" t="str">
        <x:f>Rates_Raw!C424</x:f>
        <x:v>2025/07/01</x:v>
      </x:c>
      <x:c r="E424" t="str">
        <x:f>Rates_Raw!F424</x:f>
        <x:v>021</x:v>
      </x:c>
      <x:c r="F424" t="n">
        <x:f>COUNTIF(Rates_Raw!$AF$5:$AF$464,B424)</x:f>
        <x:v>1</x:v>
      </x:c>
      <x:c r="G424" t="str">
        <x:f>IF(F424=1,"UNIQUE",IF(COUNTIFS(Rates_Raw!$AF$5:$AF$464,B424,Rates_Raw!$H$5:$H$464,Rates_Raw!H424,Rates_Raw!$L$5:$L$464,Rates_Raw!L424)=F424,"REPEATED SOURCE ROW","CONFLICTING KEY"))</x:f>
        <x:v>UNIQUE</x:v>
      </x:c>
      <x:c r="H424" t="str">
        <x:f>IF(F424&gt;1,"REVIEW","OK")</x:f>
        <x:v>OK</x:v>
      </x:c>
      <x:c r="I424" t="str">
        <x:f>Rates_Raw!H424</x:f>
        <x:v>1370B</x:v>
      </x:c>
      <x:c r="J424" t="str">
        <x:f>Rates_Raw!L424</x:f>
        <x:v>$58.8750</x:v>
      </x:c>
    </x:row>
    <x:row r="425">
      <x:c r="A425" t="n">
        <x:f>Rates_Raw!A425</x:f>
        <x:v>31585</x:v>
      </x:c>
      <x:c r="B425" t="str">
        <x:f>Rates_Raw!AF425</x:f>
        <x:v>1370|SFMTA|2025-07-01</x:v>
      </x:c>
      <x:c r="C425" t="str">
        <x:f>Rates_Raw!D425</x:f>
        <x:v>1370</x:v>
      </x:c>
      <x:c r="D425" t="str">
        <x:f>Rates_Raw!C425</x:f>
        <x:v>2025/07/01</x:v>
      </x:c>
      <x:c r="E425" t="str">
        <x:f>Rates_Raw!F425</x:f>
        <x:v>021</x:v>
      </x:c>
      <x:c r="F425" t="n">
        <x:f>COUNTIF(Rates_Raw!$AF$5:$AF$464,B425)</x:f>
        <x:v>1</x:v>
      </x:c>
      <x:c r="G425" t="str">
        <x:f>IF(F425=1,"UNIQUE",IF(COUNTIFS(Rates_Raw!$AF$5:$AF$464,B425,Rates_Raw!$H$5:$H$464,Rates_Raw!H425,Rates_Raw!$L$5:$L$464,Rates_Raw!L425)=F425,"REPEATED SOURCE ROW","CONFLICTING KEY"))</x:f>
        <x:v>UNIQUE</x:v>
      </x:c>
      <x:c r="H425" t="str">
        <x:f>IF(F425&gt;1,"REVIEW","OK")</x:f>
        <x:v>OK</x:v>
      </x:c>
      <x:c r="I425" t="str">
        <x:f>Rates_Raw!H425</x:f>
        <x:v>1370B</x:v>
      </x:c>
      <x:c r="J425" t="str">
        <x:f>Rates_Raw!L425</x:f>
        <x:v>$58.8750</x:v>
      </x:c>
    </x:row>
    <x:row r="426">
      <x:c r="A426" t="n">
        <x:f>Rates_Raw!A426</x:f>
        <x:v>33269</x:v>
      </x:c>
      <x:c r="B426" t="str">
        <x:f>Rates_Raw!AF426</x:f>
        <x:v>1370|COMMN|2026-01-03</x:v>
      </x:c>
      <x:c r="C426" t="str">
        <x:f>Rates_Raw!D426</x:f>
        <x:v>1370</x:v>
      </x:c>
      <x:c r="D426" t="str">
        <x:f>Rates_Raw!C426</x:f>
        <x:v>2026/01/03</x:v>
      </x:c>
      <x:c r="E426" t="str">
        <x:f>Rates_Raw!F426</x:f>
        <x:v>021</x:v>
      </x:c>
      <x:c r="F426" t="n">
        <x:f>COUNTIF(Rates_Raw!$AF$5:$AF$464,B426)</x:f>
        <x:v>1</x:v>
      </x:c>
      <x:c r="G426" t="str">
        <x:f>IF(F426=1,"UNIQUE",IF(COUNTIFS(Rates_Raw!$AF$5:$AF$464,B426,Rates_Raw!$H$5:$H$464,Rates_Raw!H426,Rates_Raw!$L$5:$L$464,Rates_Raw!L426)=F426,"REPEATED SOURCE ROW","CONFLICTING KEY"))</x:f>
        <x:v>UNIQUE</x:v>
      </x:c>
      <x:c r="H426" t="str">
        <x:f>IF(F426&gt;1,"REVIEW","OK")</x:f>
        <x:v>OK</x:v>
      </x:c>
      <x:c r="I426" t="str">
        <x:f>Rates_Raw!H426</x:f>
        <x:v>1370C</x:v>
      </x:c>
      <x:c r="J426" t="str">
        <x:f>Rates_Raw!L426</x:f>
        <x:v>$59.7625</x:v>
      </x:c>
    </x:row>
    <x:row r="427">
      <x:c r="A427" t="n">
        <x:f>Rates_Raw!A427</x:f>
        <x:v>33270</x:v>
      </x:c>
      <x:c r="B427" t="str">
        <x:f>Rates_Raw!AF427</x:f>
        <x:v>1370|SFMTA|2026-01-03</x:v>
      </x:c>
      <x:c r="C427" t="str">
        <x:f>Rates_Raw!D427</x:f>
        <x:v>1370</x:v>
      </x:c>
      <x:c r="D427" t="str">
        <x:f>Rates_Raw!C427</x:f>
        <x:v>2026/01/03</x:v>
      </x:c>
      <x:c r="E427" t="str">
        <x:f>Rates_Raw!F427</x:f>
        <x:v>021</x:v>
      </x:c>
      <x:c r="F427" t="n">
        <x:f>COUNTIF(Rates_Raw!$AF$5:$AF$464,B427)</x:f>
        <x:v>1</x:v>
      </x:c>
      <x:c r="G427" t="str">
        <x:f>IF(F427=1,"UNIQUE",IF(COUNTIFS(Rates_Raw!$AF$5:$AF$464,B427,Rates_Raw!$H$5:$H$464,Rates_Raw!H427,Rates_Raw!$L$5:$L$464,Rates_Raw!L427)=F427,"REPEATED SOURCE ROW","CONFLICTING KEY"))</x:f>
        <x:v>UNIQUE</x:v>
      </x:c>
      <x:c r="H427" t="str">
        <x:f>IF(F427&gt;1,"REVIEW","OK")</x:f>
        <x:v>OK</x:v>
      </x:c>
      <x:c r="I427" t="str">
        <x:f>Rates_Raw!H427</x:f>
        <x:v>1370C</x:v>
      </x:c>
      <x:c r="J427" t="str">
        <x:f>Rates_Raw!L427</x:f>
        <x:v>$59.7625</x:v>
      </x:c>
    </x:row>
    <x:row r="428">
      <x:c r="A428" t="n">
        <x:f>Rates_Raw!A428</x:f>
        <x:v>26429</x:v>
      </x:c>
      <x:c r="B428" t="str">
        <x:f>Rates_Raw!AF428</x:f>
        <x:v>1371|COMMN|2024-01-06</x:v>
      </x:c>
      <x:c r="C428" t="str">
        <x:f>Rates_Raw!D428</x:f>
        <x:v>1371</x:v>
      </x:c>
      <x:c r="D428" t="str">
        <x:f>Rates_Raw!C428</x:f>
        <x:v>2024/01/06</x:v>
      </x:c>
      <x:c r="E428" t="str">
        <x:f>Rates_Raw!F428</x:f>
        <x:v>021</x:v>
      </x:c>
      <x:c r="F428" t="n">
        <x:f>COUNTIF(Rates_Raw!$AF$5:$AF$464,B428)</x:f>
        <x:v>1</x:v>
      </x:c>
      <x:c r="G428" t="str">
        <x:f>IF(F428=1,"UNIQUE",IF(COUNTIFS(Rates_Raw!$AF$5:$AF$464,B428,Rates_Raw!$H$5:$H$464,Rates_Raw!H428,Rates_Raw!$L$5:$L$464,Rates_Raw!L428)=F428,"REPEATED SOURCE ROW","CONFLICTING KEY"))</x:f>
        <x:v>UNIQUE</x:v>
      </x:c>
      <x:c r="H428" t="str">
        <x:f>IF(F428&gt;1,"REVIEW","OK")</x:f>
        <x:v>OK</x:v>
      </x:c>
      <x:c r="I428" t="str">
        <x:f>Rates_Raw!H428</x:f>
        <x:v>1371Y</x:v>
      </x:c>
      <x:c r="J428" t="str">
        <x:f>Rates_Raw!L428</x:f>
        <x:v>$60.2625</x:v>
      </x:c>
    </x:row>
    <x:row r="429">
      <x:c r="A429" t="n">
        <x:f>Rates_Raw!A429</x:f>
        <x:v>26430</x:v>
      </x:c>
      <x:c r="B429" t="str">
        <x:f>Rates_Raw!AF429</x:f>
        <x:v>1371|SFMTA|2024-01-06</x:v>
      </x:c>
      <x:c r="C429" t="str">
        <x:f>Rates_Raw!D429</x:f>
        <x:v>1371</x:v>
      </x:c>
      <x:c r="D429" t="str">
        <x:f>Rates_Raw!C429</x:f>
        <x:v>2024/01/06</x:v>
      </x:c>
      <x:c r="E429" t="str">
        <x:f>Rates_Raw!F429</x:f>
        <x:v>021</x:v>
      </x:c>
      <x:c r="F429" t="n">
        <x:f>COUNTIF(Rates_Raw!$AF$5:$AF$464,B429)</x:f>
        <x:v>1</x:v>
      </x:c>
      <x:c r="G429" t="str">
        <x:f>IF(F429=1,"UNIQUE",IF(COUNTIFS(Rates_Raw!$AF$5:$AF$464,B429,Rates_Raw!$H$5:$H$464,Rates_Raw!H429,Rates_Raw!$L$5:$L$464,Rates_Raw!L429)=F429,"REPEATED SOURCE ROW","CONFLICTING KEY"))</x:f>
        <x:v>UNIQUE</x:v>
      </x:c>
      <x:c r="H429" t="str">
        <x:f>IF(F429&gt;1,"REVIEW","OK")</x:f>
        <x:v>OK</x:v>
      </x:c>
      <x:c r="I429" t="str">
        <x:f>Rates_Raw!H429</x:f>
        <x:v>1371Y</x:v>
      </x:c>
      <x:c r="J429" t="str">
        <x:f>Rates_Raw!L429</x:f>
        <x:v>$60.2625</x:v>
      </x:c>
    </x:row>
    <x:row r="430">
      <x:c r="A430" t="n">
        <x:f>Rates_Raw!A430</x:f>
        <x:v>28167</x:v>
      </x:c>
      <x:c r="B430" t="str">
        <x:f>Rates_Raw!AF430</x:f>
        <x:v>1371|COMMN|2024-07-01</x:v>
      </x:c>
      <x:c r="C430" t="str">
        <x:f>Rates_Raw!D430</x:f>
        <x:v>1371</x:v>
      </x:c>
      <x:c r="D430" t="str">
        <x:f>Rates_Raw!C430</x:f>
        <x:v>2024/07/01</x:v>
      </x:c>
      <x:c r="E430" t="str">
        <x:f>Rates_Raw!F430</x:f>
        <x:v>021</x:v>
      </x:c>
      <x:c r="F430" t="n">
        <x:f>COUNTIF(Rates_Raw!$AF$5:$AF$464,B430)</x:f>
        <x:v>1</x:v>
      </x:c>
      <x:c r="G430" t="str">
        <x:f>IF(F430=1,"UNIQUE",IF(COUNTIFS(Rates_Raw!$AF$5:$AF$464,B430,Rates_Raw!$H$5:$H$464,Rates_Raw!H430,Rates_Raw!$L$5:$L$464,Rates_Raw!L430)=F430,"REPEATED SOURCE ROW","CONFLICTING KEY"))</x:f>
        <x:v>UNIQUE</x:v>
      </x:c>
      <x:c r="H430" t="str">
        <x:f>IF(F430&gt;1,"REVIEW","OK")</x:f>
        <x:v>OK</x:v>
      </x:c>
      <x:c r="I430" t="str">
        <x:f>Rates_Raw!H430</x:f>
        <x:v>1371Z</x:v>
      </x:c>
      <x:c r="J430" t="str">
        <x:f>Rates_Raw!L430</x:f>
        <x:v>$61.1625</x:v>
      </x:c>
    </x:row>
    <x:row r="431">
      <x:c r="A431" t="n">
        <x:f>Rates_Raw!A431</x:f>
        <x:v>28168</x:v>
      </x:c>
      <x:c r="B431" t="str">
        <x:f>Rates_Raw!AF431</x:f>
        <x:v>1371|SFMTA|2024-07-01</x:v>
      </x:c>
      <x:c r="C431" t="str">
        <x:f>Rates_Raw!D431</x:f>
        <x:v>1371</x:v>
      </x:c>
      <x:c r="D431" t="str">
        <x:f>Rates_Raw!C431</x:f>
        <x:v>2024/07/01</x:v>
      </x:c>
      <x:c r="E431" t="str">
        <x:f>Rates_Raw!F431</x:f>
        <x:v>021</x:v>
      </x:c>
      <x:c r="F431" t="n">
        <x:f>COUNTIF(Rates_Raw!$AF$5:$AF$464,B431)</x:f>
        <x:v>1</x:v>
      </x:c>
      <x:c r="G431" t="str">
        <x:f>IF(F431=1,"UNIQUE",IF(COUNTIFS(Rates_Raw!$AF$5:$AF$464,B431,Rates_Raw!$H$5:$H$464,Rates_Raw!H431,Rates_Raw!$L$5:$L$464,Rates_Raw!L431)=F431,"REPEATED SOURCE ROW","CONFLICTING KEY"))</x:f>
        <x:v>UNIQUE</x:v>
      </x:c>
      <x:c r="H431" t="str">
        <x:f>IF(F431&gt;1,"REVIEW","OK")</x:f>
        <x:v>OK</x:v>
      </x:c>
      <x:c r="I431" t="str">
        <x:f>Rates_Raw!H431</x:f>
        <x:v>1371Z</x:v>
      </x:c>
      <x:c r="J431" t="str">
        <x:f>Rates_Raw!L431</x:f>
        <x:v>$61.1625</x:v>
      </x:c>
    </x:row>
    <x:row r="432">
      <x:c r="A432" t="n">
        <x:f>Rates_Raw!A432</x:f>
        <x:v>29873</x:v>
      </x:c>
      <x:c r="B432" t="str">
        <x:f>Rates_Raw!AF432</x:f>
        <x:v>1371|COMMN|2025-01-04</x:v>
      </x:c>
      <x:c r="C432" t="str">
        <x:f>Rates_Raw!D432</x:f>
        <x:v>1371</x:v>
      </x:c>
      <x:c r="D432" t="str">
        <x:f>Rates_Raw!C432</x:f>
        <x:v>2025/01/04</x:v>
      </x:c>
      <x:c r="E432" t="str">
        <x:f>Rates_Raw!F432</x:f>
        <x:v>021</x:v>
      </x:c>
      <x:c r="F432" t="n">
        <x:f>COUNTIF(Rates_Raw!$AF$5:$AF$464,B432)</x:f>
        <x:v>1</x:v>
      </x:c>
      <x:c r="G432" t="str">
        <x:f>IF(F432=1,"UNIQUE",IF(COUNTIFS(Rates_Raw!$AF$5:$AF$464,B432,Rates_Raw!$H$5:$H$464,Rates_Raw!H432,Rates_Raw!$L$5:$L$464,Rates_Raw!L432)=F432,"REPEATED SOURCE ROW","CONFLICTING KEY"))</x:f>
        <x:v>UNIQUE</x:v>
      </x:c>
      <x:c r="H432" t="str">
        <x:f>IF(F432&gt;1,"REVIEW","OK")</x:f>
        <x:v>OK</x:v>
      </x:c>
      <x:c r="I432" t="str">
        <x:f>Rates_Raw!H432</x:f>
        <x:v>1371A</x:v>
      </x:c>
      <x:c r="J432" t="str">
        <x:f>Rates_Raw!L432</x:f>
        <x:v>$62.0750</x:v>
      </x:c>
    </x:row>
    <x:row r="433">
      <x:c r="A433" t="n">
        <x:f>Rates_Raw!A433</x:f>
        <x:v>29874</x:v>
      </x:c>
      <x:c r="B433" t="str">
        <x:f>Rates_Raw!AF433</x:f>
        <x:v>1371|SFMTA|2025-01-04</x:v>
      </x:c>
      <x:c r="C433" t="str">
        <x:f>Rates_Raw!D433</x:f>
        <x:v>1371</x:v>
      </x:c>
      <x:c r="D433" t="str">
        <x:f>Rates_Raw!C433</x:f>
        <x:v>2025/01/04</x:v>
      </x:c>
      <x:c r="E433" t="str">
        <x:f>Rates_Raw!F433</x:f>
        <x:v>021</x:v>
      </x:c>
      <x:c r="F433" t="n">
        <x:f>COUNTIF(Rates_Raw!$AF$5:$AF$464,B433)</x:f>
        <x:v>1</x:v>
      </x:c>
      <x:c r="G433" t="str">
        <x:f>IF(F433=1,"UNIQUE",IF(COUNTIFS(Rates_Raw!$AF$5:$AF$464,B433,Rates_Raw!$H$5:$H$464,Rates_Raw!H433,Rates_Raw!$L$5:$L$464,Rates_Raw!L433)=F433,"REPEATED SOURCE ROW","CONFLICTING KEY"))</x:f>
        <x:v>UNIQUE</x:v>
      </x:c>
      <x:c r="H433" t="str">
        <x:f>IF(F433&gt;1,"REVIEW","OK")</x:f>
        <x:v>OK</x:v>
      </x:c>
      <x:c r="I433" t="str">
        <x:f>Rates_Raw!H433</x:f>
        <x:v>1371A</x:v>
      </x:c>
      <x:c r="J433" t="str">
        <x:f>Rates_Raw!L433</x:f>
        <x:v>$62.0750</x:v>
      </x:c>
    </x:row>
    <x:row r="434">
      <x:c r="A434" t="n">
        <x:f>Rates_Raw!A434</x:f>
        <x:v>31586</x:v>
      </x:c>
      <x:c r="B434" t="str">
        <x:f>Rates_Raw!AF434</x:f>
        <x:v>1371|COMMN|2025-07-01</x:v>
      </x:c>
      <x:c r="C434" t="str">
        <x:f>Rates_Raw!D434</x:f>
        <x:v>1371</x:v>
      </x:c>
      <x:c r="D434" t="str">
        <x:f>Rates_Raw!C434</x:f>
        <x:v>2025/07/01</x:v>
      </x:c>
      <x:c r="E434" t="str">
        <x:f>Rates_Raw!F434</x:f>
        <x:v>021</x:v>
      </x:c>
      <x:c r="F434" t="n">
        <x:f>COUNTIF(Rates_Raw!$AF$5:$AF$464,B434)</x:f>
        <x:v>1</x:v>
      </x:c>
      <x:c r="G434" t="str">
        <x:f>IF(F434=1,"UNIQUE",IF(COUNTIFS(Rates_Raw!$AF$5:$AF$464,B434,Rates_Raw!$H$5:$H$464,Rates_Raw!H434,Rates_Raw!$L$5:$L$464,Rates_Raw!L434)=F434,"REPEATED SOURCE ROW","CONFLICTING KEY"))</x:f>
        <x:v>UNIQUE</x:v>
      </x:c>
      <x:c r="H434" t="str">
        <x:f>IF(F434&gt;1,"REVIEW","OK")</x:f>
        <x:v>OK</x:v>
      </x:c>
      <x:c r="I434" t="str">
        <x:f>Rates_Raw!H434</x:f>
        <x:v>1371B</x:v>
      </x:c>
      <x:c r="J434" t="str">
        <x:f>Rates_Raw!L434</x:f>
        <x:v>$63.3250</x:v>
      </x:c>
    </x:row>
    <x:row r="435">
      <x:c r="A435" t="n">
        <x:f>Rates_Raw!A435</x:f>
        <x:v>31587</x:v>
      </x:c>
      <x:c r="B435" t="str">
        <x:f>Rates_Raw!AF435</x:f>
        <x:v>1371|SFMTA|2025-07-01</x:v>
      </x:c>
      <x:c r="C435" t="str">
        <x:f>Rates_Raw!D435</x:f>
        <x:v>1371</x:v>
      </x:c>
      <x:c r="D435" t="str">
        <x:f>Rates_Raw!C435</x:f>
        <x:v>2025/07/01</x:v>
      </x:c>
      <x:c r="E435" t="str">
        <x:f>Rates_Raw!F435</x:f>
        <x:v>021</x:v>
      </x:c>
      <x:c r="F435" t="n">
        <x:f>COUNTIF(Rates_Raw!$AF$5:$AF$464,B435)</x:f>
        <x:v>1</x:v>
      </x:c>
      <x:c r="G435" t="str">
        <x:f>IF(F435=1,"UNIQUE",IF(COUNTIFS(Rates_Raw!$AF$5:$AF$464,B435,Rates_Raw!$H$5:$H$464,Rates_Raw!H435,Rates_Raw!$L$5:$L$464,Rates_Raw!L435)=F435,"REPEATED SOURCE ROW","CONFLICTING KEY"))</x:f>
        <x:v>UNIQUE</x:v>
      </x:c>
      <x:c r="H435" t="str">
        <x:f>IF(F435&gt;1,"REVIEW","OK")</x:f>
        <x:v>OK</x:v>
      </x:c>
      <x:c r="I435" t="str">
        <x:f>Rates_Raw!H435</x:f>
        <x:v>1371B</x:v>
      </x:c>
      <x:c r="J435" t="str">
        <x:f>Rates_Raw!L435</x:f>
        <x:v>$63.3250</x:v>
      </x:c>
    </x:row>
    <x:row r="436">
      <x:c r="A436" t="n">
        <x:f>Rates_Raw!A436</x:f>
        <x:v>33271</x:v>
      </x:c>
      <x:c r="B436" t="str">
        <x:f>Rates_Raw!AF436</x:f>
        <x:v>1371|COMMN|2026-01-03</x:v>
      </x:c>
      <x:c r="C436" t="str">
        <x:f>Rates_Raw!D436</x:f>
        <x:v>1371</x:v>
      </x:c>
      <x:c r="D436" t="str">
        <x:f>Rates_Raw!C436</x:f>
        <x:v>2026/01/03</x:v>
      </x:c>
      <x:c r="E436" t="str">
        <x:f>Rates_Raw!F436</x:f>
        <x:v>021</x:v>
      </x:c>
      <x:c r="F436" t="n">
        <x:f>COUNTIF(Rates_Raw!$AF$5:$AF$464,B436)</x:f>
        <x:v>1</x:v>
      </x:c>
      <x:c r="G436" t="str">
        <x:f>IF(F436=1,"UNIQUE",IF(COUNTIFS(Rates_Raw!$AF$5:$AF$464,B436,Rates_Raw!$H$5:$H$464,Rates_Raw!H436,Rates_Raw!$L$5:$L$464,Rates_Raw!L436)=F436,"REPEATED SOURCE ROW","CONFLICTING KEY"))</x:f>
        <x:v>UNIQUE</x:v>
      </x:c>
      <x:c r="H436" t="str">
        <x:f>IF(F436&gt;1,"REVIEW","OK")</x:f>
        <x:v>OK</x:v>
      </x:c>
      <x:c r="I436" t="str">
        <x:f>Rates_Raw!H436</x:f>
        <x:v>1371C</x:v>
      </x:c>
      <x:c r="J436" t="str">
        <x:f>Rates_Raw!L436</x:f>
        <x:v>$64.2750</x:v>
      </x:c>
    </x:row>
    <x:row r="437">
      <x:c r="A437" t="n">
        <x:f>Rates_Raw!A437</x:f>
        <x:v>33272</x:v>
      </x:c>
      <x:c r="B437" t="str">
        <x:f>Rates_Raw!AF437</x:f>
        <x:v>1371|SFMTA|2026-01-03</x:v>
      </x:c>
      <x:c r="C437" t="str">
        <x:f>Rates_Raw!D437</x:f>
        <x:v>1371</x:v>
      </x:c>
      <x:c r="D437" t="str">
        <x:f>Rates_Raw!C437</x:f>
        <x:v>2026/01/03</x:v>
      </x:c>
      <x:c r="E437" t="str">
        <x:f>Rates_Raw!F437</x:f>
        <x:v>021</x:v>
      </x:c>
      <x:c r="F437" t="n">
        <x:f>COUNTIF(Rates_Raw!$AF$5:$AF$464,B437)</x:f>
        <x:v>1</x:v>
      </x:c>
      <x:c r="G437" t="str">
        <x:f>IF(F437=1,"UNIQUE",IF(COUNTIFS(Rates_Raw!$AF$5:$AF$464,B437,Rates_Raw!$H$5:$H$464,Rates_Raw!H437,Rates_Raw!$L$5:$L$464,Rates_Raw!L437)=F437,"REPEATED SOURCE ROW","CONFLICTING KEY"))</x:f>
        <x:v>UNIQUE</x:v>
      </x:c>
      <x:c r="H437" t="str">
        <x:f>IF(F437&gt;1,"REVIEW","OK")</x:f>
        <x:v>OK</x:v>
      </x:c>
      <x:c r="I437" t="str">
        <x:f>Rates_Raw!H437</x:f>
        <x:v>1371C</x:v>
      </x:c>
      <x:c r="J437" t="str">
        <x:f>Rates_Raw!L437</x:f>
        <x:v>$64.2750</x:v>
      </x:c>
    </x:row>
    <x:row r="438">
      <x:c r="A438" t="n">
        <x:f>Rates_Raw!A438</x:f>
        <x:v>26431</x:v>
      </x:c>
      <x:c r="B438" t="str">
        <x:f>Rates_Raw!AF438</x:f>
        <x:v>1372|COMMN|2024-01-06</x:v>
      </x:c>
      <x:c r="C438" t="str">
        <x:f>Rates_Raw!D438</x:f>
        <x:v>1372</x:v>
      </x:c>
      <x:c r="D438" t="str">
        <x:f>Rates_Raw!C438</x:f>
        <x:v>2024/01/06</x:v>
      </x:c>
      <x:c r="E438" t="str">
        <x:f>Rates_Raw!F438</x:f>
        <x:v>351</x:v>
      </x:c>
      <x:c r="F438" t="n">
        <x:f>COUNTIF(Rates_Raw!$AF$5:$AF$464,B438)</x:f>
        <x:v>1</x:v>
      </x:c>
      <x:c r="G438" t="str">
        <x:f>IF(F438=1,"UNIQUE",IF(COUNTIFS(Rates_Raw!$AF$5:$AF$464,B438,Rates_Raw!$H$5:$H$464,Rates_Raw!H438,Rates_Raw!$L$5:$L$464,Rates_Raw!L438)=F438,"REPEATED SOURCE ROW","CONFLICTING KEY"))</x:f>
        <x:v>UNIQUE</x:v>
      </x:c>
      <x:c r="H438" t="str">
        <x:f>IF(F438&gt;1,"REVIEW","OK")</x:f>
        <x:v>OK</x:v>
      </x:c>
      <x:c r="I438" t="str">
        <x:f>Rates_Raw!H438</x:f>
        <x:v>1372Y</x:v>
      </x:c>
      <x:c r="J438" t="str">
        <x:f>Rates_Raw!L438</x:f>
        <x:v>$64.5250</x:v>
      </x:c>
    </x:row>
    <x:row r="439">
      <x:c r="A439" t="n">
        <x:f>Rates_Raw!A439</x:f>
        <x:v>26432</x:v>
      </x:c>
      <x:c r="B439" t="str">
        <x:f>Rates_Raw!AF439</x:f>
        <x:v>1372|SFMTA|2024-01-06</x:v>
      </x:c>
      <x:c r="C439" t="str">
        <x:f>Rates_Raw!D439</x:f>
        <x:v>1372</x:v>
      </x:c>
      <x:c r="D439" t="str">
        <x:f>Rates_Raw!C439</x:f>
        <x:v>2024/01/06</x:v>
      </x:c>
      <x:c r="E439" t="str">
        <x:f>Rates_Raw!F439</x:f>
        <x:v>351</x:v>
      </x:c>
      <x:c r="F439" t="n">
        <x:f>COUNTIF(Rates_Raw!$AF$5:$AF$464,B439)</x:f>
        <x:v>1</x:v>
      </x:c>
      <x:c r="G439" t="str">
        <x:f>IF(F439=1,"UNIQUE",IF(COUNTIFS(Rates_Raw!$AF$5:$AF$464,B439,Rates_Raw!$H$5:$H$464,Rates_Raw!H439,Rates_Raw!$L$5:$L$464,Rates_Raw!L439)=F439,"REPEATED SOURCE ROW","CONFLICTING KEY"))</x:f>
        <x:v>UNIQUE</x:v>
      </x:c>
      <x:c r="H439" t="str">
        <x:f>IF(F439&gt;1,"REVIEW","OK")</x:f>
        <x:v>OK</x:v>
      </x:c>
      <x:c r="I439" t="str">
        <x:f>Rates_Raw!H439</x:f>
        <x:v>1372Y</x:v>
      </x:c>
      <x:c r="J439" t="str">
        <x:f>Rates_Raw!L439</x:f>
        <x:v>$64.5250</x:v>
      </x:c>
    </x:row>
    <x:row r="440">
      <x:c r="A440" t="n">
        <x:f>Rates_Raw!A440</x:f>
        <x:v>28169</x:v>
      </x:c>
      <x:c r="B440" t="str">
        <x:f>Rates_Raw!AF440</x:f>
        <x:v>1372|COMMN|2024-07-01</x:v>
      </x:c>
      <x:c r="C440" t="str">
        <x:f>Rates_Raw!D440</x:f>
        <x:v>1372</x:v>
      </x:c>
      <x:c r="D440" t="str">
        <x:f>Rates_Raw!C440</x:f>
        <x:v>2024/07/01</x:v>
      </x:c>
      <x:c r="E440" t="str">
        <x:f>Rates_Raw!F440</x:f>
        <x:v>351</x:v>
      </x:c>
      <x:c r="F440" t="n">
        <x:f>COUNTIF(Rates_Raw!$AF$5:$AF$464,B440)</x:f>
        <x:v>1</x:v>
      </x:c>
      <x:c r="G440" t="str">
        <x:f>IF(F440=1,"UNIQUE",IF(COUNTIFS(Rates_Raw!$AF$5:$AF$464,B440,Rates_Raw!$H$5:$H$464,Rates_Raw!H440,Rates_Raw!$L$5:$L$464,Rates_Raw!L440)=F440,"REPEATED SOURCE ROW","CONFLICTING KEY"))</x:f>
        <x:v>UNIQUE</x:v>
      </x:c>
      <x:c r="H440" t="str">
        <x:f>IF(F440&gt;1,"REVIEW","OK")</x:f>
        <x:v>OK</x:v>
      </x:c>
      <x:c r="I440" t="str">
        <x:f>Rates_Raw!H440</x:f>
        <x:v>1372Z</x:v>
      </x:c>
      <x:c r="J440" t="str">
        <x:f>Rates_Raw!L440</x:f>
        <x:v>$65.4875</x:v>
      </x:c>
    </x:row>
    <x:row r="441">
      <x:c r="A441" t="n">
        <x:f>Rates_Raw!A441</x:f>
        <x:v>28170</x:v>
      </x:c>
      <x:c r="B441" t="str">
        <x:f>Rates_Raw!AF441</x:f>
        <x:v>1372|SFMTA|2024-07-01</x:v>
      </x:c>
      <x:c r="C441" t="str">
        <x:f>Rates_Raw!D441</x:f>
        <x:v>1372</x:v>
      </x:c>
      <x:c r="D441" t="str">
        <x:f>Rates_Raw!C441</x:f>
        <x:v>2024/07/01</x:v>
      </x:c>
      <x:c r="E441" t="str">
        <x:f>Rates_Raw!F441</x:f>
        <x:v>351</x:v>
      </x:c>
      <x:c r="F441" t="n">
        <x:f>COUNTIF(Rates_Raw!$AF$5:$AF$464,B441)</x:f>
        <x:v>1</x:v>
      </x:c>
      <x:c r="G441" t="str">
        <x:f>IF(F441=1,"UNIQUE",IF(COUNTIFS(Rates_Raw!$AF$5:$AF$464,B441,Rates_Raw!$H$5:$H$464,Rates_Raw!H441,Rates_Raw!$L$5:$L$464,Rates_Raw!L441)=F441,"REPEATED SOURCE ROW","CONFLICTING KEY"))</x:f>
        <x:v>UNIQUE</x:v>
      </x:c>
      <x:c r="H441" t="str">
        <x:f>IF(F441&gt;1,"REVIEW","OK")</x:f>
        <x:v>OK</x:v>
      </x:c>
      <x:c r="I441" t="str">
        <x:f>Rates_Raw!H441</x:f>
        <x:v>1372Z</x:v>
      </x:c>
      <x:c r="J441" t="str">
        <x:f>Rates_Raw!L441</x:f>
        <x:v>$65.4875</x:v>
      </x:c>
    </x:row>
    <x:row r="442">
      <x:c r="A442" t="n">
        <x:f>Rates_Raw!A442</x:f>
        <x:v>29875</x:v>
      </x:c>
      <x:c r="B442" t="str">
        <x:f>Rates_Raw!AF442</x:f>
        <x:v>1372|COMMN|2025-01-04</x:v>
      </x:c>
      <x:c r="C442" t="str">
        <x:f>Rates_Raw!D442</x:f>
        <x:v>1372</x:v>
      </x:c>
      <x:c r="D442" t="str">
        <x:f>Rates_Raw!C442</x:f>
        <x:v>2025/01/04</x:v>
      </x:c>
      <x:c r="E442" t="str">
        <x:f>Rates_Raw!F442</x:f>
        <x:v>351</x:v>
      </x:c>
      <x:c r="F442" t="n">
        <x:f>COUNTIF(Rates_Raw!$AF$5:$AF$464,B442)</x:f>
        <x:v>1</x:v>
      </x:c>
      <x:c r="G442" t="str">
        <x:f>IF(F442=1,"UNIQUE",IF(COUNTIFS(Rates_Raw!$AF$5:$AF$464,B442,Rates_Raw!$H$5:$H$464,Rates_Raw!H442,Rates_Raw!$L$5:$L$464,Rates_Raw!L442)=F442,"REPEATED SOURCE ROW","CONFLICTING KEY"))</x:f>
        <x:v>UNIQUE</x:v>
      </x:c>
      <x:c r="H442" t="str">
        <x:f>IF(F442&gt;1,"REVIEW","OK")</x:f>
        <x:v>OK</x:v>
      </x:c>
      <x:c r="I442" t="str">
        <x:f>Rates_Raw!H442</x:f>
        <x:v>1372A</x:v>
      </x:c>
      <x:c r="J442" t="str">
        <x:f>Rates_Raw!L442</x:f>
        <x:v>$66.4750</x:v>
      </x:c>
    </x:row>
    <x:row r="443">
      <x:c r="A443" t="n">
        <x:f>Rates_Raw!A443</x:f>
        <x:v>29876</x:v>
      </x:c>
      <x:c r="B443" t="str">
        <x:f>Rates_Raw!AF443</x:f>
        <x:v>1372|SFMTA|2025-01-04</x:v>
      </x:c>
      <x:c r="C443" t="str">
        <x:f>Rates_Raw!D443</x:f>
        <x:v>1372</x:v>
      </x:c>
      <x:c r="D443" t="str">
        <x:f>Rates_Raw!C443</x:f>
        <x:v>2025/01/04</x:v>
      </x:c>
      <x:c r="E443" t="str">
        <x:f>Rates_Raw!F443</x:f>
        <x:v>351</x:v>
      </x:c>
      <x:c r="F443" t="n">
        <x:f>COUNTIF(Rates_Raw!$AF$5:$AF$464,B443)</x:f>
        <x:v>1</x:v>
      </x:c>
      <x:c r="G443" t="str">
        <x:f>IF(F443=1,"UNIQUE",IF(COUNTIFS(Rates_Raw!$AF$5:$AF$464,B443,Rates_Raw!$H$5:$H$464,Rates_Raw!H443,Rates_Raw!$L$5:$L$464,Rates_Raw!L443)=F443,"REPEATED SOURCE ROW","CONFLICTING KEY"))</x:f>
        <x:v>UNIQUE</x:v>
      </x:c>
      <x:c r="H443" t="str">
        <x:f>IF(F443&gt;1,"REVIEW","OK")</x:f>
        <x:v>OK</x:v>
      </x:c>
      <x:c r="I443" t="str">
        <x:f>Rates_Raw!H443</x:f>
        <x:v>1372A</x:v>
      </x:c>
      <x:c r="J443" t="str">
        <x:f>Rates_Raw!L443</x:f>
        <x:v>$66.4750</x:v>
      </x:c>
    </x:row>
    <x:row r="444">
      <x:c r="A444" t="n">
        <x:f>Rates_Raw!A444</x:f>
        <x:v>31588</x:v>
      </x:c>
      <x:c r="B444" t="str">
        <x:f>Rates_Raw!AF444</x:f>
        <x:v>1372|COMMN|2025-07-01</x:v>
      </x:c>
      <x:c r="C444" t="str">
        <x:f>Rates_Raw!D444</x:f>
        <x:v>1372</x:v>
      </x:c>
      <x:c r="D444" t="str">
        <x:f>Rates_Raw!C444</x:f>
        <x:v>2025/07/01</x:v>
      </x:c>
      <x:c r="E444" t="str">
        <x:f>Rates_Raw!F444</x:f>
        <x:v>351</x:v>
      </x:c>
      <x:c r="F444" t="n">
        <x:f>COUNTIF(Rates_Raw!$AF$5:$AF$464,B444)</x:f>
        <x:v>1</x:v>
      </x:c>
      <x:c r="G444" t="str">
        <x:f>IF(F444=1,"UNIQUE",IF(COUNTIFS(Rates_Raw!$AF$5:$AF$464,B444,Rates_Raw!$H$5:$H$464,Rates_Raw!H444,Rates_Raw!$L$5:$L$464,Rates_Raw!L444)=F444,"REPEATED SOURCE ROW","CONFLICTING KEY"))</x:f>
        <x:v>UNIQUE</x:v>
      </x:c>
      <x:c r="H444" t="str">
        <x:f>IF(F444&gt;1,"REVIEW","OK")</x:f>
        <x:v>OK</x:v>
      </x:c>
      <x:c r="I444" t="str">
        <x:f>Rates_Raw!H444</x:f>
        <x:v>1372B</x:v>
      </x:c>
      <x:c r="J444" t="str">
        <x:f>Rates_Raw!L444</x:f>
        <x:v>$67.8125</x:v>
      </x:c>
    </x:row>
    <x:row r="445">
      <x:c r="A445" t="n">
        <x:f>Rates_Raw!A445</x:f>
        <x:v>31589</x:v>
      </x:c>
      <x:c r="B445" t="str">
        <x:f>Rates_Raw!AF445</x:f>
        <x:v>1372|SFMTA|2025-07-01</x:v>
      </x:c>
      <x:c r="C445" t="str">
        <x:f>Rates_Raw!D445</x:f>
        <x:v>1372</x:v>
      </x:c>
      <x:c r="D445" t="str">
        <x:f>Rates_Raw!C445</x:f>
        <x:v>2025/07/01</x:v>
      </x:c>
      <x:c r="E445" t="str">
        <x:f>Rates_Raw!F445</x:f>
        <x:v>351</x:v>
      </x:c>
      <x:c r="F445" t="n">
        <x:f>COUNTIF(Rates_Raw!$AF$5:$AF$464,B445)</x:f>
        <x:v>1</x:v>
      </x:c>
      <x:c r="G445" t="str">
        <x:f>IF(F445=1,"UNIQUE",IF(COUNTIFS(Rates_Raw!$AF$5:$AF$464,B445,Rates_Raw!$H$5:$H$464,Rates_Raw!H445,Rates_Raw!$L$5:$L$464,Rates_Raw!L445)=F445,"REPEATED SOURCE ROW","CONFLICTING KEY"))</x:f>
        <x:v>UNIQUE</x:v>
      </x:c>
      <x:c r="H445" t="str">
        <x:f>IF(F445&gt;1,"REVIEW","OK")</x:f>
        <x:v>OK</x:v>
      </x:c>
      <x:c r="I445" t="str">
        <x:f>Rates_Raw!H445</x:f>
        <x:v>1372B</x:v>
      </x:c>
      <x:c r="J445" t="str">
        <x:f>Rates_Raw!L445</x:f>
        <x:v>$67.8125</x:v>
      </x:c>
    </x:row>
    <x:row r="446">
      <x:c r="A446" t="n">
        <x:f>Rates_Raw!A446</x:f>
        <x:v>33273</x:v>
      </x:c>
      <x:c r="B446" t="str">
        <x:f>Rates_Raw!AF446</x:f>
        <x:v>1372|COMMN|2026-01-03</x:v>
      </x:c>
      <x:c r="C446" t="str">
        <x:f>Rates_Raw!D446</x:f>
        <x:v>1372</x:v>
      </x:c>
      <x:c r="D446" t="str">
        <x:f>Rates_Raw!C446</x:f>
        <x:v>2026/01/03</x:v>
      </x:c>
      <x:c r="E446" t="str">
        <x:f>Rates_Raw!F446</x:f>
        <x:v>351</x:v>
      </x:c>
      <x:c r="F446" t="n">
        <x:f>COUNTIF(Rates_Raw!$AF$5:$AF$464,B446)</x:f>
        <x:v>1</x:v>
      </x:c>
      <x:c r="G446" t="str">
        <x:f>IF(F446=1,"UNIQUE",IF(COUNTIFS(Rates_Raw!$AF$5:$AF$464,B446,Rates_Raw!$H$5:$H$464,Rates_Raw!H446,Rates_Raw!$L$5:$L$464,Rates_Raw!L446)=F446,"REPEATED SOURCE ROW","CONFLICTING KEY"))</x:f>
        <x:v>UNIQUE</x:v>
      </x:c>
      <x:c r="H446" t="str">
        <x:f>IF(F446&gt;1,"REVIEW","OK")</x:f>
        <x:v>OK</x:v>
      </x:c>
      <x:c r="I446" t="str">
        <x:f>Rates_Raw!H446</x:f>
        <x:v>1372C</x:v>
      </x:c>
      <x:c r="J446" t="str">
        <x:f>Rates_Raw!L446</x:f>
        <x:v>$68.8250</x:v>
      </x:c>
    </x:row>
    <x:row r="447">
      <x:c r="A447" t="n">
        <x:f>Rates_Raw!A447</x:f>
        <x:v>33274</x:v>
      </x:c>
      <x:c r="B447" t="str">
        <x:f>Rates_Raw!AF447</x:f>
        <x:v>1372|SFMTA|2026-01-03</x:v>
      </x:c>
      <x:c r="C447" t="str">
        <x:f>Rates_Raw!D447</x:f>
        <x:v>1372</x:v>
      </x:c>
      <x:c r="D447" t="str">
        <x:f>Rates_Raw!C447</x:f>
        <x:v>2026/01/03</x:v>
      </x:c>
      <x:c r="E447" t="str">
        <x:f>Rates_Raw!F447</x:f>
        <x:v>351</x:v>
      </x:c>
      <x:c r="F447" t="n">
        <x:f>COUNTIF(Rates_Raw!$AF$5:$AF$464,B447)</x:f>
        <x:v>1</x:v>
      </x:c>
      <x:c r="G447" t="str">
        <x:f>IF(F447=1,"UNIQUE",IF(COUNTIFS(Rates_Raw!$AF$5:$AF$464,B447,Rates_Raw!$H$5:$H$464,Rates_Raw!H447,Rates_Raw!$L$5:$L$464,Rates_Raw!L447)=F447,"REPEATED SOURCE ROW","CONFLICTING KEY"))</x:f>
        <x:v>UNIQUE</x:v>
      </x:c>
      <x:c r="H447" t="str">
        <x:f>IF(F447&gt;1,"REVIEW","OK")</x:f>
        <x:v>OK</x:v>
      </x:c>
      <x:c r="I447" t="str">
        <x:f>Rates_Raw!H447</x:f>
        <x:v>1372C</x:v>
      </x:c>
      <x:c r="J447" t="str">
        <x:f>Rates_Raw!L447</x:f>
        <x:v>$68.8250</x:v>
      </x:c>
    </x:row>
    <x:row r="448">
      <x:c r="A448" t="n">
        <x:f>Rates_Raw!A448</x:f>
        <x:v>12192</x:v>
      </x:c>
      <x:c r="B448" t="str">
        <x:f>Rates_Raw!AF448</x:f>
        <x:v>8578|COMMN|2018-07-01</x:v>
      </x:c>
      <x:c r="C448" t="str">
        <x:f>Rates_Raw!D448</x:f>
        <x:v>8578</x:v>
      </x:c>
      <x:c r="D448" t="str">
        <x:f>Rates_Raw!C448</x:f>
        <x:v>2018/07/01</x:v>
      </x:c>
      <x:c r="E448" t="str">
        <x:f>Rates_Raw!F448</x:f>
        <x:v>351</x:v>
      </x:c>
      <x:c r="F448" t="n">
        <x:f>COUNTIF(Rates_Raw!$AF$5:$AF$464,B448)</x:f>
        <x:v>2</x:v>
      </x:c>
      <x:c r="G448" t="str">
        <x:f>IF(F448=1,"UNIQUE",IF(COUNTIFS(Rates_Raw!$AF$5:$AF$464,B448,Rates_Raw!$H$5:$H$464,Rates_Raw!H448,Rates_Raw!$L$5:$L$464,Rates_Raw!L448)=F448,"REPEATED SOURCE ROW","CONFLICTING KEY"))</x:f>
        <x:v>REPEATED SOURCE ROW</x:v>
      </x:c>
      <x:c r="H448" t="str">
        <x:f>IF(F448&gt;1,"REVIEW","OK")</x:f>
        <x:v>REVIEW</x:v>
      </x:c>
      <x:c r="I448" t="str">
        <x:f>Rates_Raw!H448</x:f>
        <x:v>8578P</x:v>
      </x:c>
      <x:c r="J448" t="str">
        <x:f>Rates_Raw!L448</x:f>
        <x:v>$41.2125</x:v>
      </x:c>
    </x:row>
    <x:row r="449">
      <x:c r="A449" t="n">
        <x:f>Rates_Raw!A449</x:f>
        <x:v>12193</x:v>
      </x:c>
      <x:c r="B449" t="str">
        <x:f>Rates_Raw!AF449</x:f>
        <x:v>8578|COMMN|2018-07-01</x:v>
      </x:c>
      <x:c r="C449" t="str">
        <x:f>Rates_Raw!D449</x:f>
        <x:v>8578</x:v>
      </x:c>
      <x:c r="D449" t="str">
        <x:f>Rates_Raw!C449</x:f>
        <x:v>2018/07/01</x:v>
      </x:c>
      <x:c r="E449" t="str">
        <x:f>Rates_Raw!F449</x:f>
        <x:v>351</x:v>
      </x:c>
      <x:c r="F449" t="n">
        <x:f>COUNTIF(Rates_Raw!$AF$5:$AF$464,B449)</x:f>
        <x:v>2</x:v>
      </x:c>
      <x:c r="G449" t="str">
        <x:f>IF(F449=1,"UNIQUE",IF(COUNTIFS(Rates_Raw!$AF$5:$AF$464,B449,Rates_Raw!$H$5:$H$464,Rates_Raw!H449,Rates_Raw!$L$5:$L$464,Rates_Raw!L449)=F449,"REPEATED SOURCE ROW","CONFLICTING KEY"))</x:f>
        <x:v>REPEATED SOURCE ROW</x:v>
      </x:c>
      <x:c r="H449" t="str">
        <x:f>IF(F449&gt;1,"REVIEW","OK")</x:f>
        <x:v>REVIEW</x:v>
      </x:c>
      <x:c r="I449" t="str">
        <x:f>Rates_Raw!H449</x:f>
        <x:v>8578P</x:v>
      </x:c>
      <x:c r="J449" t="str">
        <x:f>Rates_Raw!L449</x:f>
        <x:v>$41.2125</x:v>
      </x:c>
    </x:row>
    <x:row r="450">
      <x:c r="A450" t="n">
        <x:f>Rates_Raw!A450</x:f>
        <x:v>27795</x:v>
      </x:c>
      <x:c r="B450" t="str">
        <x:f>Rates_Raw!AF450</x:f>
        <x:v>8578|COMMN|2024-01-06</x:v>
      </x:c>
      <x:c r="C450" t="str">
        <x:f>Rates_Raw!D450</x:f>
        <x:v>8578</x:v>
      </x:c>
      <x:c r="D450" t="str">
        <x:f>Rates_Raw!C450</x:f>
        <x:v>2024/01/06</x:v>
      </x:c>
      <x:c r="E450" t="str">
        <x:f>Rates_Raw!F450</x:f>
        <x:v>351</x:v>
      </x:c>
      <x:c r="F450" t="n">
        <x:f>COUNTIF(Rates_Raw!$AF$5:$AF$464,B450)</x:f>
        <x:v>1</x:v>
      </x:c>
      <x:c r="G450" t="str">
        <x:f>IF(F450=1,"UNIQUE",IF(COUNTIFS(Rates_Raw!$AF$5:$AF$464,B450,Rates_Raw!$H$5:$H$464,Rates_Raw!H450,Rates_Raw!$L$5:$L$464,Rates_Raw!L450)=F450,"REPEATED SOURCE ROW","CONFLICTING KEY"))</x:f>
        <x:v>UNIQUE</x:v>
      </x:c>
      <x:c r="H450" t="str">
        <x:f>IF(F450&gt;1,"REVIEW","OK")</x:f>
        <x:v>OK</x:v>
      </x:c>
      <x:c r="I450" t="str">
        <x:f>Rates_Raw!H450</x:f>
        <x:v>8578Y</x:v>
      </x:c>
      <x:c r="J450" t="str">
        <x:f>Rates_Raw!L450</x:f>
        <x:v>$50.6750</x:v>
      </x:c>
    </x:row>
    <x:row r="451">
      <x:c r="A451" t="n">
        <x:f>Rates_Raw!A451</x:f>
        <x:v>29500</x:v>
      </x:c>
      <x:c r="B451" t="str">
        <x:f>Rates_Raw!AF451</x:f>
        <x:v>8578|COMMN|2024-07-01</x:v>
      </x:c>
      <x:c r="C451" t="str">
        <x:f>Rates_Raw!D451</x:f>
        <x:v>8578</x:v>
      </x:c>
      <x:c r="D451" t="str">
        <x:f>Rates_Raw!C451</x:f>
        <x:v>2024/07/01</x:v>
      </x:c>
      <x:c r="E451" t="str">
        <x:f>Rates_Raw!F451</x:f>
        <x:v>351</x:v>
      </x:c>
      <x:c r="F451" t="n">
        <x:f>COUNTIF(Rates_Raw!$AF$5:$AF$464,B451)</x:f>
        <x:v>1</x:v>
      </x:c>
      <x:c r="G451" t="str">
        <x:f>IF(F451=1,"UNIQUE",IF(COUNTIFS(Rates_Raw!$AF$5:$AF$464,B451,Rates_Raw!$H$5:$H$464,Rates_Raw!H451,Rates_Raw!$L$5:$L$464,Rates_Raw!L451)=F451,"REPEATED SOURCE ROW","CONFLICTING KEY"))</x:f>
        <x:v>UNIQUE</x:v>
      </x:c>
      <x:c r="H451" t="str">
        <x:f>IF(F451&gt;1,"REVIEW","OK")</x:f>
        <x:v>OK</x:v>
      </x:c>
      <x:c r="I451" t="str">
        <x:f>Rates_Raw!H451</x:f>
        <x:v>8578Z</x:v>
      </x:c>
      <x:c r="J451" t="str">
        <x:f>Rates_Raw!L451</x:f>
        <x:v>$51.4375</x:v>
      </x:c>
    </x:row>
    <x:row r="452">
      <x:c r="A452" t="n">
        <x:f>Rates_Raw!A452</x:f>
        <x:v>31211</x:v>
      </x:c>
      <x:c r="B452" t="str">
        <x:f>Rates_Raw!AF452</x:f>
        <x:v>8578|COMMN|2025-01-04</x:v>
      </x:c>
      <x:c r="C452" t="str">
        <x:f>Rates_Raw!D452</x:f>
        <x:v>8578</x:v>
      </x:c>
      <x:c r="D452" t="str">
        <x:f>Rates_Raw!C452</x:f>
        <x:v>2025/01/04</x:v>
      </x:c>
      <x:c r="E452" t="str">
        <x:f>Rates_Raw!F452</x:f>
        <x:v>351</x:v>
      </x:c>
      <x:c r="F452" t="n">
        <x:f>COUNTIF(Rates_Raw!$AF$5:$AF$464,B452)</x:f>
        <x:v>1</x:v>
      </x:c>
      <x:c r="G452" t="str">
        <x:f>IF(F452=1,"UNIQUE",IF(COUNTIFS(Rates_Raw!$AF$5:$AF$464,B452,Rates_Raw!$H$5:$H$464,Rates_Raw!H452,Rates_Raw!$L$5:$L$464,Rates_Raw!L452)=F452,"REPEATED SOURCE ROW","CONFLICTING KEY"))</x:f>
        <x:v>UNIQUE</x:v>
      </x:c>
      <x:c r="H452" t="str">
        <x:f>IF(F452&gt;1,"REVIEW","OK")</x:f>
        <x:v>OK</x:v>
      </x:c>
      <x:c r="I452" t="str">
        <x:f>Rates_Raw!H452</x:f>
        <x:v>8578A</x:v>
      </x:c>
      <x:c r="J452" t="str">
        <x:f>Rates_Raw!L452</x:f>
        <x:v>$52.2125</x:v>
      </x:c>
    </x:row>
    <x:row r="453">
      <x:c r="A453" t="n">
        <x:f>Rates_Raw!A453</x:f>
        <x:v>32919</x:v>
      </x:c>
      <x:c r="B453" t="str">
        <x:f>Rates_Raw!AF453</x:f>
        <x:v>8578|COMMN|2025-07-01</x:v>
      </x:c>
      <x:c r="C453" t="str">
        <x:f>Rates_Raw!D453</x:f>
        <x:v>8578</x:v>
      </x:c>
      <x:c r="D453" t="str">
        <x:f>Rates_Raw!C453</x:f>
        <x:v>2025/07/01</x:v>
      </x:c>
      <x:c r="E453" t="str">
        <x:f>Rates_Raw!F453</x:f>
        <x:v>351</x:v>
      </x:c>
      <x:c r="F453" t="n">
        <x:f>COUNTIF(Rates_Raw!$AF$5:$AF$464,B453)</x:f>
        <x:v>1</x:v>
      </x:c>
      <x:c r="G453" t="str">
        <x:f>IF(F453=1,"UNIQUE",IF(COUNTIFS(Rates_Raw!$AF$5:$AF$464,B453,Rates_Raw!$H$5:$H$464,Rates_Raw!H453,Rates_Raw!$L$5:$L$464,Rates_Raw!L453)=F453,"REPEATED SOURCE ROW","CONFLICTING KEY"))</x:f>
        <x:v>UNIQUE</x:v>
      </x:c>
      <x:c r="H453" t="str">
        <x:f>IF(F453&gt;1,"REVIEW","OK")</x:f>
        <x:v>OK</x:v>
      </x:c>
      <x:c r="I453" t="str">
        <x:f>Rates_Raw!H453</x:f>
        <x:v>8578B</x:v>
      </x:c>
      <x:c r="J453" t="str">
        <x:f>Rates_Raw!L453</x:f>
        <x:v>$53.2625</x:v>
      </x:c>
    </x:row>
    <x:row r="454">
      <x:c r="A454" t="n">
        <x:f>Rates_Raw!A454</x:f>
        <x:v>34595</x:v>
      </x:c>
      <x:c r="B454" t="str">
        <x:f>Rates_Raw!AF454</x:f>
        <x:v>8578|COMMN|2026-01-03</x:v>
      </x:c>
      <x:c r="C454" t="str">
        <x:f>Rates_Raw!D454</x:f>
        <x:v>8578</x:v>
      </x:c>
      <x:c r="D454" t="str">
        <x:f>Rates_Raw!C454</x:f>
        <x:v>2026/01/03</x:v>
      </x:c>
      <x:c r="E454" t="str">
        <x:f>Rates_Raw!F454</x:f>
        <x:v>351</x:v>
      </x:c>
      <x:c r="F454" t="n">
        <x:f>COUNTIF(Rates_Raw!$AF$5:$AF$464,B454)</x:f>
        <x:v>1</x:v>
      </x:c>
      <x:c r="G454" t="str">
        <x:f>IF(F454=1,"UNIQUE",IF(COUNTIFS(Rates_Raw!$AF$5:$AF$464,B454,Rates_Raw!$H$5:$H$464,Rates_Raw!H454,Rates_Raw!$L$5:$L$464,Rates_Raw!L454)=F454,"REPEATED SOURCE ROW","CONFLICTING KEY"))</x:f>
        <x:v>UNIQUE</x:v>
      </x:c>
      <x:c r="H454" t="str">
        <x:f>IF(F454&gt;1,"REVIEW","OK")</x:f>
        <x:v>OK</x:v>
      </x:c>
      <x:c r="I454" t="str">
        <x:f>Rates_Raw!H454</x:f>
        <x:v>8578C</x:v>
      </x:c>
      <x:c r="J454" t="str">
        <x:f>Rates_Raw!L454</x:f>
        <x:v>$54.0625</x:v>
      </x:c>
    </x:row>
    <x:row r="455">
      <x:c r="A455" t="n">
        <x:f>Rates_Raw!A455</x:f>
        <x:v>27921</x:v>
      </x:c>
      <x:c r="B455" t="str">
        <x:f>Rates_Raw!AF455</x:f>
        <x:v>9916|COMMN|2024-01-06</x:v>
      </x:c>
      <x:c r="C455" t="str">
        <x:f>Rates_Raw!D455</x:f>
        <x:v>9916</x:v>
      </x:c>
      <x:c r="D455" t="str">
        <x:f>Rates_Raw!C455</x:f>
        <x:v>2024/01/06</x:v>
      </x:c>
      <x:c r="E455" t="str">
        <x:f>Rates_Raw!F455</x:f>
        <x:v>261</x:v>
      </x:c>
      <x:c r="F455" t="n">
        <x:f>COUNTIF(Rates_Raw!$AF$5:$AF$464,B455)</x:f>
        <x:v>1</x:v>
      </x:c>
      <x:c r="G455" t="str">
        <x:f>IF(F455=1,"UNIQUE",IF(COUNTIFS(Rates_Raw!$AF$5:$AF$464,B455,Rates_Raw!$H$5:$H$464,Rates_Raw!H455,Rates_Raw!$L$5:$L$464,Rates_Raw!L455)=F455,"REPEATED SOURCE ROW","CONFLICTING KEY"))</x:f>
        <x:v>UNIQUE</x:v>
      </x:c>
      <x:c r="H455" t="str">
        <x:f>IF(F455&gt;1,"REVIEW","OK")</x:f>
        <x:v>OK</x:v>
      </x:c>
      <x:c r="I455" t="str">
        <x:f>Rates_Raw!H455</x:f>
        <x:v>9916Y</x:v>
      </x:c>
      <x:c r="J455" t="str">
        <x:f>Rates_Raw!L455</x:f>
        <x:v>$21.2150</x:v>
      </x:c>
    </x:row>
    <x:row r="456">
      <x:c r="A456" t="n">
        <x:f>Rates_Raw!A456</x:f>
        <x:v>27922</x:v>
      </x:c>
      <x:c r="B456" t="str">
        <x:f>Rates_Raw!AF456</x:f>
        <x:v>9916|SFMTA|2024-01-06</x:v>
      </x:c>
      <x:c r="C456" t="str">
        <x:f>Rates_Raw!D456</x:f>
        <x:v>9916</x:v>
      </x:c>
      <x:c r="D456" t="str">
        <x:f>Rates_Raw!C456</x:f>
        <x:v>2024/01/06</x:v>
      </x:c>
      <x:c r="E456" t="str">
        <x:f>Rates_Raw!F456</x:f>
        <x:v>261</x:v>
      </x:c>
      <x:c r="F456" t="n">
        <x:f>COUNTIF(Rates_Raw!$AF$5:$AF$464,B456)</x:f>
        <x:v>1</x:v>
      </x:c>
      <x:c r="G456" t="str">
        <x:f>IF(F456=1,"UNIQUE",IF(COUNTIFS(Rates_Raw!$AF$5:$AF$464,B456,Rates_Raw!$H$5:$H$464,Rates_Raw!H456,Rates_Raw!$L$5:$L$464,Rates_Raw!L456)=F456,"REPEATED SOURCE ROW","CONFLICTING KEY"))</x:f>
        <x:v>UNIQUE</x:v>
      </x:c>
      <x:c r="H456" t="str">
        <x:f>IF(F456&gt;1,"REVIEW","OK")</x:f>
        <x:v>OK</x:v>
      </x:c>
      <x:c r="I456" t="str">
        <x:f>Rates_Raw!H456</x:f>
        <x:v>9916Y</x:v>
      </x:c>
      <x:c r="J456" t="str">
        <x:f>Rates_Raw!L456</x:f>
        <x:v>$21.2150</x:v>
      </x:c>
    </x:row>
    <x:row r="457">
      <x:c r="A457" t="n">
        <x:f>Rates_Raw!A457</x:f>
        <x:v>29624</x:v>
      </x:c>
      <x:c r="B457" t="str">
        <x:f>Rates_Raw!AF457</x:f>
        <x:v>9916|COMMN|2024-07-01</x:v>
      </x:c>
      <x:c r="C457" t="str">
        <x:f>Rates_Raw!D457</x:f>
        <x:v>9916</x:v>
      </x:c>
      <x:c r="D457" t="str">
        <x:f>Rates_Raw!C457</x:f>
        <x:v>2024/07/01</x:v>
      </x:c>
      <x:c r="E457" t="str">
        <x:f>Rates_Raw!F457</x:f>
        <x:v>261</x:v>
      </x:c>
      <x:c r="F457" t="n">
        <x:f>COUNTIF(Rates_Raw!$AF$5:$AF$464,B457)</x:f>
        <x:v>1</x:v>
      </x:c>
      <x:c r="G457" t="str">
        <x:f>IF(F457=1,"UNIQUE",IF(COUNTIFS(Rates_Raw!$AF$5:$AF$464,B457,Rates_Raw!$H$5:$H$464,Rates_Raw!H457,Rates_Raw!$L$5:$L$464,Rates_Raw!L457)=F457,"REPEATED SOURCE ROW","CONFLICTING KEY"))</x:f>
        <x:v>UNIQUE</x:v>
      </x:c>
      <x:c r="H457" t="str">
        <x:f>IF(F457&gt;1,"REVIEW","OK")</x:f>
        <x:v>OK</x:v>
      </x:c>
      <x:c r="I457" t="str">
        <x:f>Rates_Raw!H457</x:f>
        <x:v>9916Z</x:v>
      </x:c>
      <x:c r="J457" t="str">
        <x:f>Rates_Raw!L457</x:f>
        <x:v>$25.0000</x:v>
      </x:c>
    </x:row>
    <x:row r="458">
      <x:c r="A458" t="n">
        <x:f>Rates_Raw!A458</x:f>
        <x:v>29625</x:v>
      </x:c>
      <x:c r="B458" t="str">
        <x:f>Rates_Raw!AF458</x:f>
        <x:v>9916|SFMTA|2024-07-01</x:v>
      </x:c>
      <x:c r="C458" t="str">
        <x:f>Rates_Raw!D458</x:f>
        <x:v>9916</x:v>
      </x:c>
      <x:c r="D458" t="str">
        <x:f>Rates_Raw!C458</x:f>
        <x:v>2024/07/01</x:v>
      </x:c>
      <x:c r="E458" t="str">
        <x:f>Rates_Raw!F458</x:f>
        <x:v>261</x:v>
      </x:c>
      <x:c r="F458" t="n">
        <x:f>COUNTIF(Rates_Raw!$AF$5:$AF$464,B458)</x:f>
        <x:v>1</x:v>
      </x:c>
      <x:c r="G458" t="str">
        <x:f>IF(F458=1,"UNIQUE",IF(COUNTIFS(Rates_Raw!$AF$5:$AF$464,B458,Rates_Raw!$H$5:$H$464,Rates_Raw!H458,Rates_Raw!$L$5:$L$464,Rates_Raw!L458)=F458,"REPEATED SOURCE ROW","CONFLICTING KEY"))</x:f>
        <x:v>UNIQUE</x:v>
      </x:c>
      <x:c r="H458" t="str">
        <x:f>IF(F458&gt;1,"REVIEW","OK")</x:f>
        <x:v>OK</x:v>
      </x:c>
      <x:c r="I458" t="str">
        <x:f>Rates_Raw!H458</x:f>
        <x:v>9916Z</x:v>
      </x:c>
      <x:c r="J458" t="str">
        <x:f>Rates_Raw!L458</x:f>
        <x:v>$25.0000</x:v>
      </x:c>
    </x:row>
    <x:row r="459">
      <x:c r="A459" t="n">
        <x:f>Rates_Raw!A459</x:f>
        <x:v>31335</x:v>
      </x:c>
      <x:c r="B459" t="str">
        <x:f>Rates_Raw!AF459</x:f>
        <x:v>9916|COMMN|2025-01-04</x:v>
      </x:c>
      <x:c r="C459" t="str">
        <x:f>Rates_Raw!D459</x:f>
        <x:v>9916</x:v>
      </x:c>
      <x:c r="D459" t="str">
        <x:f>Rates_Raw!C459</x:f>
        <x:v>2025/01/04</x:v>
      </x:c>
      <x:c r="E459" t="str">
        <x:f>Rates_Raw!F459</x:f>
        <x:v>261</x:v>
      </x:c>
      <x:c r="F459" t="n">
        <x:f>COUNTIF(Rates_Raw!$AF$5:$AF$464,B459)</x:f>
        <x:v>1</x:v>
      </x:c>
      <x:c r="G459" t="str">
        <x:f>IF(F459=1,"UNIQUE",IF(COUNTIFS(Rates_Raw!$AF$5:$AF$464,B459,Rates_Raw!$H$5:$H$464,Rates_Raw!H459,Rates_Raw!$L$5:$L$464,Rates_Raw!L459)=F459,"REPEATED SOURCE ROW","CONFLICTING KEY"))</x:f>
        <x:v>UNIQUE</x:v>
      </x:c>
      <x:c r="H459" t="str">
        <x:f>IF(F459&gt;1,"REVIEW","OK")</x:f>
        <x:v>OK</x:v>
      </x:c>
      <x:c r="I459" t="str">
        <x:f>Rates_Raw!H459</x:f>
        <x:v>9916A</x:v>
      </x:c>
      <x:c r="J459" t="str">
        <x:f>Rates_Raw!L459</x:f>
        <x:v>$25.3750</x:v>
      </x:c>
    </x:row>
    <x:row r="460">
      <x:c r="A460" t="n">
        <x:f>Rates_Raw!A460</x:f>
        <x:v>31336</x:v>
      </x:c>
      <x:c r="B460" t="str">
        <x:f>Rates_Raw!AF460</x:f>
        <x:v>9916|SFMTA|2025-01-04</x:v>
      </x:c>
      <x:c r="C460" t="str">
        <x:f>Rates_Raw!D460</x:f>
        <x:v>9916</x:v>
      </x:c>
      <x:c r="D460" t="str">
        <x:f>Rates_Raw!C460</x:f>
        <x:v>2025/01/04</x:v>
      </x:c>
      <x:c r="E460" t="str">
        <x:f>Rates_Raw!F460</x:f>
        <x:v>261</x:v>
      </x:c>
      <x:c r="F460" t="n">
        <x:f>COUNTIF(Rates_Raw!$AF$5:$AF$464,B460)</x:f>
        <x:v>1</x:v>
      </x:c>
      <x:c r="G460" t="str">
        <x:f>IF(F460=1,"UNIQUE",IF(COUNTIFS(Rates_Raw!$AF$5:$AF$464,B460,Rates_Raw!$H$5:$H$464,Rates_Raw!H460,Rates_Raw!$L$5:$L$464,Rates_Raw!L460)=F460,"REPEATED SOURCE ROW","CONFLICTING KEY"))</x:f>
        <x:v>UNIQUE</x:v>
      </x:c>
      <x:c r="H460" t="str">
        <x:f>IF(F460&gt;1,"REVIEW","OK")</x:f>
        <x:v>OK</x:v>
      </x:c>
      <x:c r="I460" t="str">
        <x:f>Rates_Raw!H460</x:f>
        <x:v>9916A</x:v>
      </x:c>
      <x:c r="J460" t="str">
        <x:f>Rates_Raw!L460</x:f>
        <x:v>$25.3750</x:v>
      </x:c>
    </x:row>
    <x:row r="461">
      <x:c r="A461" t="n">
        <x:f>Rates_Raw!A461</x:f>
        <x:v>33042</x:v>
      </x:c>
      <x:c r="B461" t="str">
        <x:f>Rates_Raw!AF461</x:f>
        <x:v>9916|COMMN|2025-07-01</x:v>
      </x:c>
      <x:c r="C461" t="str">
        <x:f>Rates_Raw!D461</x:f>
        <x:v>9916</x:v>
      </x:c>
      <x:c r="D461" t="str">
        <x:f>Rates_Raw!C461</x:f>
        <x:v>2025/07/01</x:v>
      </x:c>
      <x:c r="E461" t="str">
        <x:f>Rates_Raw!F461</x:f>
        <x:v>261</x:v>
      </x:c>
      <x:c r="F461" t="n">
        <x:f>COUNTIF(Rates_Raw!$AF$5:$AF$464,B461)</x:f>
        <x:v>1</x:v>
      </x:c>
      <x:c r="G461" t="str">
        <x:f>IF(F461=1,"UNIQUE",IF(COUNTIFS(Rates_Raw!$AF$5:$AF$464,B461,Rates_Raw!$H$5:$H$464,Rates_Raw!H461,Rates_Raw!$L$5:$L$464,Rates_Raw!L461)=F461,"REPEATED SOURCE ROW","CONFLICTING KEY"))</x:f>
        <x:v>UNIQUE</x:v>
      </x:c>
      <x:c r="H461" t="str">
        <x:f>IF(F461&gt;1,"REVIEW","OK")</x:f>
        <x:v>OK</x:v>
      </x:c>
      <x:c r="I461" t="str">
        <x:f>Rates_Raw!H461</x:f>
        <x:v>9916B</x:v>
      </x:c>
      <x:c r="J461" t="str">
        <x:f>Rates_Raw!L461</x:f>
        <x:v>$25.8875</x:v>
      </x:c>
    </x:row>
    <x:row r="462">
      <x:c r="A462" t="n">
        <x:f>Rates_Raw!A462</x:f>
        <x:v>33043</x:v>
      </x:c>
      <x:c r="B462" t="str">
        <x:f>Rates_Raw!AF462</x:f>
        <x:v>9916|SFMTA|2025-07-01</x:v>
      </x:c>
      <x:c r="C462" t="str">
        <x:f>Rates_Raw!D462</x:f>
        <x:v>9916</x:v>
      </x:c>
      <x:c r="D462" t="str">
        <x:f>Rates_Raw!C462</x:f>
        <x:v>2025/07/01</x:v>
      </x:c>
      <x:c r="E462" t="str">
        <x:f>Rates_Raw!F462</x:f>
        <x:v>261</x:v>
      </x:c>
      <x:c r="F462" t="n">
        <x:f>COUNTIF(Rates_Raw!$AF$5:$AF$464,B462)</x:f>
        <x:v>1</x:v>
      </x:c>
      <x:c r="G462" t="str">
        <x:f>IF(F462=1,"UNIQUE",IF(COUNTIFS(Rates_Raw!$AF$5:$AF$464,B462,Rates_Raw!$H$5:$H$464,Rates_Raw!H462,Rates_Raw!$L$5:$L$464,Rates_Raw!L462)=F462,"REPEATED SOURCE ROW","CONFLICTING KEY"))</x:f>
        <x:v>UNIQUE</x:v>
      </x:c>
      <x:c r="H462" t="str">
        <x:f>IF(F462&gt;1,"REVIEW","OK")</x:f>
        <x:v>OK</x:v>
      </x:c>
      <x:c r="I462" t="str">
        <x:f>Rates_Raw!H462</x:f>
        <x:v>9916B</x:v>
      </x:c>
      <x:c r="J462" t="str">
        <x:f>Rates_Raw!L462</x:f>
        <x:v>$25.8875</x:v>
      </x:c>
    </x:row>
    <x:row r="463">
      <x:c r="A463" t="n">
        <x:f>Rates_Raw!A463</x:f>
        <x:v>34718</x:v>
      </x:c>
      <x:c r="B463" t="str">
        <x:f>Rates_Raw!AF463</x:f>
        <x:v>9916|COMMN|2026-01-03</x:v>
      </x:c>
      <x:c r="C463" t="str">
        <x:f>Rates_Raw!D463</x:f>
        <x:v>9916</x:v>
      </x:c>
      <x:c r="D463" t="str">
        <x:f>Rates_Raw!C463</x:f>
        <x:v>2026/01/03</x:v>
      </x:c>
      <x:c r="E463" t="str">
        <x:f>Rates_Raw!F463</x:f>
        <x:v>261</x:v>
      </x:c>
      <x:c r="F463" t="n">
        <x:f>COUNTIF(Rates_Raw!$AF$5:$AF$464,B463)</x:f>
        <x:v>1</x:v>
      </x:c>
      <x:c r="G463" t="str">
        <x:f>IF(F463=1,"UNIQUE",IF(COUNTIFS(Rates_Raw!$AF$5:$AF$464,B463,Rates_Raw!$H$5:$H$464,Rates_Raw!H463,Rates_Raw!$L$5:$L$464,Rates_Raw!L463)=F463,"REPEATED SOURCE ROW","CONFLICTING KEY"))</x:f>
        <x:v>UNIQUE</x:v>
      </x:c>
      <x:c r="H463" t="str">
        <x:f>IF(F463&gt;1,"REVIEW","OK")</x:f>
        <x:v>OK</x:v>
      </x:c>
      <x:c r="I463" t="str">
        <x:f>Rates_Raw!H463</x:f>
        <x:v>9916C</x:v>
      </x:c>
      <x:c r="J463" t="str">
        <x:f>Rates_Raw!L463</x:f>
        <x:v>$26.2750</x:v>
      </x:c>
    </x:row>
    <x:row r="464">
      <x:c r="A464" t="n">
        <x:f>Rates_Raw!A464</x:f>
        <x:v>34719</x:v>
      </x:c>
      <x:c r="B464" t="str">
        <x:f>Rates_Raw!AF464</x:f>
        <x:v>9916|SFMTA|2026-01-03</x:v>
      </x:c>
      <x:c r="C464" t="str">
        <x:f>Rates_Raw!D464</x:f>
        <x:v>9916</x:v>
      </x:c>
      <x:c r="D464" t="str">
        <x:f>Rates_Raw!C464</x:f>
        <x:v>2026/01/03</x:v>
      </x:c>
      <x:c r="E464" t="str">
        <x:f>Rates_Raw!F464</x:f>
        <x:v>261</x:v>
      </x:c>
      <x:c r="F464" t="n">
        <x:f>COUNTIF(Rates_Raw!$AF$5:$AF$464,B464)</x:f>
        <x:v>1</x:v>
      </x:c>
      <x:c r="G464" t="str">
        <x:f>IF(F464=1,"UNIQUE",IF(COUNTIFS(Rates_Raw!$AF$5:$AF$464,B464,Rates_Raw!$H$5:$H$464,Rates_Raw!H464,Rates_Raw!$L$5:$L$464,Rates_Raw!L464)=F464,"REPEATED SOURCE ROW","CONFLICTING KEY"))</x:f>
        <x:v>UNIQUE</x:v>
      </x:c>
      <x:c r="H464" t="str">
        <x:f>IF(F464&gt;1,"REVIEW","OK")</x:f>
        <x:v>OK</x:v>
      </x:c>
      <x:c r="I464" t="str">
        <x:f>Rates_Raw!H464</x:f>
        <x:v>9916C</x:v>
      </x:c>
      <x:c r="J464" t="str">
        <x:f>Rates_Raw!L464</x:f>
        <x:v>$26.2750</x:v>
      </x:c>
    </x:row>
  </x:sheetData>
  <x:conditionalFormatting sqref="H5:H464">
    <x:cfRule type="expression" dxfId="4" priority="1">
      <x:formula>H5="REVIEW"</x:formula>
    </x:cfRule>
  </x:conditionalFormatting>
  <x:conditionalFormatting sqref="G5:G464">
    <x:cfRule type="expression" dxfId="5" priority="2">
      <x:formula>G5="UNIQUE"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50" hidden="0" customWidth="1"/>
    <x:col min="5" max="5" width="17" hidden="0" customWidth="1"/>
    <x:col min="6" max="6" width="18" hidden="0" customWidth="1"/>
    <x:col min="7" max="7" width="49" hidden="0" customWidth="1"/>
    <x:col min="8" max="8" width="38" hidden="0" customWidth="1"/>
  </x:cols>
  <x:sheetData>
    <x:row r="1" ht="35" customHeight="1">
      <x:c r="A1" s="4" t="str">
        <x:v>JOB TITLE HISTORY  /  VERIFIED SOURCE CHANGES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Same job code can have different official titles at different effective dates. This is NOT proof of a data error or equivalence across dates.</x:v>
      </x:c>
      <x:c r="B2" s="10"/>
      <x:c r="C2" s="10"/>
      <x:c r="D2" s="10"/>
      <x:c r="E2" s="10"/>
      <x:c r="F2" s="10"/>
      <x:c r="G2" s="10"/>
      <x:c r="H2" s="10"/>
    </x:row>
    <x:row r="4" ht="31" customHeight="1">
      <x:c r="A4" s="17" t="str">
        <x:v>Job code</x:v>
      </x:c>
      <x:c r="B4" s="17" t="str">
        <x:v>Earlier CSV line</x:v>
      </x:c>
      <x:c r="C4" s="17" t="str">
        <x:v>Earlier effective</x:v>
      </x:c>
      <x:c r="D4" s="17" t="str">
        <x:v>Earlier official title</x:v>
      </x:c>
      <x:c r="E4" s="17" t="str">
        <x:v>Later CSV line</x:v>
      </x:c>
      <x:c r="F4" s="17" t="str">
        <x:v>Later effective</x:v>
      </x:c>
      <x:c r="G4" s="17" t="str">
        <x:v>Later official title</x:v>
      </x:c>
      <x:c r="H4" s="17" t="str">
        <x:v>Interpretation</x:v>
      </x:c>
    </x:row>
    <x:row r="5">
      <x:c r="A5" t="str">
        <x:v>0140</x:v>
      </x:c>
      <x:c r="B5" t="n">
        <x:v>2</x:v>
      </x:c>
      <x:c r="C5" t="str">
        <x:v>2020-07-01</x:v>
      </x:c>
      <x:c r="D5" t="str">
        <x:v>Chief Of Department, (Fire Department)</x:v>
      </x:c>
      <x:c r="E5" t="n">
        <x:v>18</x:v>
      </x:c>
      <x:c r="F5" t="str">
        <x:v>2026-07-01</x:v>
      </x:c>
      <x:c r="G5" t="str">
        <x:v>Chief, Fire Department</x:v>
      </x:c>
      <x:c r="H5" s="54" t="str">
        <x:v>Historical title variation — verify by date</x:v>
      </x:c>
    </x:row>
    <x:row r="6">
      <x:c r="A6" t="str">
        <x:v>0150</x:v>
      </x:c>
      <x:c r="B6" t="n">
        <x:v>35</x:v>
      </x:c>
      <x:c r="C6" t="str">
        <x:v>2020-07-01</x:v>
      </x:c>
      <x:c r="D6" t="str">
        <x:v>Deputy Chief Of Department, (Fire Department)</x:v>
      </x:c>
      <x:c r="E6" t="n">
        <x:v>51</x:v>
      </x:c>
      <x:c r="F6" t="str">
        <x:v>2026-07-01</x:v>
      </x:c>
      <x:c r="G6" t="str">
        <x:v>Dep Chf of Dept (Fire Dept)</x:v>
      </x:c>
      <x:c r="H6" s="54" t="str">
        <x:v>Historical title variation — verify by date</x:v>
      </x:c>
    </x:row>
    <x:row r="7">
      <x:c r="A7" t="str">
        <x:v>0381</x:v>
      </x:c>
      <x:c r="B7" t="n">
        <x:v>61</x:v>
      </x:c>
      <x:c r="C7" t="str">
        <x:v>2020-07-01</x:v>
      </x:c>
      <x:c r="D7" t="str">
        <x:v>Inspector II</x:v>
      </x:c>
      <x:c r="E7" t="n">
        <x:v>69</x:v>
      </x:c>
      <x:c r="F7" t="str">
        <x:v>2026-07-01</x:v>
      </x:c>
      <x:c r="G7" t="str">
        <x:v>Inspector 2</x:v>
      </x:c>
      <x:c r="H7" s="54" t="str">
        <x:v>Historical title variation — verify by date</x:v>
      </x:c>
    </x:row>
    <x:row r="8">
      <x:c r="A8" t="str">
        <x:v>0382</x:v>
      </x:c>
      <x:c r="B8" t="n">
        <x:v>70</x:v>
      </x:c>
      <x:c r="C8" t="str">
        <x:v>2020-07-01</x:v>
      </x:c>
      <x:c r="D8" t="str">
        <x:v>Inspector III</x:v>
      </x:c>
      <x:c r="E8" t="n">
        <x:v>78</x:v>
      </x:c>
      <x:c r="F8" t="str">
        <x:v>2026-07-01</x:v>
      </x:c>
      <x:c r="G8" t="str">
        <x:v>Inspector 3</x:v>
      </x:c>
      <x:c r="H8" s="54" t="str">
        <x:v>Historical title variation — verify by date</x:v>
      </x:c>
    </x:row>
    <x:row r="9">
      <x:c r="A9" t="str">
        <x:v>0390</x:v>
      </x:c>
      <x:c r="B9" t="n">
        <x:v>81</x:v>
      </x:c>
      <x:c r="C9" t="str">
        <x:v>2020-07-01</x:v>
      </x:c>
      <x:c r="D9" t="str">
        <x:v>Chief Of Police</x:v>
      </x:c>
      <x:c r="E9" t="n">
        <x:v>89</x:v>
      </x:c>
      <x:c r="F9" t="str">
        <x:v>2026-07-01</x:v>
      </x:c>
      <x:c r="G9" t="str">
        <x:v>Chief of Police</x:v>
      </x:c>
      <x:c r="H9" s="54" t="str">
        <x:v>Historical title variation — verify by date</x:v>
      </x:c>
    </x:row>
    <x:row r="10">
      <x:c r="A10" t="str">
        <x:v>1064</x:v>
      </x:c>
      <x:c r="B10" t="n">
        <x:v>869</x:v>
      </x:c>
      <x:c r="C10" t="str">
        <x:v>2020-07-01</x:v>
      </x:c>
      <x:c r="D10" t="str">
        <x:v>IS Programmer Analyst-Principal</x:v>
      </x:c>
      <x:c r="E10" t="n">
        <x:v>892</x:v>
      </x:c>
      <x:c r="F10" t="str">
        <x:v>2026-07-01</x:v>
      </x:c>
      <x:c r="G10" t="str">
        <x:v>IS Prg Analyst-Principal</x:v>
      </x:c>
      <x:c r="H10" s="54" t="str">
        <x:v>Historical title variation — verify by date</x:v>
      </x:c>
    </x:row>
    <x:row r="11">
      <x:c r="A11" t="str">
        <x:v>1090</x:v>
      </x:c>
      <x:c r="B11" t="n">
        <x:v>941</x:v>
      </x:c>
      <x:c r="C11" t="str">
        <x:v>2023-07-01</x:v>
      </x:c>
      <x:c r="D11" t="str">
        <x:v>IT Operations Support Apprentice</x:v>
      </x:c>
      <x:c r="E11" t="n">
        <x:v>954</x:v>
      </x:c>
      <x:c r="F11" t="str">
        <x:v>2026-07-01</x:v>
      </x:c>
      <x:c r="G11" t="str">
        <x:v>IT Operations Support Apprent</x:v>
      </x:c>
      <x:c r="H11" s="54" t="str">
        <x:v>Historical title variation — verify by date</x:v>
      </x:c>
    </x:row>
    <x:row r="12">
      <x:c r="A12" t="str">
        <x:v>1091</x:v>
      </x:c>
      <x:c r="B12" t="n">
        <x:v>955</x:v>
      </x:c>
      <x:c r="C12" t="str">
        <x:v>2020-07-01</x:v>
      </x:c>
      <x:c r="D12" t="str">
        <x:v>IT Operations Support Administrator I</x:v>
      </x:c>
      <x:c r="E12" t="n">
        <x:v>978</x:v>
      </x:c>
      <x:c r="F12" t="str">
        <x:v>2026-07-01</x:v>
      </x:c>
      <x:c r="G12" t="str">
        <x:v>IT Operations Support Admin I</x:v>
      </x:c>
      <x:c r="H12" s="54" t="str">
        <x:v>Historical title variation — verify by date</x:v>
      </x:c>
    </x:row>
    <x:row r="13">
      <x:c r="A13" t="str">
        <x:v>1092</x:v>
      </x:c>
      <x:c r="B13" t="n">
        <x:v>979</x:v>
      </x:c>
      <x:c r="C13" t="str">
        <x:v>2020-07-01</x:v>
      </x:c>
      <x:c r="D13" t="str">
        <x:v>IT Operations Support Administrator II</x:v>
      </x:c>
      <x:c r="E13" t="n">
        <x:v>1002</x:v>
      </x:c>
      <x:c r="F13" t="str">
        <x:v>2026-07-01</x:v>
      </x:c>
      <x:c r="G13" t="str">
        <x:v>IT Operations Support Admin II</x:v>
      </x:c>
      <x:c r="H13" s="54" t="str">
        <x:v>Historical title variation — verify by date</x:v>
      </x:c>
    </x:row>
    <x:row r="14">
      <x:c r="A14" t="str">
        <x:v>1222</x:v>
      </x:c>
      <x:c r="B14" t="n">
        <x:v>1351</x:v>
      </x:c>
      <x:c r="C14" t="str">
        <x:v>2020-07-01</x:v>
      </x:c>
      <x:c r="D14" t="str">
        <x:v>Senior Payroll And Personnel Clerk</x:v>
      </x:c>
      <x:c r="E14" t="n">
        <x:v>1374</x:v>
      </x:c>
      <x:c r="F14" t="str">
        <x:v>2026-07-01</x:v>
      </x:c>
      <x:c r="G14" t="str">
        <x:v>Sr Payroll &amp; Personnel Clerk</x:v>
      </x:c>
      <x:c r="H14" s="54" t="str">
        <x:v>Historical title variation — verify by date</x:v>
      </x:c>
    </x:row>
    <x:row r="15">
      <x:c r="A15" t="str">
        <x:v>1224</x:v>
      </x:c>
      <x:c r="B15" t="n">
        <x:v>1375</x:v>
      </x:c>
      <x:c r="C15" t="str">
        <x:v>2020-07-01</x:v>
      </x:c>
      <x:c r="D15" t="str">
        <x:v>Principal Payroll And Personnel Clerk</x:v>
      </x:c>
      <x:c r="E15" t="n">
        <x:v>1398</x:v>
      </x:c>
      <x:c r="F15" t="str">
        <x:v>2026-07-01</x:v>
      </x:c>
      <x:c r="G15" t="str">
        <x:v>Pr Payroll &amp; Personnel Clerk</x:v>
      </x:c>
      <x:c r="H15" s="54" t="str">
        <x:v>Historical title variation — verify by date</x:v>
      </x:c>
    </x:row>
    <x:row r="16">
      <x:c r="A16" t="str">
        <x:v>1226</x:v>
      </x:c>
      <x:c r="B16" t="n">
        <x:v>1399</x:v>
      </x:c>
      <x:c r="C16" t="str">
        <x:v>2020-07-01</x:v>
      </x:c>
      <x:c r="D16" t="str">
        <x:v>Chief Payroll And Personnel Clerk</x:v>
      </x:c>
      <x:c r="E16" t="n">
        <x:v>1422</x:v>
      </x:c>
      <x:c r="F16" t="str">
        <x:v>2026-07-01</x:v>
      </x:c>
      <x:c r="G16" t="str">
        <x:v>Chf Payroll &amp; Personnel Clerk</x:v>
      </x:c>
      <x:c r="H16" s="54" t="str">
        <x:v>Historical title variation — verify by date</x:v>
      </x:c>
    </x:row>
    <x:row r="17">
      <x:c r="A17" t="str">
        <x:v>1231</x:v>
      </x:c>
      <x:c r="B17" t="n">
        <x:v>1490</x:v>
      </x:c>
      <x:c r="C17" t="str">
        <x:v>2020-07-01</x:v>
      </x:c>
      <x:c r="D17" t="str">
        <x:v>Equal Employment Opportunity Programs Senior Specialist</x:v>
      </x:c>
      <x:c r="E17" t="n">
        <x:v>1513</x:v>
      </x:c>
      <x:c r="F17" t="str">
        <x:v>2026-07-01</x:v>
      </x:c>
      <x:c r="G17" t="str">
        <x:v>EEO Senior Specialist</x:v>
      </x:c>
      <x:c r="H17" s="54" t="str">
        <x:v>Historical title variation — verify by date</x:v>
      </x:c>
    </x:row>
    <x:row r="18">
      <x:c r="A18" t="str">
        <x:v>1233</x:v>
      </x:c>
      <x:c r="B18" t="n">
        <x:v>1538</x:v>
      </x:c>
      <x:c r="C18" t="str">
        <x:v>2020-07-01</x:v>
      </x:c>
      <x:c r="D18" t="str">
        <x:v>Equal Employment Opportunity Programs Specialist</x:v>
      </x:c>
      <x:c r="E18" t="n">
        <x:v>1561</x:v>
      </x:c>
      <x:c r="F18" t="str">
        <x:v>2026-07-01</x:v>
      </x:c>
      <x:c r="G18" t="str">
        <x:v>EEO Programs Specialist</x:v>
      </x:c>
      <x:c r="H18" s="54" t="str">
        <x:v>Historical title variation — verify by date</x:v>
      </x:c>
    </x:row>
    <x:row r="19">
      <x:c r="A19" t="str">
        <x:v>8578</x:v>
      </x:c>
      <x:c r="B19" t="n">
        <x:v>18262</x:v>
      </x:c>
      <x:c r="C19" t="str">
        <x:v>2020-07-01</x:v>
      </x:c>
      <x:c r="D19" t="str">
        <x:v>Senior Supervising Institution Manager (SFERS)</x:v>
      </x:c>
      <x:c r="E19" t="n">
        <x:v>18273</x:v>
      </x:c>
      <x:c r="F19" t="str">
        <x:v>2026-07-01</x:v>
      </x:c>
      <x:c r="G19" t="str">
        <x:v>Sr Sprvg Institut Mgr (SFERS)</x:v>
      </x:c>
      <x:c r="H19" s="54" t="str">
        <x:v>Historical title variation — verify by date</x:v>
      </x:c>
    </x:row>
    <x:row r="20">
      <x:c r="A20" t="str">
        <x:v>9916</x:v>
      </x:c>
      <x:c r="B20" t="n">
        <x:v>19870</x:v>
      </x:c>
      <x:c r="C20" t="str">
        <x:v>2020-07-01</x:v>
      </x:c>
      <x:c r="D20" t="str">
        <x:v>Public Service Aide - Public Works</x:v>
      </x:c>
      <x:c r="E20" t="n">
        <x:v>19893</x:v>
      </x:c>
      <x:c r="F20" t="str">
        <x:v>2026-07-01</x:v>
      </x:c>
      <x:c r="G20" t="str">
        <x:v>Public Svc Aide-Public Works</x:v>
      </x:c>
      <x:c r="H20" s="54" t="str">
        <x:v>Historical title variation — verify by date</x:v>
      </x:c>
    </x:row>
    <x:row r="21">
      <x:c r="A21" t="str">
        <x:v>0145</x:v>
      </x:c>
      <x:c r="B21" t="n">
        <x:v>19</x:v>
      </x:c>
      <x:c r="C21" t="str">
        <x:v>2020-07-01</x:v>
      </x:c>
      <x:c r="D21" t="str">
        <x:v>Chief of Department (Transitional), (Fire Department)</x:v>
      </x:c>
      <x:c r="E21" t="n">
        <x:v>34</x:v>
      </x:c>
      <x:c r="F21" t="str">
        <x:v>2026-07-01</x:v>
      </x:c>
      <x:c r="G21" t="str">
        <x:v>Chief (Transitional), FIR Dept</x:v>
      </x:c>
      <x:c r="H21" s="54" t="str">
        <x:v>Historical title variation — verify by date</x:v>
      </x:c>
    </x:row>
    <x:row r="22">
      <x:c r="A22" t="str">
        <x:v>0395</x:v>
      </x:c>
      <x:c r="B22" t="n">
        <x:v>90</x:v>
      </x:c>
      <x:c r="C22" t="str">
        <x:v>2020-07-01</x:v>
      </x:c>
      <x:c r="D22" t="str">
        <x:v>Assistant Chief Of Police</x:v>
      </x:c>
      <x:c r="E22" t="n">
        <x:v>98</x:v>
      </x:c>
      <x:c r="F22" t="str">
        <x:v>2026-07-01</x:v>
      </x:c>
      <x:c r="G22" t="str">
        <x:v>Assistant Chief of Police</x:v>
      </x:c>
      <x:c r="H22" s="54" t="str">
        <x:v>Historical title variation — verify by date</x:v>
      </x:c>
    </x:row>
    <x:row r="23">
      <x:c r="A23" t="str">
        <x:v>0401</x:v>
      </x:c>
      <x:c r="B23" t="n">
        <x:v>108</x:v>
      </x:c>
      <x:c r="C23" t="str">
        <x:v>2020-07-01</x:v>
      </x:c>
      <x:c r="D23" t="str">
        <x:v>Deputy Chief II</x:v>
      </x:c>
      <x:c r="E23" t="n">
        <x:v>116</x:v>
      </x:c>
      <x:c r="F23" t="str">
        <x:v>2026-07-01</x:v>
      </x:c>
      <x:c r="G23" t="str">
        <x:v>Deputy Chief 2</x:v>
      </x:c>
      <x:c r="H23" s="54" t="str">
        <x:v>Historical title variation — verify by date</x:v>
      </x:c>
    </x:row>
    <x:row r="24">
      <x:c r="A24" t="str">
        <x:v>0402</x:v>
      </x:c>
      <x:c r="B24" t="n">
        <x:v>117</x:v>
      </x:c>
      <x:c r="C24" t="str">
        <x:v>2020-07-01</x:v>
      </x:c>
      <x:c r="D24" t="str">
        <x:v>Deputy Chief III</x:v>
      </x:c>
      <x:c r="E24" t="n">
        <x:v>125</x:v>
      </x:c>
      <x:c r="F24" t="str">
        <x:v>2026-07-01</x:v>
      </x:c>
      <x:c r="G24" t="str">
        <x:v>Deputy Chief 3</x:v>
      </x:c>
      <x:c r="H24" s="54" t="str">
        <x:v>Historical title variation — verify by date</x:v>
      </x:c>
    </x:row>
    <x:row r="25">
      <x:c r="A25" t="str">
        <x:v>0490</x:v>
      </x:c>
      <x:c r="B25" t="n">
        <x:v>146</x:v>
      </x:c>
      <x:c r="C25" t="str">
        <x:v>2020-07-01</x:v>
      </x:c>
      <x:c r="D25" t="str">
        <x:v>Commander III</x:v>
      </x:c>
      <x:c r="E25" t="n">
        <x:v>155</x:v>
      </x:c>
      <x:c r="F25" t="str">
        <x:v>2026-07-01</x:v>
      </x:c>
      <x:c r="G25" t="str">
        <x:v>Commander 3</x:v>
      </x:c>
      <x:c r="H25" s="54" t="str">
        <x:v>Historical title variation — verify by date</x:v>
      </x:c>
    </x:row>
    <x:row r="26">
      <x:c r="A26" t="str">
        <x:v>0720</x:v>
      </x:c>
      <x:c r="B26" t="n">
        <x:v>156</x:v>
      </x:c>
      <x:c r="C26" t="str">
        <x:v>2020-07-01</x:v>
      </x:c>
      <x:c r="D26" t="str">
        <x:v>Member, Board Of Supervisors</x:v>
      </x:c>
      <x:c r="E26" t="n">
        <x:v>165</x:v>
      </x:c>
      <x:c r="F26" t="str">
        <x:v>2026-07-01</x:v>
      </x:c>
      <x:c r="G26" t="str">
        <x:v>Member, Board of Supervisors</x:v>
      </x:c>
      <x:c r="H26" s="54" t="str">
        <x:v>Historical title variation — verify by date</x:v>
      </x:c>
    </x:row>
    <x:row r="27">
      <x:c r="A27" t="str">
        <x:v>1093</x:v>
      </x:c>
      <x:c r="B27" t="n">
        <x:v>1003</x:v>
      </x:c>
      <x:c r="C27" t="str">
        <x:v>2020-07-01</x:v>
      </x:c>
      <x:c r="D27" t="str">
        <x:v>IT Operations Support Administrator III</x:v>
      </x:c>
      <x:c r="E27" t="n">
        <x:v>1026</x:v>
      </x:c>
      <x:c r="F27" t="str">
        <x:v>2026-07-01</x:v>
      </x:c>
      <x:c r="G27" t="str">
        <x:v>IT Operations Support Admn III</x:v>
      </x:c>
      <x:c r="H27" s="54" t="str">
        <x:v>Historical title variation — verify by date</x:v>
      </x:c>
    </x:row>
    <x:row r="28">
      <x:c r="A28" t="str">
        <x:v>1094</x:v>
      </x:c>
      <x:c r="B28" t="n">
        <x:v>1027</x:v>
      </x:c>
      <x:c r="C28" t="str">
        <x:v>2020-07-01</x:v>
      </x:c>
      <x:c r="D28" t="str">
        <x:v>IT Operations Support Administrator IV</x:v>
      </x:c>
      <x:c r="E28" t="n">
        <x:v>1050</x:v>
      </x:c>
      <x:c r="F28" t="str">
        <x:v>2026-07-01</x:v>
      </x:c>
      <x:c r="G28" t="str">
        <x:v>IT Operations Support Admin IV</x:v>
      </x:c>
      <x:c r="H28" s="54" t="str">
        <x:v>Historical title variation — verify by date</x:v>
      </x:c>
    </x:row>
    <x:row r="29">
      <x:c r="A29" t="str">
        <x:v>1095</x:v>
      </x:c>
      <x:c r="B29" t="n">
        <x:v>1051</x:v>
      </x:c>
      <x:c r="C29" t="str">
        <x:v>2020-07-01</x:v>
      </x:c>
      <x:c r="D29" t="str">
        <x:v>IT Operations Support Administrator V</x:v>
      </x:c>
      <x:c r="E29" t="n">
        <x:v>1074</x:v>
      </x:c>
      <x:c r="F29" t="str">
        <x:v>2026-07-01</x:v>
      </x:c>
      <x:c r="G29" t="str">
        <x:v>IT Operations Support Admin V</x:v>
      </x:c>
      <x:c r="H29" s="54" t="str">
        <x:v>Historical title variation — verify by date</x:v>
      </x:c>
    </x:row>
    <x:row r="30">
      <x:c r="A30" t="str">
        <x:v>1110</x:v>
      </x:c>
      <x:c r="B30" t="n">
        <x:v>1075</x:v>
      </x:c>
      <x:c r="C30" t="str">
        <x:v>2020-07-01</x:v>
      </x:c>
      <x:c r="D30" t="str">
        <x:v>Executive Assistant To The Executive Director, Retirement System</x:v>
      </x:c>
      <x:c r="E30" t="n">
        <x:v>1098</x:v>
      </x:c>
      <x:c r="F30" t="str">
        <x:v>2026-07-01</x:v>
      </x:c>
      <x:c r="G30" t="str">
        <x:v>Ex Asst to Ex Dir, Retirement</x:v>
      </x:c>
      <x:c r="H30" s="54" t="str">
        <x:v>Historical title variation — verify by date</x:v>
      </x:c>
    </x:row>
    <x:row r="31">
      <x:c r="A31" t="str">
        <x:v>1117</x:v>
      </x:c>
      <x:c r="B31" t="n">
        <x:v>1126</x:v>
      </x:c>
      <x:c r="C31" t="str">
        <x:v>2020-07-01</x:v>
      </x:c>
      <x:c r="D31" t="str">
        <x:v>Deputy Director for Investments, Retirement System</x:v>
      </x:c>
      <x:c r="E31" t="n">
        <x:v>1137</x:v>
      </x:c>
      <x:c r="F31" t="str">
        <x:v>2026-07-01</x:v>
      </x:c>
      <x:c r="G31" t="str">
        <x:v>COO - Retirement System</x:v>
      </x:c>
      <x:c r="H31" s="54" t="str">
        <x:v>Historical title variation — verify by date</x:v>
      </x:c>
    </x:row>
    <x:row r="32">
      <x:c r="A32" t="str">
        <x:v>1246</x:v>
      </x:c>
      <x:c r="B32" t="n">
        <x:v>1610</x:v>
      </x:c>
      <x:c r="C32" t="str">
        <x:v>2020-07-01</x:v>
      </x:c>
      <x:c r="D32" t="str">
        <x:v>Principal Human Resources Analyst</x:v>
      </x:c>
      <x:c r="E32" t="n">
        <x:v>1633</x:v>
      </x:c>
      <x:c r="F32" t="str">
        <x:v>2026-07-01</x:v>
      </x:c>
      <x:c r="G32" t="str">
        <x:v>Prin Human Resources Analyst</x:v>
      </x:c>
      <x:c r="H32" s="54" t="str">
        <x:v>Historical title variation — verify by date</x:v>
      </x:c>
    </x:row>
    <x:row r="33">
      <x:c r="A33" t="str">
        <x:v>1280</x:v>
      </x:c>
      <x:c r="B33" t="n">
        <x:v>1694</x:v>
      </x:c>
      <x:c r="C33" t="str">
        <x:v>2020-07-01</x:v>
      </x:c>
      <x:c r="D33" t="str">
        <x:v>Employee Relations Representative</x:v>
      </x:c>
      <x:c r="E33" t="n">
        <x:v>1705</x:v>
      </x:c>
      <x:c r="F33" t="str">
        <x:v>2026-07-01</x:v>
      </x:c>
      <x:c r="G33" t="str">
        <x:v>Employee Relations Representat</x:v>
      </x:c>
      <x:c r="H33" s="54" t="str">
        <x:v>Historical title variation — verify by date</x:v>
      </x:c>
    </x:row>
    <x:row r="34">
      <x:c r="A34" t="str">
        <x:v>1281</x:v>
      </x:c>
      <x:c r="B34" t="n">
        <x:v>1706</x:v>
      </x:c>
      <x:c r="C34" t="str">
        <x:v>2020-07-01</x:v>
      </x:c>
      <x:c r="D34" t="str">
        <x:v>Senior Employee Relations Representative</x:v>
      </x:c>
      <x:c r="E34" t="n">
        <x:v>1717</x:v>
      </x:c>
      <x:c r="F34" t="str">
        <x:v>2026-07-01</x:v>
      </x:c>
      <x:c r="G34" t="str">
        <x:v>Senior Emp Relations Repres</x:v>
      </x:c>
      <x:c r="H34" s="54" t="str">
        <x:v>Historical title variation — verify by date</x:v>
      </x:c>
    </x:row>
    <x:row r="35">
      <x:c r="A35" t="str">
        <x:v>1302</x:v>
      </x:c>
      <x:c r="B35" t="n">
        <x:v>1753</x:v>
      </x:c>
      <x:c r="C35" t="str">
        <x:v>2020-07-01</x:v>
      </x:c>
      <x:c r="D35" t="str">
        <x:v>Customer Service Representative Trainee</x:v>
      </x:c>
      <x:c r="E35" t="n">
        <x:v>1764</x:v>
      </x:c>
      <x:c r="F35" t="str">
        <x:v>2026-07-01</x:v>
      </x:c>
      <x:c r="G35" t="str">
        <x:v>Customer Service Rep Trainee</x:v>
      </x:c>
      <x:c r="H35" s="54" t="str">
        <x:v>Historical title variation — verify by date</x:v>
      </x:c>
    </x:row>
    <x:row r="36">
      <x:c r="A36" t="str">
        <x:v>1304</x:v>
      </x:c>
      <x:c r="B36" t="n">
        <x:v>1765</x:v>
      </x:c>
      <x:c r="C36" t="str">
        <x:v>2020-07-01</x:v>
      </x:c>
      <x:c r="D36" t="str">
        <x:v>Customer Service Representative</x:v>
      </x:c>
      <x:c r="E36" t="n">
        <x:v>1776</x:v>
      </x:c>
      <x:c r="F36" t="str">
        <x:v>2026-07-01</x:v>
      </x:c>
      <x:c r="G36" t="str">
        <x:v>Customer Service Rep</x:v>
      </x:c>
      <x:c r="H36" s="54" t="str">
        <x:v>Historical title variation — verify by date</x:v>
      </x:c>
    </x:row>
    <x:row r="37">
      <x:c r="A37" t="str">
        <x:v>1306</x:v>
      </x:c>
      <x:c r="B37" t="n">
        <x:v>1777</x:v>
      </x:c>
      <x:c r="C37" t="str">
        <x:v>2020-07-01</x:v>
      </x:c>
      <x:c r="D37" t="str">
        <x:v>Customer Service Representative Supervisor</x:v>
      </x:c>
      <x:c r="E37" t="n">
        <x:v>1788</x:v>
      </x:c>
      <x:c r="F37" t="str">
        <x:v>2026-07-01</x:v>
      </x:c>
      <x:c r="G37" t="str">
        <x:v>Customer Service Rep Spv</x:v>
      </x:c>
      <x:c r="H37" s="54" t="str">
        <x:v>Historical title variation — verify by date</x:v>
      </x:c>
    </x:row>
    <x:row r="38">
      <x:c r="A38" t="str">
        <x:v>1326</x:v>
      </x:c>
      <x:c r="B38" t="n">
        <x:v>1885</x:v>
      </x:c>
      <x:c r="C38" t="str">
        <x:v>2020-07-01</x:v>
      </x:c>
      <x:c r="D38" t="str">
        <x:v>Customer Service Agent Supervisor</x:v>
      </x:c>
      <x:c r="E38" t="n">
        <x:v>1896</x:v>
      </x:c>
      <x:c r="F38" t="str">
        <x:v>2026-07-01</x:v>
      </x:c>
      <x:c r="G38" t="str">
        <x:v>Customer Service Agent Supv</x:v>
      </x:c>
      <x:c r="H38" s="54" t="str">
        <x:v>Historical title variation — verify by date</x:v>
      </x:c>
    </x:row>
    <x:row r="39">
      <x:c r="A39" t="str">
        <x:v>1360</x:v>
      </x:c>
      <x:c r="B39" t="n">
        <x:v>1897</x:v>
      </x:c>
      <x:c r="C39" t="str">
        <x:v>2020-07-01</x:v>
      </x:c>
      <x:c r="D39" t="str">
        <x:v>Special Assistant I</x:v>
      </x:c>
      <x:c r="E39" t="n">
        <x:v>1920</x:v>
      </x:c>
      <x:c r="F39" t="str">
        <x:v>2026-07-01</x:v>
      </x:c>
      <x:c r="G39" t="str">
        <x:v>Special Assistant 1</x:v>
      </x:c>
      <x:c r="H39" s="54" t="str">
        <x:v>Historical title variation — verify by date</x:v>
      </x:c>
    </x:row>
    <x:row r="40">
      <x:c r="A40" t="str">
        <x:v>1361</x:v>
      </x:c>
      <x:c r="B40" t="n">
        <x:v>1921</x:v>
      </x:c>
      <x:c r="C40" t="str">
        <x:v>2020-07-01</x:v>
      </x:c>
      <x:c r="D40" t="str">
        <x:v>Special Assistant II</x:v>
      </x:c>
      <x:c r="E40" t="n">
        <x:v>1944</x:v>
      </x:c>
      <x:c r="F40" t="str">
        <x:v>2026-07-01</x:v>
      </x:c>
      <x:c r="G40" t="str">
        <x:v>Special Assistant 2</x:v>
      </x:c>
      <x:c r="H40" s="54" t="str">
        <x:v>Historical title variation — verify by date</x:v>
      </x:c>
    </x:row>
    <x:row r="41">
      <x:c r="A41" t="str">
        <x:v>1362</x:v>
      </x:c>
      <x:c r="B41" t="n">
        <x:v>1945</x:v>
      </x:c>
      <x:c r="C41" t="str">
        <x:v>2020-07-01</x:v>
      </x:c>
      <x:c r="D41" t="str">
        <x:v>Special Assistant III</x:v>
      </x:c>
      <x:c r="E41" t="n">
        <x:v>1968</x:v>
      </x:c>
      <x:c r="F41" t="str">
        <x:v>2026-07-01</x:v>
      </x:c>
      <x:c r="G41" t="str">
        <x:v>Special Assistant 3</x:v>
      </x:c>
      <x:c r="H41" s="54" t="str">
        <x:v>Historical title variation — verify by date</x:v>
      </x:c>
    </x:row>
    <x:row r="42">
      <x:c r="A42" t="str">
        <x:v>1363</x:v>
      </x:c>
      <x:c r="B42" t="n">
        <x:v>1969</x:v>
      </x:c>
      <x:c r="C42" t="str">
        <x:v>2020-07-01</x:v>
      </x:c>
      <x:c r="D42" t="str">
        <x:v>Special Assistant IV</x:v>
      </x:c>
      <x:c r="E42" t="n">
        <x:v>1992</x:v>
      </x:c>
      <x:c r="F42" t="str">
        <x:v>2026-07-01</x:v>
      </x:c>
      <x:c r="G42" t="str">
        <x:v>Special Assistant 4</x:v>
      </x:c>
      <x:c r="H42" s="54" t="str">
        <x:v>Historical title variation — verify by date</x:v>
      </x:c>
    </x:row>
    <x:row r="43">
      <x:c r="A43" t="str">
        <x:v>1364</x:v>
      </x:c>
      <x:c r="B43" t="n">
        <x:v>1993</x:v>
      </x:c>
      <x:c r="C43" t="str">
        <x:v>2020-07-01</x:v>
      </x:c>
      <x:c r="D43" t="str">
        <x:v>Special Assistant V</x:v>
      </x:c>
      <x:c r="E43" t="n">
        <x:v>2016</x:v>
      </x:c>
      <x:c r="F43" t="str">
        <x:v>2026-07-01</x:v>
      </x:c>
      <x:c r="G43" t="str">
        <x:v>Special Assistant 5</x:v>
      </x:c>
      <x:c r="H43" s="54" t="str">
        <x:v>Historical title variation — verify by date</x:v>
      </x:c>
    </x:row>
    <x:row r="44">
      <x:c r="A44" t="str">
        <x:v>1365</x:v>
      </x:c>
      <x:c r="B44" t="n">
        <x:v>2017</x:v>
      </x:c>
      <x:c r="C44" t="str">
        <x:v>2020-07-01</x:v>
      </x:c>
      <x:c r="D44" t="str">
        <x:v>Special Assistant VI</x:v>
      </x:c>
      <x:c r="E44" t="n">
        <x:v>2040</x:v>
      </x:c>
      <x:c r="F44" t="str">
        <x:v>2026-07-01</x:v>
      </x:c>
      <x:c r="G44" t="str">
        <x:v>Special Assistant 6</x:v>
      </x:c>
      <x:c r="H44" s="54" t="str">
        <x:v>Historical title variation — verify by date</x:v>
      </x:c>
    </x:row>
    <x:row r="45">
      <x:c r="A45" t="str">
        <x:v>1366</x:v>
      </x:c>
      <x:c r="B45" t="n">
        <x:v>2041</x:v>
      </x:c>
      <x:c r="C45" t="str">
        <x:v>2020-07-01</x:v>
      </x:c>
      <x:c r="D45" t="str">
        <x:v>Special Assistant VII</x:v>
      </x:c>
      <x:c r="E45" t="n">
        <x:v>2064</x:v>
      </x:c>
      <x:c r="F45" t="str">
        <x:v>2026-07-01</x:v>
      </x:c>
      <x:c r="G45" t="str">
        <x:v>Special Assistant 7</x:v>
      </x:c>
      <x:c r="H45" s="54" t="str">
        <x:v>Historical title variation — verify by date</x:v>
      </x:c>
    </x:row>
    <x:row r="46">
      <x:c r="A46" t="str">
        <x:v>1367</x:v>
      </x:c>
      <x:c r="B46" t="n">
        <x:v>2065</x:v>
      </x:c>
      <x:c r="C46" t="str">
        <x:v>2020-07-01</x:v>
      </x:c>
      <x:c r="D46" t="str">
        <x:v>Special Assistant VIII</x:v>
      </x:c>
      <x:c r="E46" t="n">
        <x:v>2088</x:v>
      </x:c>
      <x:c r="F46" t="str">
        <x:v>2026-07-01</x:v>
      </x:c>
      <x:c r="G46" t="str">
        <x:v>Special Assistant 8</x:v>
      </x:c>
      <x:c r="H46" s="54" t="str">
        <x:v>Historical title variation — verify by date</x:v>
      </x:c>
    </x:row>
    <x:row r="47">
      <x:c r="A47" t="str">
        <x:v>1368</x:v>
      </x:c>
      <x:c r="B47" t="n">
        <x:v>2089</x:v>
      </x:c>
      <x:c r="C47" t="str">
        <x:v>2020-07-01</x:v>
      </x:c>
      <x:c r="D47" t="str">
        <x:v>Special Assistant IX</x:v>
      </x:c>
      <x:c r="E47" t="n">
        <x:v>2112</x:v>
      </x:c>
      <x:c r="F47" t="str">
        <x:v>2026-07-01</x:v>
      </x:c>
      <x:c r="G47" t="str">
        <x:v>Special Assistant 9</x:v>
      </x:c>
      <x:c r="H47" s="54" t="str">
        <x:v>Historical title variation — verify by date</x:v>
      </x:c>
    </x:row>
    <x:row r="48">
      <x:c r="A48" t="str">
        <x:v>1369</x:v>
      </x:c>
      <x:c r="B48" t="n">
        <x:v>2113</x:v>
      </x:c>
      <x:c r="C48" t="str">
        <x:v>2020-07-01</x:v>
      </x:c>
      <x:c r="D48" t="str">
        <x:v>Special Assistant X</x:v>
      </x:c>
      <x:c r="E48" t="n">
        <x:v>2136</x:v>
      </x:c>
      <x:c r="F48" t="str">
        <x:v>2026-07-01</x:v>
      </x:c>
      <x:c r="G48" t="str">
        <x:v>Special Assistant 10</x:v>
      </x:c>
      <x:c r="H48" s="54" t="str">
        <x:v>Historical title variation — verify by date</x:v>
      </x:c>
    </x:row>
    <x:row r="49">
      <x:c r="A49" t="str">
        <x:v>1370</x:v>
      </x:c>
      <x:c r="B49" t="n">
        <x:v>2137</x:v>
      </x:c>
      <x:c r="C49" t="str">
        <x:v>2020-07-01</x:v>
      </x:c>
      <x:c r="D49" t="str">
        <x:v>Special Assistant XI</x:v>
      </x:c>
      <x:c r="E49" t="n">
        <x:v>2160</x:v>
      </x:c>
      <x:c r="F49" t="str">
        <x:v>2026-07-01</x:v>
      </x:c>
      <x:c r="G49" t="str">
        <x:v>Special Assistant 11</x:v>
      </x:c>
      <x:c r="H49" s="54" t="str">
        <x:v>Historical title variation — verify by date</x:v>
      </x:c>
    </x:row>
    <x:row r="50">
      <x:c r="A50" t="str">
        <x:v>1371</x:v>
      </x:c>
      <x:c r="B50" t="n">
        <x:v>2161</x:v>
      </x:c>
      <x:c r="C50" t="str">
        <x:v>2020-07-01</x:v>
      </x:c>
      <x:c r="D50" t="str">
        <x:v>Special Assistant XII</x:v>
      </x:c>
      <x:c r="E50" t="n">
        <x:v>2184</x:v>
      </x:c>
      <x:c r="F50" t="str">
        <x:v>2026-07-01</x:v>
      </x:c>
      <x:c r="G50" t="str">
        <x:v>Special Assistant 12</x:v>
      </x:c>
      <x:c r="H50" s="54" t="str">
        <x:v>Historical title variation — verify by date</x:v>
      </x:c>
    </x:row>
    <x:row r="51">
      <x:c r="A51" t="str">
        <x:v>1372</x:v>
      </x:c>
      <x:c r="B51" t="n">
        <x:v>2185</x:v>
      </x:c>
      <x:c r="C51" t="str">
        <x:v>2020-07-01</x:v>
      </x:c>
      <x:c r="D51" t="str">
        <x:v>Special Assistant XIII</x:v>
      </x:c>
      <x:c r="E51" t="n">
        <x:v>2208</x:v>
      </x:c>
      <x:c r="F51" t="str">
        <x:v>2026-07-01</x:v>
      </x:c>
      <x:c r="G51" t="str">
        <x:v>Special Assistant 13</x:v>
      </x:c>
      <x:c r="H51" s="54" t="str">
        <x:v>Historical title variation — verify by date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12" hidden="0" customWidth="1"/>
    <x:col min="4" max="4" width="16" hidden="0" customWidth="1"/>
    <x:col min="5" max="5" width="19" hidden="0" customWidth="1"/>
    <x:col min="6" max="6" width="17" hidden="0" customWidth="1"/>
    <x:col min="7" max="7" width="20" hidden="0" customWidth="1"/>
    <x:col min="8" max="8" width="77" hidden="0" customWidth="1"/>
    <x:col min="9" max="9" width="74" hidden="0" customWidth="1"/>
    <x:col min="10" max="10" width="18" hidden="0" customWidth="1"/>
  </x:cols>
  <x:sheetData>
    <x:row r="1" ht="35" customHeight="1">
      <x:c r="A1" s="4" t="str">
        <x:v>EXCEPTION LOG  /  EVIDENCE BEFORE ASSUMPTIONS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9" customHeight="1">
      <x:c r="A2" s="10" t="str">
        <x:v>Real source-supported examples; none has been artificially altered. Review state is a suggested starting point, not an official resolution.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1" customHeight="1">
      <x:c r="A4" s="17" t="str">
        <x:v>Case</x:v>
      </x:c>
      <x:c r="B4" s="17" t="str">
        <x:v>Exception type</x:v>
      </x:c>
      <x:c r="C4" s="17" t="str">
        <x:v>Job code</x:v>
      </x:c>
      <x:c r="D4" s="17" t="str">
        <x:v>Pay set</x:v>
      </x:c>
      <x:c r="E4" s="17" t="str">
        <x:v>Effective date</x:v>
      </x:c>
      <x:c r="F4" s="17" t="str">
        <x:v>Plan CSV row</x:v>
      </x:c>
      <x:c r="G4" s="17" t="str">
        <x:v>Rates CSV row</x:v>
      </x:c>
      <x:c r="H4" s="17" t="str">
        <x:v>Evidence from the two source files</x:v>
      </x:c>
      <x:c r="I4" s="17" t="str">
        <x:v>Proposed next action</x:v>
      </x:c>
      <x:c r="J4" s="17" t="str">
        <x:v>Review state</x:v>
      </x:c>
    </x:row>
    <x:row r="5" ht="43" customHeight="1">
      <x:c r="A5" t="str">
        <x:v>E01</x:v>
      </x:c>
      <x:c r="B5" t="str">
        <x:v>PAY RATE DISAGREEMENT</x:v>
      </x:c>
      <x:c r="C5" t="str">
        <x:v>9916</x:v>
      </x:c>
      <x:c r="D5" t="str">
        <x:v>COMMN</x:v>
      </x:c>
      <x:c r="E5" t="str">
        <x:v>2024-01-06</x:v>
      </x:c>
      <x:c r="F5" t="n">
        <x:v>19876</x:v>
      </x:c>
      <x:c r="G5" t="n">
        <x:v>27921</x:v>
      </x:c>
      <x:c r="H5" s="40" t="str">
        <x:v>Source A step1=21.2125; source B step1=21.2150; difference=-0.0025</x:v>
      </x:c>
      <x:c r="I5" s="40" t="str">
        <x:v>Check effective-date/version and request authoritative pay-rate verification</x:v>
      </x:c>
      <x:c r="J5" s="46" t="str">
        <x:v>Open</x:v>
      </x:c>
    </x:row>
    <x:row r="6" ht="43" customHeight="1">
      <x:c r="A6" t="str">
        <x:v>E02</x:v>
      </x:c>
      <x:c r="B6" t="str">
        <x:v>PAY RATE DISAGREEMENT</x:v>
      </x:c>
      <x:c r="C6" t="str">
        <x:v>9916</x:v>
      </x:c>
      <x:c r="D6" t="str">
        <x:v>SFMTA</x:v>
      </x:c>
      <x:c r="E6" t="str">
        <x:v>2024-01-06</x:v>
      </x:c>
      <x:c r="F6" t="n">
        <x:v>19888</x:v>
      </x:c>
      <x:c r="G6" t="n">
        <x:v>27922</x:v>
      </x:c>
      <x:c r="H6" s="40" t="str">
        <x:v>Source A step1=21.2125; source B step1=21.2150; difference=-0.0025</x:v>
      </x:c>
      <x:c r="I6" s="40" t="str">
        <x:v>Check effective-date/version and request authoritative pay-rate verification</x:v>
      </x:c>
      <x:c r="J6" s="46" t="str">
        <x:v>Open</x:v>
      </x:c>
    </x:row>
    <x:row r="7" ht="43" customHeight="1">
      <x:c r="A7" t="str">
        <x:v>E03</x:v>
      </x:c>
      <x:c r="B7" t="str">
        <x:v>DUPLICATE SOURCE ROW</x:v>
      </x:c>
      <x:c r="C7" t="str">
        <x:v>8578</x:v>
      </x:c>
      <x:c r="D7" t="str">
        <x:v>COMMN</x:v>
      </x:c>
      <x:c r="E7" t="str">
        <x:v>2018-07-01</x:v>
      </x:c>
      <x:c r="F7" t="str"/>
      <x:c r="G7" t="str">
        <x:v>12192, 12193</x:v>
      </x:c>
      <x:c r="H7" s="40" t="str">
        <x:v>Two distinct source-B CSV lines repeat the same job / pay-set / effective-date key.</x:v>
      </x:c>
      <x:c r="I7" s="40" t="str">
        <x:v>Investigate source duplicate; retain provenance; do not silently discard.</x:v>
      </x:c>
      <x:c r="J7" s="46" t="str">
        <x:v>Open</x:v>
      </x:c>
    </x:row>
    <x:row r="8" ht="43" customHeight="1">
      <x:c r="A8" t="str">
        <x:v>E04</x:v>
      </x:c>
      <x:c r="B8" t="str">
        <x:v>HISTORICAL TITLE VARIATION</x:v>
      </x:c>
      <x:c r="C8" t="str">
        <x:v>0140</x:v>
      </x:c>
      <x:c r="D8" t="str">
        <x:v>COMMN</x:v>
      </x:c>
      <x:c r="E8" t="str">
        <x:v>2020 vs 2026</x:v>
      </x:c>
      <x:c r="F8" t="str">
        <x:v>2</x:v>
      </x:c>
      <x:c r="G8" t="str">
        <x:v>18</x:v>
      </x:c>
      <x:c r="H8" s="40" t="str">
        <x:v>Official title changes from "Chief Of Department, (Fire Department)" to "Chief, Fire Department".</x:v>
      </x:c>
      <x:c r="I8" s="40" t="str">
        <x:v>Use job code AND effective date; not an automatic typo.</x:v>
      </x:c>
      <x:c r="J8" s="46" t="str">
        <x:v>Information</x:v>
      </x:c>
    </x:row>
    <x:row r="9" ht="43" customHeight="1">
      <x:c r="A9" t="str">
        <x:v>E05</x:v>
      </x:c>
      <x:c r="B9" t="str">
        <x:v>SOURCE COVERAGE GAP</x:v>
      </x:c>
      <x:c r="C9" t="str">
        <x:v>0140</x:v>
      </x:c>
      <x:c r="D9" t="str">
        <x:v>COMMN</x:v>
      </x:c>
      <x:c r="E9" t="str">
        <x:v>2026-07-01</x:v>
      </x:c>
      <x:c r="F9" t="n">
        <x:v>10</x:v>
      </x:c>
      <x:c r="G9" t="str"/>
      <x:c r="H9" s="40" t="str">
        <x:v>Compensation-plan row has no same-key record in the uploaded hourly-rate extract.</x:v>
      </x:c>
      <x:c r="I9" s="40" t="str">
        <x:v>Source B ends earlier; seek a newer official extract before deciding it is missing.</x:v>
      </x:c>
      <x:c r="J9" s="46" t="str">
        <x:v>Open</x:v>
      </x:c>
    </x:row>
    <x:row r="10" ht="43" customHeight="1">
      <x:c r="A10" t="str">
        <x:v>E06</x:v>
      </x:c>
      <x:c r="B10" t="str">
        <x:v>SOURCE COVERAGE GAP</x:v>
      </x:c>
      <x:c r="C10" t="str">
        <x:v>0140</x:v>
      </x:c>
      <x:c r="D10" t="str">
        <x:v>SUPPRESSION</x:v>
      </x:c>
      <x:c r="E10" t="str">
        <x:v>2026-07-01</x:v>
      </x:c>
      <x:c r="F10" t="n">
        <x:v>18</x:v>
      </x:c>
      <x:c r="G10" t="str"/>
      <x:c r="H10" s="40" t="str">
        <x:v>Compensation-plan row has no same-key record in the uploaded hourly-rate extract.</x:v>
      </x:c>
      <x:c r="I10" s="40" t="str">
        <x:v>Source B ends earlier; seek a newer official extract before deciding it is missing.</x:v>
      </x:c>
      <x:c r="J10" s="46" t="str">
        <x:v>Open</x:v>
      </x:c>
    </x:row>
    <x:row r="11" ht="43" customHeight="1">
      <x:c r="A11" t="str">
        <x:v>E07</x:v>
      </x:c>
      <x:c r="B11" t="str">
        <x:v>SOURCE COVERAGE GAP</x:v>
      </x:c>
      <x:c r="C11" t="str">
        <x:v>0145</x:v>
      </x:c>
      <x:c r="D11" t="str">
        <x:v>COMMN</x:v>
      </x:c>
      <x:c r="E11" t="str">
        <x:v>2026-07-01</x:v>
      </x:c>
      <x:c r="F11" t="n">
        <x:v>27</x:v>
      </x:c>
      <x:c r="G11" t="str"/>
      <x:c r="H11" s="40" t="str">
        <x:v>Compensation-plan row has no same-key record in the uploaded hourly-rate extract.</x:v>
      </x:c>
      <x:c r="I11" s="40" t="str">
        <x:v>Source B ends earlier; seek a newer official extract before deciding it is missing.</x:v>
      </x:c>
      <x:c r="J11" s="46" t="str">
        <x:v>Open</x:v>
      </x:c>
    </x:row>
    <x:row r="12" ht="43" customHeight="1">
      <x:c r="A12" t="str">
        <x:v>E08</x:v>
      </x:c>
      <x:c r="B12" t="str">
        <x:v>TITLE CAPITALIZATION</x:v>
      </x:c>
      <x:c r="C12" t="str">
        <x:v>1576</x:v>
      </x:c>
      <x:c r="D12" t="str">
        <x:v>COMMN</x:v>
      </x:c>
      <x:c r="E12" t="str">
        <x:v>2025-01-04</x:v>
      </x:c>
      <x:c r="F12" t="n">
        <x:v>3216</x:v>
      </x:c>
      <x:c r="G12" t="n">
        <x:v>29962</x:v>
      </x:c>
      <x:c r="H12" s="40" t="str">
        <x:v>Plan: "Executive Assistant To The Human Resources Director"; rates: "Executive Assistant to the Human Resources Director".</x:v>
      </x:c>
      <x:c r="I12" s="40" t="str">
        <x:v>Confirm the title formatting policy; same code, pay set and effective date.</x:v>
      </x:c>
      <x:c r="J12" s="46" t="str">
        <x:v>Information</x:v>
      </x:c>
    </x:row>
  </x:sheetData>
  <x:dataValidations count="2">
    <x:dataValidation type="list" sqref="J5:J11">
      <x:formula1>"Open,Under Review,Resolved,Escalated,Information"</x:formula1>
    </x:dataValidation>
    <x:dataValidation type="list" sqref="J5:J12">
      <x:formula1>"Open,Under Review,Resolved,Escalated,Information"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9" hidden="0" customWidth="1"/>
    <x:col min="3" max="3" width="83" hidden="0" customWidth="1"/>
  </x:cols>
  <x:sheetData>
    <x:row r="1" ht="35" customHeight="1">
      <x:c r="A1" s="4" t="str">
        <x:v>DATA DICTIONARY  /  RECONCILIATION RULES</x:v>
      </x:c>
      <x:c r="B1" s="4"/>
      <x:c r="C1" s="4"/>
    </x:row>
    <x:row r="2" ht="29" customHeight="1">
      <x:c r="A2" s="10" t="str">
        <x:v>Definitions and validation criteria for a handoff-ready, auditable data intake workflow.</x:v>
      </x:c>
      <x:c r="B2" s="10"/>
      <x:c r="C2" s="10"/>
    </x:row>
    <x:row r="4" ht="31" customHeight="1">
      <x:c r="A4" s="17" t="str">
        <x:v>Concept / field</x:v>
      </x:c>
      <x:c r="B4" s="17" t="str">
        <x:v>Method / rule</x:v>
      </x:c>
      <x:c r="C4" s="17" t="str">
        <x:v>Reason / reviewer guidance</x:v>
      </x:c>
    </x:row>
    <x:row r="5" ht="30" customHeight="1">
      <x:c r="A5" t="str">
        <x:v>Composite key</x:v>
      </x:c>
      <x:c r="B5" s="40" t="str">
        <x:v>jobCode | UPPER(paySet) | YYYY-MM-DD</x:v>
      </x:c>
      <x:c r="C5" s="40" t="str">
        <x:v>Prevents false matches between different pay sets or effective dates.</x:v>
      </x:c>
    </x:row>
    <x:row r="6" ht="30" customHeight="1">
      <x:c r="A6" t="str">
        <x:v>Job code</x:v>
      </x:c>
      <x:c r="B6" s="40" t="str">
        <x:v>Keep as text (e.g., 0140)</x:v>
      </x:c>
      <x:c r="C6" s="40" t="str">
        <x:v>Preserves leading zeros for reliable joins.</x:v>
      </x:c>
    </x:row>
    <x:row r="7" ht="30" customHeight="1">
      <x:c r="A7" t="str">
        <x:v>Source CSV row</x:v>
      </x:c>
      <x:c r="B7" s="40" t="str">
        <x:v>Original line in uploaded .csv (header line = 1)</x:v>
      </x:c>
      <x:c r="C7" s="40" t="str">
        <x:v>Lets reviewers reopen the original CSV and verify provenance.</x:v>
      </x:c>
    </x:row>
    <x:row r="8" ht="30" customHeight="1">
      <x:c r="A8" t="str">
        <x:v>Match count</x:v>
      </x:c>
      <x:c r="B8" s="40" t="str">
        <x:v>COUNTIF(Rates_Raw composite-key column, Plan key)</x:v>
      </x:c>
      <x:c r="C8" s="40" t="str">
        <x:v>0 = no match in upload, 1 = unique match, &gt;1 = ambiguous.</x:v>
      </x:c>
    </x:row>
    <x:row r="9" ht="30" customHeight="1">
      <x:c r="A9" t="str">
        <x:v>Title lookup</x:v>
      </x:c>
      <x:c r="B9" s="40" t="str">
        <x:v>XLOOKUP(composite key, rate keys, rate titles)</x:v>
      </x:c>
      <x:c r="C9" s="40" t="str">
        <x:v>Returns matching official title only when the key is unique.</x:v>
      </x:c>
    </x:row>
    <x:row r="10" ht="30" customHeight="1">
      <x:c r="A10" t="str">
        <x:v>Title check</x:v>
      </x:c>
      <x:c r="B10" s="40" t="str">
        <x:v>EXACT(TRIM(plan title), TRIM(rate title))</x:v>
      </x:c>
      <x:c r="C10" s="40" t="str">
        <x:v>No string fuzzy matching is assumed to prove official equivalence.</x:v>
      </x:c>
    </x:row>
    <x:row r="11" ht="30" customHeight="1">
      <x:c r="A11" t="str">
        <x:v>Hourly pay</x:v>
      </x:c>
      <x:c r="B11" s="40" t="str">
        <x:v>VALUE / SUBSTITUTE to remove $</x:v>
      </x:c>
      <x:c r="C11" s="40" t="str">
        <x:v>Parses hourly Step 1 values and compares numerically.</x:v>
      </x:c>
    </x:row>
    <x:row r="12" ht="30" customHeight="1">
      <x:c r="A12" t="str">
        <x:v>Pay difference</x:v>
      </x:c>
      <x:c r="B12" s="40" t="str">
        <x:v>ROUND(plan hourly - rate hourly, 4)</x:v>
      </x:c>
      <x:c r="C12" s="40" t="str">
        <x:v>Flag values beyond configurable 0.0001 tolerance.</x:v>
      </x:c>
    </x:row>
    <x:row r="13" ht="30" customHeight="1">
      <x:c r="A13" t="str">
        <x:v>Duplicate record</x:v>
      </x:c>
      <x:c r="B13" s="40" t="str">
        <x:v>COUNTIF + COUNTIFS</x:v>
      </x:c>
      <x:c r="C13" s="40" t="str">
        <x:v>Duplicate key exists even when every underlying value matches.</x:v>
      </x:c>
    </x:row>
    <x:row r="14" ht="30" customHeight="1">
      <x:c r="A14" t="str">
        <x:v>Estimated annual pay</x:v>
      </x:c>
      <x:c r="B14" s="40" t="str">
        <x:v>Biweekly minimum × 26</x:v>
      </x:c>
      <x:c r="C14" s="40" t="str">
        <x:v>A transparent *illustrative* annualization; not a payroll determination.</x:v>
      </x:c>
    </x:row>
    <x:row r="15" ht="30" customHeight="1">
      <x:c r="A15" t="str">
        <x:v>Source-only status</x:v>
      </x:c>
      <x:c r="B15" s="40" t="str">
        <x:v>No counterpart in current uploaded rate extract</x:v>
      </x:c>
      <x:c r="C15" s="40" t="str">
        <x:v>Does not imply source A is wrong or salary data does not exist.</x:v>
      </x:c>
    </x:row>
    <x:row r="16" ht="30" customHeight="1">
      <x:c r="A16" t="str">
        <x:v>Union code</x:v>
      </x:c>
      <x:c r="B16" s="40" t="str">
        <x:v>Source-B Union Code field</x:v>
      </x:c>
      <x:c r="C16" s="40" t="str">
        <x:v>Bargaining units and MOUs not verified from these two CSVs.</x:v>
      </x:c>
    </x:row>
    <x:row r="17" ht="30" customHeight="1">
      <x:c r="A17" t="str">
        <x:v>Reviewer status</x:v>
      </x:c>
      <x:c r="B17" s="40" t="str">
        <x:v>Manual dropdown editable on Reconciliation</x:v>
      </x:c>
      <x:c r="C17" s="40" t="str">
        <x:v>Keeps analyst adjudications separate from computed flags.</x:v>
      </x:c>
    </x:row>
    <x:row r="18" ht="30" customHeight="1">
      <x:c r="A18" t="str">
        <x:v>Title history</x:v>
      </x:c>
      <x:c r="B18" s="40" t="str">
        <x:v>Compare title values by job code and effective date</x:v>
      </x:c>
      <x:c r="C18" s="40" t="str">
        <x:v>Records official wording changes; do not collapse time periods.</x:v>
      </x:c>
    </x:row>
    <x:row r="19" ht="30" customHeight="1">
      <x:c r="A19" t="str">
        <x:v>Data handling</x:v>
      </x:c>
      <x:c r="B19" s="40" t="str">
        <x:v>Preserve raw text + explicit derived/helper columns</x:v>
      </x:c>
      <x:c r="C19" s="40" t="str">
        <x:v>No invented source values and no overwriting raw columns.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85" hidden="0" customWidth="1"/>
    <x:col min="4" max="4" width="19" hidden="0" customWidth="1"/>
    <x:col min="5" max="5" width="17" hidden="0" customWidth="1"/>
    <x:col min="6" max="6" width="29" hidden="0" customWidth="1"/>
    <x:col min="7" max="7" width="72" hidden="0" customWidth="1"/>
    <x:col min="8" max="8" width="95" hidden="0" customWidth="1"/>
  </x:cols>
  <x:sheetData>
    <x:row r="1" ht="35" customHeight="1">
      <x:c r="A1" s="4" t="str">
        <x:v>DATA SOURCES  /  VERIFIABLE PROVENANCE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Public datasets provided by applicant; hashes identify uploaded file bytes. The workbook contains only a documented sample; original complete CSVs remain separate.</x:v>
      </x:c>
      <x:c r="B2" s="10"/>
      <x:c r="C2" s="10"/>
      <x:c r="D2" s="10"/>
      <x:c r="E2" s="10"/>
      <x:c r="F2" s="10"/>
      <x:c r="G2" s="10"/>
      <x:c r="H2" s="10"/>
    </x:row>
    <x:row r="4" ht="31" customHeight="1">
      <x:c r="A4" s="17" t="str">
        <x:v>Source</x:v>
      </x:c>
      <x:c r="B4" s="17" t="str">
        <x:v>Provided filename</x:v>
      </x:c>
      <x:c r="C4" s="17" t="str">
        <x:v>Official source URL</x:v>
      </x:c>
      <x:c r="D4" s="17" t="str">
        <x:v>Original records</x:v>
      </x:c>
      <x:c r="E4" s="17" t="str">
        <x:v>Sampled records</x:v>
      </x:c>
      <x:c r="F4" s="17" t="str">
        <x:v>Original effective-date coverage</x:v>
      </x:c>
      <x:c r="G4" s="17" t="str">
        <x:v>SHA-256 of uploaded CSV</x:v>
      </x:c>
      <x:c r="H4" s="17" t="str">
        <x:v>Usage / limitations</x:v>
      </x:c>
    </x:row>
    <x:row r="5">
      <x:c r="A5" t="str">
        <x:v>Compensation plan CSV</x:v>
      </x:c>
      <x:c r="B5" s="40" t="str">
        <x:v>export.csv</x:v>
      </x:c>
      <x:c r="C5" s="40" t="str">
        <x:v>https://data.sf.gov/d/h3jp-c25d</x:v>
      </x:c>
      <x:c r="D5" t="n">
        <x:v>20637</x:v>
      </x:c>
      <x:c r="E5" t="n">
        <x:v>546</x:v>
      </x:c>
      <x:c r="F5" t="str">
        <x:v>2020-07-01 to 2026-07-01</x:v>
      </x:c>
      <x:c r="G5" t="str">
        <x:v>8c341b33e3f00fa775340ab51e366e64bdf92526443df7e3893680db46dd7386</x:v>
      </x:c>
      <x:c r="H5" s="40" t="str">
        <x:v>Original uploaded CSV; 32 public source fields retained</x:v>
      </x:c>
    </x:row>
    <x:row r="6">
      <x:c r="A6" t="str">
        <x:v>Hourly rate CSV</x:v>
      </x:c>
      <x:c r="B6" s="40" t="str">
        <x:v>export(1).csv</x:v>
      </x:c>
      <x:c r="C6" s="40" t="str">
        <x:v>https://data.sf.gov/d/t59u-ig8c</x:v>
      </x:c>
      <x:c r="D6" t="n">
        <x:v>34729</x:v>
      </x:c>
      <x:c r="E6" t="n">
        <x:v>460</x:v>
      </x:c>
      <x:c r="F6" t="str">
        <x:v>2014-07-01 to 2026-01-03</x:v>
      </x:c>
      <x:c r="G6" t="str">
        <x:v>9af8f429b078a7266afacc1257a42a6104670d0c512d60b74b28b4c21a889784</x:v>
      </x:c>
      <x:c r="H6" s="40" t="str">
        <x:v>Original uploaded CSV; 30 public source fields retained</x:v>
      </x:c>
    </x:row>
    <x:row r="7">
      <x:c r="A7" t="str">
        <x:v>Classification definitions</x:v>
      </x:c>
      <x:c r="B7" s="40" t="str">
        <x:v>not downloaded</x:v>
      </x:c>
      <x:c r="C7" s="40" t="str">
        <x:v>https://data.sf.gov/d/7br7-cj6v</x:v>
      </x:c>
      <x:c r="D7" t="str"/>
      <x:c r="E7" t="str"/>
      <x:c r="F7" t="str"/>
      <x:c r="G7" t="str"/>
      <x:c r="H7" s="40" t="str">
        <x:v>Potential official reference for future job-description matching, NOT used here</x:v>
      </x:c>
    </x:row>
    <x:row r="8">
      <x:c r="A8" t="str">
        <x:v>Union/MOU official reference</x:v>
      </x:c>
      <x:c r="B8" s="40" t="str">
        <x:v>not downloaded</x:v>
      </x:c>
      <x:c r="C8" s="40" t="str">
        <x:v>https://media.api.sf.gov/documents/Unions-Union-Codes-Bargaining-Units-and-MOUs_RD1SYZr.pdf</x:v>
      </x:c>
      <x:c r="D8" t="str"/>
      <x:c r="E8" t="str"/>
      <x:c r="F8" t="str"/>
      <x:c r="G8" t="str"/>
      <x:c r="H8" s="40" t="str">
        <x:v>Not used; independent union-to-agreement validation is a future enhancement</x:v>
      </x:c>
    </x:row>
    <x:row r="11">
      <x:c r="A11" s="28" t="str">
        <x:v>Full-source quality findings</x:v>
      </x:c>
      <x:c r="B11" s="28" t="str">
        <x:v>Count</x:v>
      </x:c>
      <x:c r="C11" s="28" t="str">
        <x:v>Definition</x:v>
      </x:c>
      <x:c r="D11" s="28" t="str">
        <x:v>Evidence</x:v>
      </x:c>
    </x:row>
    <x:row r="12">
      <x:c r="A12" s="56" t="str">
        <x:v>Source A records matched on composite key</x:v>
      </x:c>
      <x:c r="B12" t="n">
        <x:v>18259</x:v>
      </x:c>
      <x:c r="C12" t="str">
        <x:v>Job code | pay set | effective date</x:v>
      </x:c>
      <x:c r="D12" t="str">
        <x:v>Computed from both unaltered input CSV files</x:v>
      </x:c>
    </x:row>
    <x:row r="13">
      <x:c r="A13" s="56" t="str">
        <x:v>Source A records without source B match</x:v>
      </x:c>
      <x:c r="B13" t="n">
        <x:v>2378</x:v>
      </x:c>
      <x:c r="C13" t="str">
        <x:v>Not necessarily an error; data dates differ</x:v>
      </x:c>
      <x:c r="D13" t="str">
        <x:v>Full-source check</x:v>
      </x:c>
    </x:row>
    <x:row r="14">
      <x:c r="A14" s="56" t="str">
        <x:v>Duplicate composite-key groups in source B</x:v>
      </x:c>
      <x:c r="B14" t="n">
        <x:v>1</x:v>
      </x:c>
      <x:c r="C14" t="str">
        <x:v>Two source rows have same composite key</x:v>
      </x:c>
      <x:c r="D14" t="str">
        <x:v>2018-07-01 | 8578 | COMMN</x:v>
      </x:c>
    </x:row>
    <x:row r="15">
      <x:c r="A15" s="56" t="str">
        <x:v>Actual first-step hourly disagreements</x:v>
      </x:c>
      <x:c r="B15" t="n">
        <x:v>2</x:v>
      </x:c>
      <x:c r="C15" t="str">
        <x:v>Unique same-key pairs with &gt;$0.0001 difference</x:v>
      </x:c>
      <x:c r="D15" t="str">
        <x:v>2024-01-06 | 9916 | COMMN and SFMTA</x:v>
      </x:c>
    </x:row>
    <x:row r="16">
      <x:c r="A16" s="56" t="str">
        <x:v>Real source title history sample</x:v>
      </x:c>
      <x:c r="B16" t="n">
        <x:v>47</x:v>
      </x:c>
      <x:c r="C16" t="str">
        <x:v>Selected codes with different earlier/later official titles</x:v>
      </x:c>
      <x:c r="D16" t="str">
        <x:v>See Title_History tab</x:v>
      </x:c>
    </x:row>
    <x:row r="17">
      <x:c r="A17" s="62" t="str">
        <x:v>Case-only title variation across matched full-source keys</x:v>
      </x:c>
      <x:c r="B17" t="n">
        <x:v>1</x:v>
      </x:c>
      <x:c r="C17" t="str">
        <x:v>1576 | COMMN | 2025-01-04</x:v>
      </x:c>
      <x:c r="D17" t="str">
        <x:v>Plan CSV 3216 vs rates CSV 29962</x:v>
      </x:c>
    </x:row>
    <x:row r="18" ht="28" customHeight="1">
      <x:c r="A18" t="str">
        <x:v>Record selection</x:v>
      </x:c>
      <x:c r="B18" t="str">
        <x:v>61 job codes</x:v>
      </x:c>
      <x:c r="C18" t="str">
        <x:v>2024–2026 dates plus historical anchors</x:v>
      </x:c>
      <x:c r="D18" t="str">
        <x:v>Selected for variety, salary mismatches, history, and duplicates</x:v>
      </x:c>
    </x:row>
    <x:row r="19" ht="28" customHeight="1">
      <x:c r="A19" t="str">
        <x:v>Currency / numeric conversion</x:v>
      </x:c>
      <x:c r="B19" t="str">
        <x:v>No substitutions in raw tabs</x:v>
      </x:c>
      <x:c r="C19" t="str">
        <x:v>Rate values are parsed only by formulas in Reconciliation</x:v>
      </x:c>
      <x:c r="D19" t="str">
        <x:v>Source texts preserved, even when formatting varies</x:v>
      </x:c>
    </x:row>
    <x:row r="20" ht="28" customHeight="1">
      <x:c r="A20" t="str">
        <x:v>Classification match confidence</x:v>
      </x:c>
      <x:c r="B20" t="str">
        <x:v>No title-only automatic links</x:v>
      </x:c>
      <x:c r="C20" t="str">
        <x:v>All matches require complete composite key; ambiguous keys are flagged</x:v>
      </x:c>
      <x:c r="D20" t="str">
        <x:v>Title historical variation is separately documented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1" hidden="0" customWidth="1"/>
    <x:col min="2" max="2" width="39" hidden="0" customWidth="1"/>
    <x:col min="3" max="3" width="85" hidden="0" customWidth="1"/>
  </x:cols>
  <x:sheetData>
    <x:row r="1" ht="35" customHeight="1">
      <x:c r="A1" s="4" t="str">
        <x:v>EXCEL FORMULA LAB  /  ADVANCED FUNCTIONS</x:v>
      </x:c>
      <x:c r="B1" s="4"/>
      <x:c r="C1" s="4"/>
    </x:row>
    <x:row r="2" ht="29" customHeight="1">
      <x:c r="A2" s="10" t="str">
        <x:v>Live examples recalculate from the working reconciliation table; formulas are preserved in the workbook.</x:v>
      </x:c>
      <x:c r="B2" s="10"/>
      <x:c r="C2" s="10"/>
    </x:row>
    <x:row r="4" ht="31" customHeight="1">
      <x:c r="A4" s="17" t="str">
        <x:v>Analysis / QA question</x:v>
      </x:c>
      <x:c r="B4" s="17" t="str">
        <x:v>Live Excel answer</x:v>
      </x:c>
      <x:c r="C4" s="17" t="str">
        <x:v>Why this matters</x:v>
      </x:c>
    </x:row>
    <x:row r="5" ht="33" customHeight="1">
      <x:c r="A5" t="str">
        <x:v>Which pay-set identifiers appear?</x:v>
      </x:c>
      <x:c r="B5" s="58" t="str">
        <x:f>_xlfn.TEXTJOIN(", ",TRUE,_xlfn._xlws.SORT(_xlfn.UNIQUE(Reconciliation!D5:D550)))</x:f>
        <x:v>COMMN, SFMTA, SUPPRESSION</x:v>
      </x:c>
      <x:c r="C5" s="40" t="str">
        <x:v>TEXTJOIN + SORT + UNIQUE gives a clean list of grouping labels.</x:v>
      </x:c>
    </x:row>
    <x:row r="6" ht="33" customHeight="1">
      <x:c r="A6" t="str">
        <x:v>How many distinct job codes are in scope?</x:v>
      </x:c>
      <x:c r="B6" s="58" t="n">
        <x:f>COUNTA(_xlfn.UNIQUE(Reconciliation!B5:B550))</x:f>
        <x:v>61</x:v>
      </x:c>
      <x:c r="C6" s="40" t="str">
        <x:v>UNIQUE and COUNTA support classification cardinality checks.</x:v>
      </x:c>
    </x:row>
    <x:row r="7" ht="33" customHeight="1">
      <x:c r="A7" t="str">
        <x:v>Total estimated annualized pay among verified matches?</x:v>
      </x:c>
      <x:c r="B7" s="60" t="n">
        <x:f>SUMIFS(Reconciliation!Q5:Q550,Reconciliation!R5:R550,"VERIFIED")</x:f>
        <x:v>61876750</x:v>
      </x:c>
      <x:c r="C7" s="40" t="str">
        <x:v>SUMIFS adds only verified annual pay estimates; illustrative, not payroll-certified.</x:v>
      </x:c>
    </x:row>
    <x:row r="8" ht="33" customHeight="1">
      <x:c r="A8" t="str">
        <x:v>Illustrative hours per year (26 × 80)?</x:v>
      </x:c>
      <x:c r="B8" s="58" t="n">
        <x:f>LET(periods,Guide!B15,hours,Guide!B17,periods*hours)</x:f>
        <x:v>2080</x:v>
      </x:c>
      <x:c r="C8" s="40" t="str">
        <x:v>LET names reusable input assumptions without hiding constants.</x:v>
      </x:c>
    </x:row>
    <x:row r="9" ht="33" customHeight="1">
      <x:c r="A9" t="str">
        <x:v>Total estimated annual pay for SFMTA matched records?</x:v>
      </x:c>
      <x:c r="B9" s="60" t="n">
        <x:f>SUM(_xlfn._xlws.FILTER(Reconciliation!Q5:Q550,Reconciliation!D5:D550="SFMTA",0))</x:f>
        <x:v>14046162</x:v>
      </x:c>
      <x:c r="C9" s="40" t="str">
        <x:v>FILTER applies dynamic criteria before aggregation.</x:v>
      </x:c>
    </x:row>
    <x:row r="10" ht="33" customHeight="1">
      <x:c r="A10" t="str">
        <x:v>Which job codes have hourly-rate disagreements?</x:v>
      </x:c>
      <x:c r="B10" s="58" t="str">
        <x:f>_xlfn.TEXTJOIN(", ",TRUE,_xlfn._xlws.SORT(_xlfn.UNIQUE(_xlfn._xlws.FILTER(Reconciliation!B5:B550,Reconciliation!O5:O550="REVIEW","NONE"))))</x:f>
        <x:v>9916</x:v>
      </x:c>
      <x:c r="C10" s="40" t="str">
        <x:v>FILTER + UNIQUE isolates affected job codes.</x:v>
      </x:c>
    </x:row>
    <x:row r="11" ht="33" customHeight="1">
      <x:c r="A11" t="str">
        <x:v>Retrieve official plan title by an exact composite key</x:v>
      </x:c>
      <x:c r="B11" s="58" t="str">
        <x:f>IFERROR(INDEX(Reconciliation!E5:E550,_xlfn.XMATCH("9916|COMMN|2024-01-06",Reconciliation!H5:H550,0)),"NOT FOUND")</x:f>
        <x:v>Public Service Aide - Public Works</x:v>
      </x:c>
      <x:c r="C11" s="40" t="str">
        <x:v>INDEX + XMATCH demonstrates an auditable alternative to XLOOKUP.</x:v>
      </x:c>
    </x:row>
    <x:row r="12" ht="33" customHeight="1">
      <x:c r="A12" t="str">
        <x:v>How many 2026-07 plan records lack a rate counterpart?</x:v>
      </x:c>
      <x:c r="B12" s="58" t="n">
        <x:f>COUNTIFS(Reconciliation!R5:R550,"UNMATCHED",Reconciliation!C5:C550,"2026-07-01")</x:f>
        <x:v>92</x:v>
      </x:c>
      <x:c r="C12" s="40" t="str">
        <x:v>COUNTIFS distinguishes source coverage gaps by effective date.</x:v>
      </x:c>
    </x:row>
    <x:row r="13" ht="33" customHeight="1">
      <x:c r="A13" t="str">
        <x:v>How many hourly pay differences need review?</x:v>
      </x:c>
      <x:c r="B13" s="58" t="n">
        <x:f>SUMPRODUCT((Reconciliation!O5:O550="REVIEW")*1)</x:f>
        <x:v>2</x:v>
      </x:c>
      <x:c r="C13" s="40" t="str">
        <x:v>SUMPRODUCT supports formula-based QA flags.</x:v>
      </x:c>
    </x:row>
  </x:sheetData>
  <x:pageMargins left="0.7" right="0.7" top="0.75" bottom="0.75" header="0.3" footer="0.3"/>
</x:worksheet>
</file>